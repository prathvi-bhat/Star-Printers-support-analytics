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6.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US Jobs\BA Sample Projects\"/>
    </mc:Choice>
  </mc:AlternateContent>
  <xr:revisionPtr revIDLastSave="0" documentId="13_ncr:1_{57D8BA10-03E1-41E0-BA55-CF2228B00E77}" xr6:coauthVersionLast="47" xr6:coauthVersionMax="47" xr10:uidLastSave="{00000000-0000-0000-0000-000000000000}"/>
  <bookViews>
    <workbookView xWindow="-120" yWindow="-120" windowWidth="29040" windowHeight="15720" activeTab="7" xr2:uid="{00000000-000D-0000-FFFF-FFFF00000000}"/>
  </bookViews>
  <sheets>
    <sheet name="SQL_Import" sheetId="10" r:id="rId1"/>
    <sheet name="Reference_data" sheetId="2" r:id="rId2"/>
    <sheet name="Raw Data" sheetId="3" r:id="rId3"/>
    <sheet name="Data Cleaned" sheetId="1" r:id="rId4"/>
    <sheet name="Data Validation" sheetId="4" r:id="rId5"/>
    <sheet name="Pivot" sheetId="6" r:id="rId6"/>
    <sheet name="Executive Summary" sheetId="5" r:id="rId7"/>
    <sheet name="Executive Dashboards" sheetId="9" r:id="rId8"/>
  </sheets>
  <externalReferences>
    <externalReference r:id="rId9"/>
  </externalReferences>
  <definedNames>
    <definedName name="Slicer_Account">#N/A</definedName>
    <definedName name="Slicer_Agent">#N/A</definedName>
    <definedName name="Slicer_Category">#N/A</definedName>
    <definedName name="Slicer_Department">#N/A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1" l="1"/>
  <c r="W501" i="1"/>
  <c r="V501" i="1"/>
  <c r="W500" i="1"/>
  <c r="V500" i="1"/>
  <c r="W499" i="1"/>
  <c r="V499" i="1"/>
  <c r="W498" i="1"/>
  <c r="V498" i="1"/>
  <c r="W497" i="1"/>
  <c r="V497" i="1"/>
  <c r="W496" i="1"/>
  <c r="V496" i="1"/>
  <c r="W495" i="1"/>
  <c r="V495" i="1"/>
  <c r="W494" i="1"/>
  <c r="V494" i="1"/>
  <c r="W493" i="1"/>
  <c r="V493" i="1"/>
  <c r="W492" i="1"/>
  <c r="V492" i="1"/>
  <c r="W491" i="1"/>
  <c r="V491" i="1"/>
  <c r="W490" i="1"/>
  <c r="V490" i="1"/>
  <c r="W489" i="1"/>
  <c r="V489" i="1"/>
  <c r="W488" i="1"/>
  <c r="V488" i="1"/>
  <c r="W487" i="1"/>
  <c r="V487" i="1"/>
  <c r="W486" i="1"/>
  <c r="V486" i="1"/>
  <c r="W485" i="1"/>
  <c r="V485" i="1"/>
  <c r="W484" i="1"/>
  <c r="V484" i="1"/>
  <c r="W483" i="1"/>
  <c r="V483" i="1"/>
  <c r="W482" i="1"/>
  <c r="V482" i="1"/>
  <c r="W481" i="1"/>
  <c r="V481" i="1"/>
  <c r="W480" i="1"/>
  <c r="V480" i="1"/>
  <c r="W479" i="1"/>
  <c r="V479" i="1"/>
  <c r="W478" i="1"/>
  <c r="V478" i="1"/>
  <c r="W477" i="1"/>
  <c r="V477" i="1"/>
  <c r="W476" i="1"/>
  <c r="V476" i="1"/>
  <c r="W475" i="1"/>
  <c r="V475" i="1"/>
  <c r="W474" i="1"/>
  <c r="V474" i="1"/>
  <c r="W473" i="1"/>
  <c r="V473" i="1"/>
  <c r="W472" i="1"/>
  <c r="V472" i="1"/>
  <c r="W471" i="1"/>
  <c r="V471" i="1"/>
  <c r="W470" i="1"/>
  <c r="V470" i="1"/>
  <c r="W469" i="1"/>
  <c r="V469" i="1"/>
  <c r="W468" i="1"/>
  <c r="V468" i="1"/>
  <c r="W467" i="1"/>
  <c r="V467" i="1"/>
  <c r="W466" i="1"/>
  <c r="V466" i="1"/>
  <c r="W465" i="1"/>
  <c r="V465" i="1"/>
  <c r="W464" i="1"/>
  <c r="V464" i="1"/>
  <c r="W463" i="1"/>
  <c r="V463" i="1"/>
  <c r="W462" i="1"/>
  <c r="V462" i="1"/>
  <c r="W461" i="1"/>
  <c r="V461" i="1"/>
  <c r="W460" i="1"/>
  <c r="V460" i="1"/>
  <c r="W459" i="1"/>
  <c r="V459" i="1"/>
  <c r="W458" i="1"/>
  <c r="V458" i="1"/>
  <c r="W457" i="1"/>
  <c r="V457" i="1"/>
  <c r="W456" i="1"/>
  <c r="V456" i="1"/>
  <c r="W455" i="1"/>
  <c r="V455" i="1"/>
  <c r="W454" i="1"/>
  <c r="V454" i="1"/>
  <c r="W453" i="1"/>
  <c r="V453" i="1"/>
  <c r="W452" i="1"/>
  <c r="V452" i="1"/>
  <c r="W451" i="1"/>
  <c r="V451" i="1"/>
  <c r="W450" i="1"/>
  <c r="V450" i="1"/>
  <c r="W449" i="1"/>
  <c r="V449" i="1"/>
  <c r="W448" i="1"/>
  <c r="V448" i="1"/>
  <c r="W447" i="1"/>
  <c r="V447" i="1"/>
  <c r="W446" i="1"/>
  <c r="V446" i="1"/>
  <c r="W445" i="1"/>
  <c r="V445" i="1"/>
  <c r="W444" i="1"/>
  <c r="V444" i="1"/>
  <c r="W443" i="1"/>
  <c r="V443" i="1"/>
  <c r="W442" i="1"/>
  <c r="V442" i="1"/>
  <c r="W441" i="1"/>
  <c r="V441" i="1"/>
  <c r="W440" i="1"/>
  <c r="V440" i="1"/>
  <c r="W439" i="1"/>
  <c r="V439" i="1"/>
  <c r="W438" i="1"/>
  <c r="V438" i="1"/>
  <c r="W437" i="1"/>
  <c r="V437" i="1"/>
  <c r="W436" i="1"/>
  <c r="V436" i="1"/>
  <c r="W435" i="1"/>
  <c r="V435" i="1"/>
  <c r="W434" i="1"/>
  <c r="V434" i="1"/>
  <c r="W433" i="1"/>
  <c r="V433" i="1"/>
  <c r="W432" i="1"/>
  <c r="V432" i="1"/>
  <c r="W431" i="1"/>
  <c r="V431" i="1"/>
  <c r="W430" i="1"/>
  <c r="V430" i="1"/>
  <c r="W429" i="1"/>
  <c r="V429" i="1"/>
  <c r="W428" i="1"/>
  <c r="V428" i="1"/>
  <c r="W427" i="1"/>
  <c r="V427" i="1"/>
  <c r="W426" i="1"/>
  <c r="V426" i="1"/>
  <c r="W425" i="1"/>
  <c r="V425" i="1"/>
  <c r="W424" i="1"/>
  <c r="V424" i="1"/>
  <c r="W423" i="1"/>
  <c r="V423" i="1"/>
  <c r="W422" i="1"/>
  <c r="V422" i="1"/>
  <c r="W421" i="1"/>
  <c r="V421" i="1"/>
  <c r="W420" i="1"/>
  <c r="V420" i="1"/>
  <c r="W419" i="1"/>
  <c r="V419" i="1"/>
  <c r="W418" i="1"/>
  <c r="V418" i="1"/>
  <c r="W417" i="1"/>
  <c r="V417" i="1"/>
  <c r="W416" i="1"/>
  <c r="V416" i="1"/>
  <c r="W415" i="1"/>
  <c r="V415" i="1"/>
  <c r="W414" i="1"/>
  <c r="V414" i="1"/>
  <c r="W413" i="1"/>
  <c r="V413" i="1"/>
  <c r="W412" i="1"/>
  <c r="V412" i="1"/>
  <c r="W411" i="1"/>
  <c r="V411" i="1"/>
  <c r="W410" i="1"/>
  <c r="V410" i="1"/>
  <c r="W409" i="1"/>
  <c r="V409" i="1"/>
  <c r="W408" i="1"/>
  <c r="V408" i="1"/>
  <c r="W407" i="1"/>
  <c r="V407" i="1"/>
  <c r="W406" i="1"/>
  <c r="V406" i="1"/>
  <c r="W405" i="1"/>
  <c r="V405" i="1"/>
  <c r="W404" i="1"/>
  <c r="V404" i="1"/>
  <c r="W403" i="1"/>
  <c r="V403" i="1"/>
  <c r="W402" i="1"/>
  <c r="V402" i="1"/>
  <c r="W401" i="1"/>
  <c r="V401" i="1"/>
  <c r="W400" i="1"/>
  <c r="V400" i="1"/>
  <c r="W399" i="1"/>
  <c r="V399" i="1"/>
  <c r="W398" i="1"/>
  <c r="V398" i="1"/>
  <c r="W397" i="1"/>
  <c r="V397" i="1"/>
  <c r="W396" i="1"/>
  <c r="V396" i="1"/>
  <c r="W395" i="1"/>
  <c r="V395" i="1"/>
  <c r="W394" i="1"/>
  <c r="V394" i="1"/>
  <c r="W393" i="1"/>
  <c r="V393" i="1"/>
  <c r="W392" i="1"/>
  <c r="V392" i="1"/>
  <c r="W391" i="1"/>
  <c r="V391" i="1"/>
  <c r="W390" i="1"/>
  <c r="V390" i="1"/>
  <c r="W389" i="1"/>
  <c r="V389" i="1"/>
  <c r="W388" i="1"/>
  <c r="V388" i="1"/>
  <c r="W387" i="1"/>
  <c r="V387" i="1"/>
  <c r="W386" i="1"/>
  <c r="V386" i="1"/>
  <c r="W385" i="1"/>
  <c r="V385" i="1"/>
  <c r="W384" i="1"/>
  <c r="V384" i="1"/>
  <c r="W383" i="1"/>
  <c r="V383" i="1"/>
  <c r="W382" i="1"/>
  <c r="V382" i="1"/>
  <c r="W381" i="1"/>
  <c r="V381" i="1"/>
  <c r="W380" i="1"/>
  <c r="V380" i="1"/>
  <c r="W379" i="1"/>
  <c r="V379" i="1"/>
  <c r="W378" i="1"/>
  <c r="V378" i="1"/>
  <c r="W377" i="1"/>
  <c r="V377" i="1"/>
  <c r="W376" i="1"/>
  <c r="V376" i="1"/>
  <c r="W375" i="1"/>
  <c r="V375" i="1"/>
  <c r="W374" i="1"/>
  <c r="V374" i="1"/>
  <c r="W373" i="1"/>
  <c r="V373" i="1"/>
  <c r="W372" i="1"/>
  <c r="V372" i="1"/>
  <c r="W371" i="1"/>
  <c r="V371" i="1"/>
  <c r="W370" i="1"/>
  <c r="V370" i="1"/>
  <c r="W369" i="1"/>
  <c r="V369" i="1"/>
  <c r="W368" i="1"/>
  <c r="V368" i="1"/>
  <c r="W367" i="1"/>
  <c r="V367" i="1"/>
  <c r="W366" i="1"/>
  <c r="V366" i="1"/>
  <c r="W365" i="1"/>
  <c r="V365" i="1"/>
  <c r="W364" i="1"/>
  <c r="V364" i="1"/>
  <c r="W363" i="1"/>
  <c r="V363" i="1"/>
  <c r="W362" i="1"/>
  <c r="V362" i="1"/>
  <c r="W361" i="1"/>
  <c r="V361" i="1"/>
  <c r="W360" i="1"/>
  <c r="V360" i="1"/>
  <c r="W359" i="1"/>
  <c r="V359" i="1"/>
  <c r="W358" i="1"/>
  <c r="V358" i="1"/>
  <c r="W357" i="1"/>
  <c r="V357" i="1"/>
  <c r="W356" i="1"/>
  <c r="V356" i="1"/>
  <c r="W355" i="1"/>
  <c r="V355" i="1"/>
  <c r="W354" i="1"/>
  <c r="V354" i="1"/>
  <c r="W353" i="1"/>
  <c r="V353" i="1"/>
  <c r="W352" i="1"/>
  <c r="V352" i="1"/>
  <c r="W351" i="1"/>
  <c r="V351" i="1"/>
  <c r="W350" i="1"/>
  <c r="V350" i="1"/>
  <c r="W349" i="1"/>
  <c r="V349" i="1"/>
  <c r="W348" i="1"/>
  <c r="V348" i="1"/>
  <c r="W347" i="1"/>
  <c r="V347" i="1"/>
  <c r="W346" i="1"/>
  <c r="V346" i="1"/>
  <c r="W345" i="1"/>
  <c r="V345" i="1"/>
  <c r="W344" i="1"/>
  <c r="V344" i="1"/>
  <c r="W343" i="1"/>
  <c r="V343" i="1"/>
  <c r="W342" i="1"/>
  <c r="V342" i="1"/>
  <c r="W341" i="1"/>
  <c r="V341" i="1"/>
  <c r="W340" i="1"/>
  <c r="V340" i="1"/>
  <c r="W339" i="1"/>
  <c r="V339" i="1"/>
  <c r="W338" i="1"/>
  <c r="V338" i="1"/>
  <c r="W337" i="1"/>
  <c r="V337" i="1"/>
  <c r="W336" i="1"/>
  <c r="V336" i="1"/>
  <c r="W335" i="1"/>
  <c r="V335" i="1"/>
  <c r="W334" i="1"/>
  <c r="V334" i="1"/>
  <c r="W333" i="1"/>
  <c r="V333" i="1"/>
  <c r="W332" i="1"/>
  <c r="V332" i="1"/>
  <c r="W331" i="1"/>
  <c r="V331" i="1"/>
  <c r="W330" i="1"/>
  <c r="V330" i="1"/>
  <c r="W329" i="1"/>
  <c r="V329" i="1"/>
  <c r="W328" i="1"/>
  <c r="V328" i="1"/>
  <c r="W327" i="1"/>
  <c r="V327" i="1"/>
  <c r="W326" i="1"/>
  <c r="V326" i="1"/>
  <c r="W325" i="1"/>
  <c r="V325" i="1"/>
  <c r="W324" i="1"/>
  <c r="V324" i="1"/>
  <c r="W323" i="1"/>
  <c r="V323" i="1"/>
  <c r="W322" i="1"/>
  <c r="V322" i="1"/>
  <c r="W321" i="1"/>
  <c r="V321" i="1"/>
  <c r="W320" i="1"/>
  <c r="V320" i="1"/>
  <c r="W319" i="1"/>
  <c r="V319" i="1"/>
  <c r="W318" i="1"/>
  <c r="V318" i="1"/>
  <c r="W317" i="1"/>
  <c r="V317" i="1"/>
  <c r="W316" i="1"/>
  <c r="V316" i="1"/>
  <c r="W315" i="1"/>
  <c r="V315" i="1"/>
  <c r="W314" i="1"/>
  <c r="V314" i="1"/>
  <c r="W313" i="1"/>
  <c r="V313" i="1"/>
  <c r="W312" i="1"/>
  <c r="V312" i="1"/>
  <c r="W311" i="1"/>
  <c r="V311" i="1"/>
  <c r="W310" i="1"/>
  <c r="V310" i="1"/>
  <c r="W309" i="1"/>
  <c r="V309" i="1"/>
  <c r="W308" i="1"/>
  <c r="V308" i="1"/>
  <c r="W307" i="1"/>
  <c r="V307" i="1"/>
  <c r="W306" i="1"/>
  <c r="V306" i="1"/>
  <c r="W305" i="1"/>
  <c r="V305" i="1"/>
  <c r="W304" i="1"/>
  <c r="V304" i="1"/>
  <c r="W303" i="1"/>
  <c r="V303" i="1"/>
  <c r="W302" i="1"/>
  <c r="V302" i="1"/>
  <c r="W301" i="1"/>
  <c r="V301" i="1"/>
  <c r="W300" i="1"/>
  <c r="V300" i="1"/>
  <c r="W299" i="1"/>
  <c r="V299" i="1"/>
  <c r="W298" i="1"/>
  <c r="V298" i="1"/>
  <c r="W297" i="1"/>
  <c r="V297" i="1"/>
  <c r="W296" i="1"/>
  <c r="V296" i="1"/>
  <c r="W295" i="1"/>
  <c r="V295" i="1"/>
  <c r="W294" i="1"/>
  <c r="V294" i="1"/>
  <c r="W293" i="1"/>
  <c r="V293" i="1"/>
  <c r="W292" i="1"/>
  <c r="V292" i="1"/>
  <c r="W291" i="1"/>
  <c r="V291" i="1"/>
  <c r="W290" i="1"/>
  <c r="V290" i="1"/>
  <c r="W289" i="1"/>
  <c r="V289" i="1"/>
  <c r="W288" i="1"/>
  <c r="V288" i="1"/>
  <c r="W287" i="1"/>
  <c r="V287" i="1"/>
  <c r="W286" i="1"/>
  <c r="V286" i="1"/>
  <c r="W285" i="1"/>
  <c r="V285" i="1"/>
  <c r="W284" i="1"/>
  <c r="V284" i="1"/>
  <c r="W283" i="1"/>
  <c r="V283" i="1"/>
  <c r="W282" i="1"/>
  <c r="V282" i="1"/>
  <c r="W281" i="1"/>
  <c r="V281" i="1"/>
  <c r="W280" i="1"/>
  <c r="V280" i="1"/>
  <c r="W279" i="1"/>
  <c r="V279" i="1"/>
  <c r="W278" i="1"/>
  <c r="V278" i="1"/>
  <c r="W277" i="1"/>
  <c r="V277" i="1"/>
  <c r="W276" i="1"/>
  <c r="V276" i="1"/>
  <c r="W275" i="1"/>
  <c r="V275" i="1"/>
  <c r="W274" i="1"/>
  <c r="V274" i="1"/>
  <c r="W273" i="1"/>
  <c r="V273" i="1"/>
  <c r="W272" i="1"/>
  <c r="V272" i="1"/>
  <c r="W271" i="1"/>
  <c r="V271" i="1"/>
  <c r="W270" i="1"/>
  <c r="V270" i="1"/>
  <c r="W269" i="1"/>
  <c r="V269" i="1"/>
  <c r="W268" i="1"/>
  <c r="V268" i="1"/>
  <c r="W267" i="1"/>
  <c r="V267" i="1"/>
  <c r="W266" i="1"/>
  <c r="V266" i="1"/>
  <c r="W265" i="1"/>
  <c r="V265" i="1"/>
  <c r="W264" i="1"/>
  <c r="V264" i="1"/>
  <c r="W263" i="1"/>
  <c r="V263" i="1"/>
  <c r="W262" i="1"/>
  <c r="V262" i="1"/>
  <c r="W261" i="1"/>
  <c r="V261" i="1"/>
  <c r="W260" i="1"/>
  <c r="V260" i="1"/>
  <c r="W259" i="1"/>
  <c r="V259" i="1"/>
  <c r="W258" i="1"/>
  <c r="V258" i="1"/>
  <c r="W257" i="1"/>
  <c r="V257" i="1"/>
  <c r="W256" i="1"/>
  <c r="V256" i="1"/>
  <c r="W255" i="1"/>
  <c r="V255" i="1"/>
  <c r="W254" i="1"/>
  <c r="V254" i="1"/>
  <c r="W253" i="1"/>
  <c r="V253" i="1"/>
  <c r="W252" i="1"/>
  <c r="V252" i="1"/>
  <c r="W251" i="1"/>
  <c r="V251" i="1"/>
  <c r="W250" i="1"/>
  <c r="V250" i="1"/>
  <c r="W249" i="1"/>
  <c r="V249" i="1"/>
  <c r="W248" i="1"/>
  <c r="V248" i="1"/>
  <c r="W247" i="1"/>
  <c r="V247" i="1"/>
  <c r="W246" i="1"/>
  <c r="V246" i="1"/>
  <c r="W245" i="1"/>
  <c r="V245" i="1"/>
  <c r="W244" i="1"/>
  <c r="V244" i="1"/>
  <c r="W243" i="1"/>
  <c r="V243" i="1"/>
  <c r="W242" i="1"/>
  <c r="V242" i="1"/>
  <c r="W241" i="1"/>
  <c r="V241" i="1"/>
  <c r="W240" i="1"/>
  <c r="V240" i="1"/>
  <c r="W239" i="1"/>
  <c r="V239" i="1"/>
  <c r="W238" i="1"/>
  <c r="V238" i="1"/>
  <c r="W237" i="1"/>
  <c r="V237" i="1"/>
  <c r="W236" i="1"/>
  <c r="V236" i="1"/>
  <c r="W235" i="1"/>
  <c r="V235" i="1"/>
  <c r="W234" i="1"/>
  <c r="V234" i="1"/>
  <c r="W233" i="1"/>
  <c r="V233" i="1"/>
  <c r="W232" i="1"/>
  <c r="V232" i="1"/>
  <c r="W231" i="1"/>
  <c r="V231" i="1"/>
  <c r="W230" i="1"/>
  <c r="V230" i="1"/>
  <c r="W229" i="1"/>
  <c r="V229" i="1"/>
  <c r="W228" i="1"/>
  <c r="V228" i="1"/>
  <c r="W227" i="1"/>
  <c r="V227" i="1"/>
  <c r="W226" i="1"/>
  <c r="V226" i="1"/>
  <c r="W225" i="1"/>
  <c r="V225" i="1"/>
  <c r="W224" i="1"/>
  <c r="V224" i="1"/>
  <c r="W223" i="1"/>
  <c r="V223" i="1"/>
  <c r="W222" i="1"/>
  <c r="V222" i="1"/>
  <c r="W221" i="1"/>
  <c r="V221" i="1"/>
  <c r="W220" i="1"/>
  <c r="V220" i="1"/>
  <c r="W219" i="1"/>
  <c r="V219" i="1"/>
  <c r="W218" i="1"/>
  <c r="V218" i="1"/>
  <c r="W217" i="1"/>
  <c r="V217" i="1"/>
  <c r="W216" i="1"/>
  <c r="V216" i="1"/>
  <c r="W215" i="1"/>
  <c r="V215" i="1"/>
  <c r="W214" i="1"/>
  <c r="V214" i="1"/>
  <c r="W213" i="1"/>
  <c r="V213" i="1"/>
  <c r="W212" i="1"/>
  <c r="V212" i="1"/>
  <c r="W211" i="1"/>
  <c r="V211" i="1"/>
  <c r="W210" i="1"/>
  <c r="V210" i="1"/>
  <c r="W209" i="1"/>
  <c r="V209" i="1"/>
  <c r="W208" i="1"/>
  <c r="V208" i="1"/>
  <c r="W207" i="1"/>
  <c r="V207" i="1"/>
  <c r="W206" i="1"/>
  <c r="V206" i="1"/>
  <c r="W205" i="1"/>
  <c r="V205" i="1"/>
  <c r="W204" i="1"/>
  <c r="V204" i="1"/>
  <c r="W203" i="1"/>
  <c r="V203" i="1"/>
  <c r="W202" i="1"/>
  <c r="V202" i="1"/>
  <c r="W201" i="1"/>
  <c r="V201" i="1"/>
  <c r="W200" i="1"/>
  <c r="V200" i="1"/>
  <c r="W199" i="1"/>
  <c r="V199" i="1"/>
  <c r="W198" i="1"/>
  <c r="V198" i="1"/>
  <c r="W197" i="1"/>
  <c r="V197" i="1"/>
  <c r="W196" i="1"/>
  <c r="V196" i="1"/>
  <c r="W195" i="1"/>
  <c r="V195" i="1"/>
  <c r="W194" i="1"/>
  <c r="V194" i="1"/>
  <c r="W193" i="1"/>
  <c r="V193" i="1"/>
  <c r="W192" i="1"/>
  <c r="V192" i="1"/>
  <c r="W191" i="1"/>
  <c r="V191" i="1"/>
  <c r="W190" i="1"/>
  <c r="V190" i="1"/>
  <c r="W189" i="1"/>
  <c r="V189" i="1"/>
  <c r="W188" i="1"/>
  <c r="V188" i="1"/>
  <c r="W187" i="1"/>
  <c r="V187" i="1"/>
  <c r="W186" i="1"/>
  <c r="V186" i="1"/>
  <c r="W185" i="1"/>
  <c r="V185" i="1"/>
  <c r="W184" i="1"/>
  <c r="V184" i="1"/>
  <c r="W183" i="1"/>
  <c r="V183" i="1"/>
  <c r="W182" i="1"/>
  <c r="V182" i="1"/>
  <c r="W181" i="1"/>
  <c r="V181" i="1"/>
  <c r="W180" i="1"/>
  <c r="V180" i="1"/>
  <c r="W179" i="1"/>
  <c r="V179" i="1"/>
  <c r="W178" i="1"/>
  <c r="V178" i="1"/>
  <c r="W177" i="1"/>
  <c r="V177" i="1"/>
  <c r="W176" i="1"/>
  <c r="V176" i="1"/>
  <c r="W175" i="1"/>
  <c r="V175" i="1"/>
  <c r="W174" i="1"/>
  <c r="V174" i="1"/>
  <c r="W173" i="1"/>
  <c r="V173" i="1"/>
  <c r="W172" i="1"/>
  <c r="V172" i="1"/>
  <c r="W171" i="1"/>
  <c r="V171" i="1"/>
  <c r="W170" i="1"/>
  <c r="V170" i="1"/>
  <c r="W169" i="1"/>
  <c r="V169" i="1"/>
  <c r="W168" i="1"/>
  <c r="V168" i="1"/>
  <c r="W167" i="1"/>
  <c r="V167" i="1"/>
  <c r="W166" i="1"/>
  <c r="V166" i="1"/>
  <c r="W165" i="1"/>
  <c r="V165" i="1"/>
  <c r="W164" i="1"/>
  <c r="V164" i="1"/>
  <c r="W163" i="1"/>
  <c r="V163" i="1"/>
  <c r="W162" i="1"/>
  <c r="V162" i="1"/>
  <c r="W161" i="1"/>
  <c r="V161" i="1"/>
  <c r="W160" i="1"/>
  <c r="V160" i="1"/>
  <c r="W159" i="1"/>
  <c r="V159" i="1"/>
  <c r="W158" i="1"/>
  <c r="V158" i="1"/>
  <c r="W157" i="1"/>
  <c r="V157" i="1"/>
  <c r="W156" i="1"/>
  <c r="V156" i="1"/>
  <c r="W155" i="1"/>
  <c r="V155" i="1"/>
  <c r="W154" i="1"/>
  <c r="V154" i="1"/>
  <c r="W153" i="1"/>
  <c r="V153" i="1"/>
  <c r="W152" i="1"/>
  <c r="V152" i="1"/>
  <c r="W151" i="1"/>
  <c r="V151" i="1"/>
  <c r="W150" i="1"/>
  <c r="V150" i="1"/>
  <c r="W149" i="1"/>
  <c r="V149" i="1"/>
  <c r="W148" i="1"/>
  <c r="V148" i="1"/>
  <c r="W147" i="1"/>
  <c r="V147" i="1"/>
  <c r="W146" i="1"/>
  <c r="V146" i="1"/>
  <c r="W145" i="1"/>
  <c r="V145" i="1"/>
  <c r="W144" i="1"/>
  <c r="V144" i="1"/>
  <c r="W143" i="1"/>
  <c r="V143" i="1"/>
  <c r="W142" i="1"/>
  <c r="V142" i="1"/>
  <c r="W141" i="1"/>
  <c r="V141" i="1"/>
  <c r="W140" i="1"/>
  <c r="V140" i="1"/>
  <c r="W139" i="1"/>
  <c r="V139" i="1"/>
  <c r="W138" i="1"/>
  <c r="V138" i="1"/>
  <c r="W137" i="1"/>
  <c r="V137" i="1"/>
  <c r="W136" i="1"/>
  <c r="V136" i="1"/>
  <c r="W135" i="1"/>
  <c r="V135" i="1"/>
  <c r="W134" i="1"/>
  <c r="V134" i="1"/>
  <c r="W133" i="1"/>
  <c r="V133" i="1"/>
  <c r="W132" i="1"/>
  <c r="V132" i="1"/>
  <c r="W131" i="1"/>
  <c r="V131" i="1"/>
  <c r="W130" i="1"/>
  <c r="V130" i="1"/>
  <c r="W129" i="1"/>
  <c r="V129" i="1"/>
  <c r="W128" i="1"/>
  <c r="V128" i="1"/>
  <c r="W127" i="1"/>
  <c r="V127" i="1"/>
  <c r="W126" i="1"/>
  <c r="V126" i="1"/>
  <c r="W125" i="1"/>
  <c r="V125" i="1"/>
  <c r="W124" i="1"/>
  <c r="V124" i="1"/>
  <c r="W123" i="1"/>
  <c r="V123" i="1"/>
  <c r="W122" i="1"/>
  <c r="V122" i="1"/>
  <c r="W121" i="1"/>
  <c r="V121" i="1"/>
  <c r="W120" i="1"/>
  <c r="V120" i="1"/>
  <c r="W119" i="1"/>
  <c r="V119" i="1"/>
  <c r="W118" i="1"/>
  <c r="V118" i="1"/>
  <c r="W117" i="1"/>
  <c r="V117" i="1"/>
  <c r="W116" i="1"/>
  <c r="V116" i="1"/>
  <c r="W115" i="1"/>
  <c r="V115" i="1"/>
  <c r="W114" i="1"/>
  <c r="V114" i="1"/>
  <c r="W113" i="1"/>
  <c r="V113" i="1"/>
  <c r="W112" i="1"/>
  <c r="V112" i="1"/>
  <c r="W111" i="1"/>
  <c r="V111" i="1"/>
  <c r="W110" i="1"/>
  <c r="V110" i="1"/>
  <c r="W109" i="1"/>
  <c r="V109" i="1"/>
  <c r="W108" i="1"/>
  <c r="V108" i="1"/>
  <c r="W107" i="1"/>
  <c r="V107" i="1"/>
  <c r="W106" i="1"/>
  <c r="V106" i="1"/>
  <c r="W105" i="1"/>
  <c r="V105" i="1"/>
  <c r="W104" i="1"/>
  <c r="V104" i="1"/>
  <c r="W103" i="1"/>
  <c r="V103" i="1"/>
  <c r="W102" i="1"/>
  <c r="V102" i="1"/>
  <c r="W101" i="1"/>
  <c r="V101" i="1"/>
  <c r="W100" i="1"/>
  <c r="V100" i="1"/>
  <c r="W99" i="1"/>
  <c r="V99" i="1"/>
  <c r="W98" i="1"/>
  <c r="V98" i="1"/>
  <c r="W97" i="1"/>
  <c r="V97" i="1"/>
  <c r="W96" i="1"/>
  <c r="V96" i="1"/>
  <c r="W95" i="1"/>
  <c r="V95" i="1"/>
  <c r="W94" i="1"/>
  <c r="V94" i="1"/>
  <c r="W93" i="1"/>
  <c r="V93" i="1"/>
  <c r="W92" i="1"/>
  <c r="V92" i="1"/>
  <c r="W91" i="1"/>
  <c r="V91" i="1"/>
  <c r="W90" i="1"/>
  <c r="V90" i="1"/>
  <c r="W89" i="1"/>
  <c r="V89" i="1"/>
  <c r="W88" i="1"/>
  <c r="V88" i="1"/>
  <c r="W87" i="1"/>
  <c r="V87" i="1"/>
  <c r="W86" i="1"/>
  <c r="V86" i="1"/>
  <c r="W85" i="1"/>
  <c r="V85" i="1"/>
  <c r="W84" i="1"/>
  <c r="V84" i="1"/>
  <c r="W83" i="1"/>
  <c r="V83" i="1"/>
  <c r="W82" i="1"/>
  <c r="V82" i="1"/>
  <c r="W81" i="1"/>
  <c r="V81" i="1"/>
  <c r="W80" i="1"/>
  <c r="V80" i="1"/>
  <c r="W79" i="1"/>
  <c r="V79" i="1"/>
  <c r="W78" i="1"/>
  <c r="V78" i="1"/>
  <c r="W77" i="1"/>
  <c r="V77" i="1"/>
  <c r="W76" i="1"/>
  <c r="V76" i="1"/>
  <c r="W75" i="1"/>
  <c r="V75" i="1"/>
  <c r="W74" i="1"/>
  <c r="V74" i="1"/>
  <c r="W73" i="1"/>
  <c r="V73" i="1"/>
  <c r="W72" i="1"/>
  <c r="V72" i="1"/>
  <c r="W71" i="1"/>
  <c r="V71" i="1"/>
  <c r="W70" i="1"/>
  <c r="V70" i="1"/>
  <c r="W69" i="1"/>
  <c r="V69" i="1"/>
  <c r="W68" i="1"/>
  <c r="V68" i="1"/>
  <c r="W67" i="1"/>
  <c r="V67" i="1"/>
  <c r="W66" i="1"/>
  <c r="V66" i="1"/>
  <c r="W65" i="1"/>
  <c r="V65" i="1"/>
  <c r="W64" i="1"/>
  <c r="V64" i="1"/>
  <c r="W63" i="1"/>
  <c r="V63" i="1"/>
  <c r="W62" i="1"/>
  <c r="V62" i="1"/>
  <c r="W61" i="1"/>
  <c r="V61" i="1"/>
  <c r="W60" i="1"/>
  <c r="V60" i="1"/>
  <c r="W59" i="1"/>
  <c r="V59" i="1"/>
  <c r="W58" i="1"/>
  <c r="V58" i="1"/>
  <c r="W57" i="1"/>
  <c r="V57" i="1"/>
  <c r="W56" i="1"/>
  <c r="V56" i="1"/>
  <c r="W55" i="1"/>
  <c r="V55" i="1"/>
  <c r="W54" i="1"/>
  <c r="V54" i="1"/>
  <c r="W53" i="1"/>
  <c r="V53" i="1"/>
  <c r="W52" i="1"/>
  <c r="V52" i="1"/>
  <c r="W51" i="1"/>
  <c r="V51" i="1"/>
  <c r="W50" i="1"/>
  <c r="V50" i="1"/>
  <c r="W49" i="1"/>
  <c r="V49" i="1"/>
  <c r="W48" i="1"/>
  <c r="V48" i="1"/>
  <c r="W47" i="1"/>
  <c r="V47" i="1"/>
  <c r="W46" i="1"/>
  <c r="V46" i="1"/>
  <c r="W45" i="1"/>
  <c r="V45" i="1"/>
  <c r="W44" i="1"/>
  <c r="V44" i="1"/>
  <c r="W43" i="1"/>
  <c r="V43" i="1"/>
  <c r="W42" i="1"/>
  <c r="V42" i="1"/>
  <c r="W41" i="1"/>
  <c r="V41" i="1"/>
  <c r="W40" i="1"/>
  <c r="V40" i="1"/>
  <c r="W39" i="1"/>
  <c r="V39" i="1"/>
  <c r="W38" i="1"/>
  <c r="V38" i="1"/>
  <c r="W37" i="1"/>
  <c r="V37" i="1"/>
  <c r="W36" i="1"/>
  <c r="V36" i="1"/>
  <c r="W35" i="1"/>
  <c r="V35" i="1"/>
  <c r="W34" i="1"/>
  <c r="V34" i="1"/>
  <c r="W33" i="1"/>
  <c r="V33" i="1"/>
  <c r="W32" i="1"/>
  <c r="V32" i="1"/>
  <c r="W31" i="1"/>
  <c r="V31" i="1"/>
  <c r="W30" i="1"/>
  <c r="V30" i="1"/>
  <c r="W29" i="1"/>
  <c r="V29" i="1"/>
  <c r="W28" i="1"/>
  <c r="V28" i="1"/>
  <c r="W27" i="1"/>
  <c r="V27" i="1"/>
  <c r="W26" i="1"/>
  <c r="V26" i="1"/>
  <c r="W25" i="1"/>
  <c r="V25" i="1"/>
  <c r="W24" i="1"/>
  <c r="V24" i="1"/>
  <c r="W23" i="1"/>
  <c r="V23" i="1"/>
  <c r="W22" i="1"/>
  <c r="V22" i="1"/>
  <c r="W21" i="1"/>
  <c r="V21" i="1"/>
  <c r="W20" i="1"/>
  <c r="V20" i="1"/>
  <c r="W19" i="1"/>
  <c r="V19" i="1"/>
  <c r="W18" i="1"/>
  <c r="V18" i="1"/>
  <c r="W17" i="1"/>
  <c r="V17" i="1"/>
  <c r="W16" i="1"/>
  <c r="V16" i="1"/>
  <c r="W15" i="1"/>
  <c r="V15" i="1"/>
  <c r="W14" i="1"/>
  <c r="V14" i="1"/>
  <c r="W13" i="1"/>
  <c r="V13" i="1"/>
  <c r="W12" i="1"/>
  <c r="V12" i="1"/>
  <c r="W11" i="1"/>
  <c r="V11" i="1"/>
  <c r="W10" i="1"/>
  <c r="V10" i="1"/>
  <c r="W9" i="1"/>
  <c r="V9" i="1"/>
  <c r="W8" i="1"/>
  <c r="V8" i="1"/>
  <c r="W7" i="1"/>
  <c r="V7" i="1"/>
  <c r="W6" i="1"/>
  <c r="V6" i="1"/>
  <c r="W5" i="1"/>
  <c r="V5" i="1"/>
  <c r="W4" i="1"/>
  <c r="V4" i="1"/>
  <c r="W3" i="1"/>
  <c r="V3" i="1"/>
  <c r="W2" i="1"/>
  <c r="U501" i="10"/>
  <c r="R501" i="10"/>
  <c r="T501" i="10" s="1"/>
  <c r="U500" i="10"/>
  <c r="R500" i="10"/>
  <c r="T500" i="10" s="1"/>
  <c r="U499" i="10"/>
  <c r="R499" i="10"/>
  <c r="T499" i="10" s="1"/>
  <c r="U498" i="10"/>
  <c r="R498" i="10"/>
  <c r="S498" i="10" s="1"/>
  <c r="U497" i="10"/>
  <c r="R497" i="10"/>
  <c r="T497" i="10" s="1"/>
  <c r="U496" i="10"/>
  <c r="R496" i="10"/>
  <c r="S496" i="10" s="1"/>
  <c r="U495" i="10"/>
  <c r="R495" i="10"/>
  <c r="T495" i="10" s="1"/>
  <c r="U494" i="10"/>
  <c r="R494" i="10"/>
  <c r="S494" i="10" s="1"/>
  <c r="U493" i="10"/>
  <c r="R493" i="10"/>
  <c r="T493" i="10" s="1"/>
  <c r="U492" i="10"/>
  <c r="R492" i="10"/>
  <c r="S492" i="10" s="1"/>
  <c r="U491" i="10"/>
  <c r="R491" i="10"/>
  <c r="T491" i="10" s="1"/>
  <c r="U490" i="10"/>
  <c r="R490" i="10"/>
  <c r="S490" i="10" s="1"/>
  <c r="U489" i="10"/>
  <c r="R489" i="10"/>
  <c r="T489" i="10" s="1"/>
  <c r="U488" i="10"/>
  <c r="R488" i="10"/>
  <c r="S488" i="10" s="1"/>
  <c r="U487" i="10"/>
  <c r="R487" i="10"/>
  <c r="T487" i="10" s="1"/>
  <c r="U486" i="10"/>
  <c r="R486" i="10"/>
  <c r="S486" i="10" s="1"/>
  <c r="U485" i="10"/>
  <c r="R485" i="10"/>
  <c r="T485" i="10" s="1"/>
  <c r="U484" i="10"/>
  <c r="R484" i="10"/>
  <c r="S484" i="10" s="1"/>
  <c r="U483" i="10"/>
  <c r="R483" i="10"/>
  <c r="T483" i="10" s="1"/>
  <c r="U482" i="10"/>
  <c r="R482" i="10"/>
  <c r="S482" i="10" s="1"/>
  <c r="U481" i="10"/>
  <c r="R481" i="10"/>
  <c r="T481" i="10" s="1"/>
  <c r="U480" i="10"/>
  <c r="R480" i="10"/>
  <c r="S480" i="10" s="1"/>
  <c r="U479" i="10"/>
  <c r="R479" i="10"/>
  <c r="T479" i="10" s="1"/>
  <c r="U478" i="10"/>
  <c r="R478" i="10"/>
  <c r="S478" i="10" s="1"/>
  <c r="U477" i="10"/>
  <c r="R477" i="10"/>
  <c r="T477" i="10" s="1"/>
  <c r="U476" i="10"/>
  <c r="R476" i="10"/>
  <c r="S476" i="10" s="1"/>
  <c r="U475" i="10"/>
  <c r="R475" i="10"/>
  <c r="T475" i="10" s="1"/>
  <c r="U474" i="10"/>
  <c r="R474" i="10"/>
  <c r="S474" i="10" s="1"/>
  <c r="U473" i="10"/>
  <c r="R473" i="10"/>
  <c r="T473" i="10" s="1"/>
  <c r="U472" i="10"/>
  <c r="R472" i="10"/>
  <c r="S472" i="10" s="1"/>
  <c r="U471" i="10"/>
  <c r="R471" i="10"/>
  <c r="T471" i="10" s="1"/>
  <c r="U470" i="10"/>
  <c r="R470" i="10"/>
  <c r="S470" i="10" s="1"/>
  <c r="U469" i="10"/>
  <c r="R469" i="10"/>
  <c r="T469" i="10" s="1"/>
  <c r="U468" i="10"/>
  <c r="R468" i="10"/>
  <c r="S468" i="10" s="1"/>
  <c r="U467" i="10"/>
  <c r="R467" i="10"/>
  <c r="T467" i="10" s="1"/>
  <c r="U466" i="10"/>
  <c r="R466" i="10"/>
  <c r="S466" i="10" s="1"/>
  <c r="U465" i="10"/>
  <c r="R465" i="10"/>
  <c r="T465" i="10" s="1"/>
  <c r="U464" i="10"/>
  <c r="R464" i="10"/>
  <c r="S464" i="10" s="1"/>
  <c r="U463" i="10"/>
  <c r="R463" i="10"/>
  <c r="T463" i="10" s="1"/>
  <c r="U462" i="10"/>
  <c r="R462" i="10"/>
  <c r="S462" i="10" s="1"/>
  <c r="U461" i="10"/>
  <c r="R461" i="10"/>
  <c r="T461" i="10" s="1"/>
  <c r="U460" i="10"/>
  <c r="R460" i="10"/>
  <c r="S460" i="10" s="1"/>
  <c r="U459" i="10"/>
  <c r="R459" i="10"/>
  <c r="T459" i="10" s="1"/>
  <c r="U458" i="10"/>
  <c r="R458" i="10"/>
  <c r="S458" i="10" s="1"/>
  <c r="U457" i="10"/>
  <c r="R457" i="10"/>
  <c r="T457" i="10" s="1"/>
  <c r="U456" i="10"/>
  <c r="R456" i="10"/>
  <c r="S456" i="10" s="1"/>
  <c r="U455" i="10"/>
  <c r="R455" i="10"/>
  <c r="T455" i="10" s="1"/>
  <c r="U454" i="10"/>
  <c r="R454" i="10"/>
  <c r="S454" i="10" s="1"/>
  <c r="U453" i="10"/>
  <c r="R453" i="10"/>
  <c r="T453" i="10" s="1"/>
  <c r="U452" i="10"/>
  <c r="R452" i="10"/>
  <c r="S452" i="10" s="1"/>
  <c r="U451" i="10"/>
  <c r="R451" i="10"/>
  <c r="T451" i="10" s="1"/>
  <c r="U450" i="10"/>
  <c r="R450" i="10"/>
  <c r="S450" i="10" s="1"/>
  <c r="U449" i="10"/>
  <c r="R449" i="10"/>
  <c r="T449" i="10" s="1"/>
  <c r="U448" i="10"/>
  <c r="R448" i="10"/>
  <c r="S448" i="10" s="1"/>
  <c r="U447" i="10"/>
  <c r="R447" i="10"/>
  <c r="T447" i="10" s="1"/>
  <c r="U446" i="10"/>
  <c r="R446" i="10"/>
  <c r="S446" i="10" s="1"/>
  <c r="U445" i="10"/>
  <c r="R445" i="10"/>
  <c r="T445" i="10" s="1"/>
  <c r="U444" i="10"/>
  <c r="R444" i="10"/>
  <c r="S444" i="10" s="1"/>
  <c r="U443" i="10"/>
  <c r="R443" i="10"/>
  <c r="T443" i="10" s="1"/>
  <c r="U442" i="10"/>
  <c r="R442" i="10"/>
  <c r="S442" i="10" s="1"/>
  <c r="U441" i="10"/>
  <c r="R441" i="10"/>
  <c r="T441" i="10" s="1"/>
  <c r="U440" i="10"/>
  <c r="R440" i="10"/>
  <c r="S440" i="10" s="1"/>
  <c r="U439" i="10"/>
  <c r="R439" i="10"/>
  <c r="T439" i="10" s="1"/>
  <c r="U438" i="10"/>
  <c r="R438" i="10"/>
  <c r="S438" i="10" s="1"/>
  <c r="U437" i="10"/>
  <c r="R437" i="10"/>
  <c r="T437" i="10" s="1"/>
  <c r="U436" i="10"/>
  <c r="R436" i="10"/>
  <c r="S436" i="10" s="1"/>
  <c r="U435" i="10"/>
  <c r="R435" i="10"/>
  <c r="T435" i="10" s="1"/>
  <c r="U434" i="10"/>
  <c r="R434" i="10"/>
  <c r="S434" i="10" s="1"/>
  <c r="U433" i="10"/>
  <c r="R433" i="10"/>
  <c r="T433" i="10" s="1"/>
  <c r="U432" i="10"/>
  <c r="R432" i="10"/>
  <c r="S432" i="10" s="1"/>
  <c r="U431" i="10"/>
  <c r="R431" i="10"/>
  <c r="T431" i="10" s="1"/>
  <c r="U430" i="10"/>
  <c r="R430" i="10"/>
  <c r="S430" i="10" s="1"/>
  <c r="U429" i="10"/>
  <c r="R429" i="10"/>
  <c r="T429" i="10" s="1"/>
  <c r="U428" i="10"/>
  <c r="R428" i="10"/>
  <c r="S428" i="10" s="1"/>
  <c r="U427" i="10"/>
  <c r="R427" i="10"/>
  <c r="T427" i="10" s="1"/>
  <c r="U426" i="10"/>
  <c r="R426" i="10"/>
  <c r="S426" i="10" s="1"/>
  <c r="U425" i="10"/>
  <c r="R425" i="10"/>
  <c r="T425" i="10" s="1"/>
  <c r="U424" i="10"/>
  <c r="R424" i="10"/>
  <c r="S424" i="10" s="1"/>
  <c r="U423" i="10"/>
  <c r="R423" i="10"/>
  <c r="T423" i="10" s="1"/>
  <c r="U422" i="10"/>
  <c r="R422" i="10"/>
  <c r="S422" i="10" s="1"/>
  <c r="U421" i="10"/>
  <c r="R421" i="10"/>
  <c r="T421" i="10" s="1"/>
  <c r="U420" i="10"/>
  <c r="R420" i="10"/>
  <c r="S420" i="10" s="1"/>
  <c r="U419" i="10"/>
  <c r="R419" i="10"/>
  <c r="T419" i="10" s="1"/>
  <c r="U418" i="10"/>
  <c r="R418" i="10"/>
  <c r="S418" i="10" s="1"/>
  <c r="U417" i="10"/>
  <c r="R417" i="10"/>
  <c r="T417" i="10" s="1"/>
  <c r="U416" i="10"/>
  <c r="R416" i="10"/>
  <c r="S416" i="10" s="1"/>
  <c r="U415" i="10"/>
  <c r="R415" i="10"/>
  <c r="T415" i="10" s="1"/>
  <c r="U414" i="10"/>
  <c r="R414" i="10"/>
  <c r="S414" i="10" s="1"/>
  <c r="U413" i="10"/>
  <c r="R413" i="10"/>
  <c r="T413" i="10" s="1"/>
  <c r="U412" i="10"/>
  <c r="R412" i="10"/>
  <c r="S412" i="10" s="1"/>
  <c r="U411" i="10"/>
  <c r="R411" i="10"/>
  <c r="T411" i="10" s="1"/>
  <c r="U410" i="10"/>
  <c r="R410" i="10"/>
  <c r="S410" i="10" s="1"/>
  <c r="U409" i="10"/>
  <c r="R409" i="10"/>
  <c r="T409" i="10" s="1"/>
  <c r="U408" i="10"/>
  <c r="R408" i="10"/>
  <c r="S408" i="10" s="1"/>
  <c r="U407" i="10"/>
  <c r="R407" i="10"/>
  <c r="T407" i="10" s="1"/>
  <c r="U406" i="10"/>
  <c r="R406" i="10"/>
  <c r="S406" i="10" s="1"/>
  <c r="U405" i="10"/>
  <c r="R405" i="10"/>
  <c r="T405" i="10" s="1"/>
  <c r="U404" i="10"/>
  <c r="R404" i="10"/>
  <c r="S404" i="10" s="1"/>
  <c r="U403" i="10"/>
  <c r="R403" i="10"/>
  <c r="T403" i="10" s="1"/>
  <c r="U402" i="10"/>
  <c r="R402" i="10"/>
  <c r="S402" i="10" s="1"/>
  <c r="U401" i="10"/>
  <c r="R401" i="10"/>
  <c r="T401" i="10" s="1"/>
  <c r="U400" i="10"/>
  <c r="R400" i="10"/>
  <c r="S400" i="10" s="1"/>
  <c r="U399" i="10"/>
  <c r="R399" i="10"/>
  <c r="T399" i="10" s="1"/>
  <c r="U398" i="10"/>
  <c r="R398" i="10"/>
  <c r="S398" i="10" s="1"/>
  <c r="U397" i="10"/>
  <c r="R397" i="10"/>
  <c r="T397" i="10" s="1"/>
  <c r="U396" i="10"/>
  <c r="R396" i="10"/>
  <c r="S396" i="10" s="1"/>
  <c r="U395" i="10"/>
  <c r="R395" i="10"/>
  <c r="T395" i="10" s="1"/>
  <c r="U394" i="10"/>
  <c r="R394" i="10"/>
  <c r="S394" i="10" s="1"/>
  <c r="U393" i="10"/>
  <c r="R393" i="10"/>
  <c r="T393" i="10" s="1"/>
  <c r="U392" i="10"/>
  <c r="R392" i="10"/>
  <c r="S392" i="10" s="1"/>
  <c r="U391" i="10"/>
  <c r="R391" i="10"/>
  <c r="T391" i="10" s="1"/>
  <c r="U390" i="10"/>
  <c r="R390" i="10"/>
  <c r="S390" i="10" s="1"/>
  <c r="U389" i="10"/>
  <c r="R389" i="10"/>
  <c r="T389" i="10" s="1"/>
  <c r="U388" i="10"/>
  <c r="R388" i="10"/>
  <c r="S388" i="10" s="1"/>
  <c r="U387" i="10"/>
  <c r="R387" i="10"/>
  <c r="T387" i="10" s="1"/>
  <c r="U386" i="10"/>
  <c r="R386" i="10"/>
  <c r="S386" i="10" s="1"/>
  <c r="U385" i="10"/>
  <c r="R385" i="10"/>
  <c r="T385" i="10" s="1"/>
  <c r="U384" i="10"/>
  <c r="R384" i="10"/>
  <c r="S384" i="10" s="1"/>
  <c r="U383" i="10"/>
  <c r="R383" i="10"/>
  <c r="T383" i="10" s="1"/>
  <c r="U382" i="10"/>
  <c r="R382" i="10"/>
  <c r="S382" i="10" s="1"/>
  <c r="U381" i="10"/>
  <c r="R381" i="10"/>
  <c r="T381" i="10" s="1"/>
  <c r="U380" i="10"/>
  <c r="R380" i="10"/>
  <c r="S380" i="10" s="1"/>
  <c r="U379" i="10"/>
  <c r="R379" i="10"/>
  <c r="T379" i="10" s="1"/>
  <c r="U378" i="10"/>
  <c r="R378" i="10"/>
  <c r="S378" i="10" s="1"/>
  <c r="U377" i="10"/>
  <c r="R377" i="10"/>
  <c r="T377" i="10" s="1"/>
  <c r="U376" i="10"/>
  <c r="R376" i="10"/>
  <c r="S376" i="10" s="1"/>
  <c r="U375" i="10"/>
  <c r="R375" i="10"/>
  <c r="T375" i="10" s="1"/>
  <c r="U374" i="10"/>
  <c r="R374" i="10"/>
  <c r="S374" i="10" s="1"/>
  <c r="U373" i="10"/>
  <c r="R373" i="10"/>
  <c r="T373" i="10" s="1"/>
  <c r="U372" i="10"/>
  <c r="R372" i="10"/>
  <c r="T372" i="10" s="1"/>
  <c r="U371" i="10"/>
  <c r="R371" i="10"/>
  <c r="S371" i="10" s="1"/>
  <c r="U370" i="10"/>
  <c r="R370" i="10"/>
  <c r="T370" i="10" s="1"/>
  <c r="U369" i="10"/>
  <c r="R369" i="10"/>
  <c r="S369" i="10" s="1"/>
  <c r="U368" i="10"/>
  <c r="R368" i="10"/>
  <c r="U367" i="10"/>
  <c r="R367" i="10"/>
  <c r="U366" i="10"/>
  <c r="R366" i="10"/>
  <c r="T366" i="10" s="1"/>
  <c r="U365" i="10"/>
  <c r="R365" i="10"/>
  <c r="S365" i="10" s="1"/>
  <c r="U364" i="10"/>
  <c r="R364" i="10"/>
  <c r="T364" i="10" s="1"/>
  <c r="U363" i="10"/>
  <c r="R363" i="10"/>
  <c r="S363" i="10" s="1"/>
  <c r="U362" i="10"/>
  <c r="R362" i="10"/>
  <c r="T362" i="10" s="1"/>
  <c r="U361" i="10"/>
  <c r="R361" i="10"/>
  <c r="S361" i="10" s="1"/>
  <c r="U360" i="10"/>
  <c r="R360" i="10"/>
  <c r="U359" i="10"/>
  <c r="R359" i="10"/>
  <c r="U358" i="10"/>
  <c r="R358" i="10"/>
  <c r="T358" i="10" s="1"/>
  <c r="U357" i="10"/>
  <c r="R357" i="10"/>
  <c r="T357" i="10" s="1"/>
  <c r="U356" i="10"/>
  <c r="R356" i="10"/>
  <c r="T356" i="10" s="1"/>
  <c r="U355" i="10"/>
  <c r="R355" i="10"/>
  <c r="S355" i="10" s="1"/>
  <c r="U354" i="10"/>
  <c r="R354" i="10"/>
  <c r="T354" i="10" s="1"/>
  <c r="U353" i="10"/>
  <c r="R353" i="10"/>
  <c r="T353" i="10" s="1"/>
  <c r="U352" i="10"/>
  <c r="R352" i="10"/>
  <c r="U351" i="10"/>
  <c r="R351" i="10"/>
  <c r="U350" i="10"/>
  <c r="R350" i="10"/>
  <c r="T350" i="10" s="1"/>
  <c r="U349" i="10"/>
  <c r="R349" i="10"/>
  <c r="T349" i="10" s="1"/>
  <c r="U348" i="10"/>
  <c r="R348" i="10"/>
  <c r="T348" i="10" s="1"/>
  <c r="U347" i="10"/>
  <c r="R347" i="10"/>
  <c r="S347" i="10" s="1"/>
  <c r="U346" i="10"/>
  <c r="R346" i="10"/>
  <c r="T346" i="10" s="1"/>
  <c r="U345" i="10"/>
  <c r="R345" i="10"/>
  <c r="T345" i="10" s="1"/>
  <c r="U344" i="10"/>
  <c r="R344" i="10"/>
  <c r="U343" i="10"/>
  <c r="R343" i="10"/>
  <c r="U342" i="10"/>
  <c r="R342" i="10"/>
  <c r="T342" i="10" s="1"/>
  <c r="U341" i="10"/>
  <c r="R341" i="10"/>
  <c r="T341" i="10" s="1"/>
  <c r="U340" i="10"/>
  <c r="R340" i="10"/>
  <c r="T340" i="10" s="1"/>
  <c r="U339" i="10"/>
  <c r="R339" i="10"/>
  <c r="S339" i="10" s="1"/>
  <c r="U338" i="10"/>
  <c r="R338" i="10"/>
  <c r="T338" i="10" s="1"/>
  <c r="U337" i="10"/>
  <c r="R337" i="10"/>
  <c r="S337" i="10" s="1"/>
  <c r="U336" i="10"/>
  <c r="R336" i="10"/>
  <c r="U335" i="10"/>
  <c r="R335" i="10"/>
  <c r="U334" i="10"/>
  <c r="R334" i="10"/>
  <c r="T334" i="10" s="1"/>
  <c r="U333" i="10"/>
  <c r="R333" i="10"/>
  <c r="T333" i="10" s="1"/>
  <c r="U332" i="10"/>
  <c r="R332" i="10"/>
  <c r="T332" i="10" s="1"/>
  <c r="U331" i="10"/>
  <c r="R331" i="10"/>
  <c r="S331" i="10" s="1"/>
  <c r="U330" i="10"/>
  <c r="R330" i="10"/>
  <c r="T330" i="10" s="1"/>
  <c r="U329" i="10"/>
  <c r="R329" i="10"/>
  <c r="T329" i="10" s="1"/>
  <c r="U328" i="10"/>
  <c r="R328" i="10"/>
  <c r="U327" i="10"/>
  <c r="R327" i="10"/>
  <c r="U326" i="10"/>
  <c r="R326" i="10"/>
  <c r="T326" i="10" s="1"/>
  <c r="U325" i="10"/>
  <c r="R325" i="10"/>
  <c r="T325" i="10" s="1"/>
  <c r="U324" i="10"/>
  <c r="R324" i="10"/>
  <c r="T324" i="10" s="1"/>
  <c r="U323" i="10"/>
  <c r="R323" i="10"/>
  <c r="S323" i="10" s="1"/>
  <c r="U322" i="10"/>
  <c r="R322" i="10"/>
  <c r="T322" i="10" s="1"/>
  <c r="U321" i="10"/>
  <c r="R321" i="10"/>
  <c r="T321" i="10" s="1"/>
  <c r="U320" i="10"/>
  <c r="R320" i="10"/>
  <c r="U319" i="10"/>
  <c r="R319" i="10"/>
  <c r="U318" i="10"/>
  <c r="R318" i="10"/>
  <c r="T318" i="10" s="1"/>
  <c r="U317" i="10"/>
  <c r="R317" i="10"/>
  <c r="T317" i="10" s="1"/>
  <c r="U316" i="10"/>
  <c r="R316" i="10"/>
  <c r="T316" i="10" s="1"/>
  <c r="U315" i="10"/>
  <c r="R315" i="10"/>
  <c r="S315" i="10" s="1"/>
  <c r="U314" i="10"/>
  <c r="R314" i="10"/>
  <c r="T314" i="10" s="1"/>
  <c r="U313" i="10"/>
  <c r="R313" i="10"/>
  <c r="T313" i="10" s="1"/>
  <c r="U312" i="10"/>
  <c r="R312" i="10"/>
  <c r="U311" i="10"/>
  <c r="R311" i="10"/>
  <c r="U310" i="10"/>
  <c r="R310" i="10"/>
  <c r="T310" i="10" s="1"/>
  <c r="U309" i="10"/>
  <c r="R309" i="10"/>
  <c r="T309" i="10" s="1"/>
  <c r="U308" i="10"/>
  <c r="R308" i="10"/>
  <c r="T308" i="10" s="1"/>
  <c r="U307" i="10"/>
  <c r="R307" i="10"/>
  <c r="T307" i="10" s="1"/>
  <c r="U306" i="10"/>
  <c r="R306" i="10"/>
  <c r="U305" i="10"/>
  <c r="R305" i="10"/>
  <c r="U304" i="10"/>
  <c r="R304" i="10"/>
  <c r="T304" i="10" s="1"/>
  <c r="U303" i="10"/>
  <c r="R303" i="10"/>
  <c r="T303" i="10" s="1"/>
  <c r="U302" i="10"/>
  <c r="R302" i="10"/>
  <c r="T302" i="10" s="1"/>
  <c r="U301" i="10"/>
  <c r="R301" i="10"/>
  <c r="T301" i="10" s="1"/>
  <c r="U300" i="10"/>
  <c r="R300" i="10"/>
  <c r="U299" i="10"/>
  <c r="R299" i="10"/>
  <c r="T299" i="10" s="1"/>
  <c r="U298" i="10"/>
  <c r="R298" i="10"/>
  <c r="T298" i="10" s="1"/>
  <c r="U297" i="10"/>
  <c r="R297" i="10"/>
  <c r="T297" i="10" s="1"/>
  <c r="U296" i="10"/>
  <c r="R296" i="10"/>
  <c r="U295" i="10"/>
  <c r="R295" i="10"/>
  <c r="T295" i="10" s="1"/>
  <c r="U294" i="10"/>
  <c r="R294" i="10"/>
  <c r="T294" i="10" s="1"/>
  <c r="U293" i="10"/>
  <c r="R293" i="10"/>
  <c r="T293" i="10" s="1"/>
  <c r="U292" i="10"/>
  <c r="R292" i="10"/>
  <c r="U291" i="10"/>
  <c r="R291" i="10"/>
  <c r="T291" i="10" s="1"/>
  <c r="U290" i="10"/>
  <c r="R290" i="10"/>
  <c r="T290" i="10" s="1"/>
  <c r="U289" i="10"/>
  <c r="R289" i="10"/>
  <c r="T289" i="10" s="1"/>
  <c r="U288" i="10"/>
  <c r="R288" i="10"/>
  <c r="U287" i="10"/>
  <c r="R287" i="10"/>
  <c r="T287" i="10" s="1"/>
  <c r="U286" i="10"/>
  <c r="R286" i="10"/>
  <c r="T286" i="10" s="1"/>
  <c r="U285" i="10"/>
  <c r="R285" i="10"/>
  <c r="T285" i="10" s="1"/>
  <c r="U284" i="10"/>
  <c r="R284" i="10"/>
  <c r="U283" i="10"/>
  <c r="R283" i="10"/>
  <c r="T283" i="10" s="1"/>
  <c r="U282" i="10"/>
  <c r="R282" i="10"/>
  <c r="T282" i="10" s="1"/>
  <c r="U281" i="10"/>
  <c r="R281" i="10"/>
  <c r="T281" i="10" s="1"/>
  <c r="U280" i="10"/>
  <c r="R280" i="10"/>
  <c r="U279" i="10"/>
  <c r="R279" i="10"/>
  <c r="T279" i="10" s="1"/>
  <c r="U278" i="10"/>
  <c r="R278" i="10"/>
  <c r="T278" i="10" s="1"/>
  <c r="U277" i="10"/>
  <c r="R277" i="10"/>
  <c r="T277" i="10" s="1"/>
  <c r="U276" i="10"/>
  <c r="R276" i="10"/>
  <c r="U275" i="10"/>
  <c r="R275" i="10"/>
  <c r="T275" i="10" s="1"/>
  <c r="U274" i="10"/>
  <c r="R274" i="10"/>
  <c r="T274" i="10" s="1"/>
  <c r="U273" i="10"/>
  <c r="R273" i="10"/>
  <c r="T273" i="10" s="1"/>
  <c r="U272" i="10"/>
  <c r="R272" i="10"/>
  <c r="T272" i="10" s="1"/>
  <c r="U271" i="10"/>
  <c r="R271" i="10"/>
  <c r="T271" i="10" s="1"/>
  <c r="U270" i="10"/>
  <c r="R270" i="10"/>
  <c r="T270" i="10" s="1"/>
  <c r="U269" i="10"/>
  <c r="R269" i="10"/>
  <c r="U268" i="10"/>
  <c r="R268" i="10"/>
  <c r="T268" i="10" s="1"/>
  <c r="U267" i="10"/>
  <c r="R267" i="10"/>
  <c r="T267" i="10" s="1"/>
  <c r="U266" i="10"/>
  <c r="R266" i="10"/>
  <c r="T266" i="10" s="1"/>
  <c r="U265" i="10"/>
  <c r="R265" i="10"/>
  <c r="T265" i="10" s="1"/>
  <c r="U264" i="10"/>
  <c r="R264" i="10"/>
  <c r="T264" i="10" s="1"/>
  <c r="U263" i="10"/>
  <c r="R263" i="10"/>
  <c r="T263" i="10" s="1"/>
  <c r="U262" i="10"/>
  <c r="R262" i="10"/>
  <c r="T262" i="10" s="1"/>
  <c r="U261" i="10"/>
  <c r="R261" i="10"/>
  <c r="T261" i="10" s="1"/>
  <c r="U260" i="10"/>
  <c r="R260" i="10"/>
  <c r="T260" i="10" s="1"/>
  <c r="U259" i="10"/>
  <c r="R259" i="10"/>
  <c r="T259" i="10" s="1"/>
  <c r="U258" i="10"/>
  <c r="R258" i="10"/>
  <c r="T258" i="10" s="1"/>
  <c r="U257" i="10"/>
  <c r="R257" i="10"/>
  <c r="T257" i="10" s="1"/>
  <c r="U256" i="10"/>
  <c r="R256" i="10"/>
  <c r="T256" i="10" s="1"/>
  <c r="U255" i="10"/>
  <c r="R255" i="10"/>
  <c r="U254" i="10"/>
  <c r="R254" i="10"/>
  <c r="T254" i="10" s="1"/>
  <c r="U253" i="10"/>
  <c r="R253" i="10"/>
  <c r="T253" i="10" s="1"/>
  <c r="U252" i="10"/>
  <c r="R252" i="10"/>
  <c r="T252" i="10" s="1"/>
  <c r="U251" i="10"/>
  <c r="R251" i="10"/>
  <c r="T251" i="10" s="1"/>
  <c r="U250" i="10"/>
  <c r="R250" i="10"/>
  <c r="T250" i="10" s="1"/>
  <c r="U249" i="10"/>
  <c r="R249" i="10"/>
  <c r="U248" i="10"/>
  <c r="R248" i="10"/>
  <c r="T248" i="10" s="1"/>
  <c r="U247" i="10"/>
  <c r="R247" i="10"/>
  <c r="T247" i="10" s="1"/>
  <c r="U246" i="10"/>
  <c r="R246" i="10"/>
  <c r="U245" i="10"/>
  <c r="R245" i="10"/>
  <c r="S245" i="10" s="1"/>
  <c r="U244" i="10"/>
  <c r="R244" i="10"/>
  <c r="T244" i="10" s="1"/>
  <c r="U243" i="10"/>
  <c r="R243" i="10"/>
  <c r="U242" i="10"/>
  <c r="R242" i="10"/>
  <c r="T242" i="10" s="1"/>
  <c r="U241" i="10"/>
  <c r="R241" i="10"/>
  <c r="T241" i="10" s="1"/>
  <c r="U240" i="10"/>
  <c r="R240" i="10"/>
  <c r="T240" i="10" s="1"/>
  <c r="U239" i="10"/>
  <c r="R239" i="10"/>
  <c r="T239" i="10" s="1"/>
  <c r="U238" i="10"/>
  <c r="R238" i="10"/>
  <c r="U237" i="10"/>
  <c r="R237" i="10"/>
  <c r="S237" i="10" s="1"/>
  <c r="U236" i="10"/>
  <c r="R236" i="10"/>
  <c r="T236" i="10" s="1"/>
  <c r="U235" i="10"/>
  <c r="R235" i="10"/>
  <c r="T235" i="10" s="1"/>
  <c r="U234" i="10"/>
  <c r="R234" i="10"/>
  <c r="T234" i="10" s="1"/>
  <c r="U233" i="10"/>
  <c r="R233" i="10"/>
  <c r="T233" i="10" s="1"/>
  <c r="U232" i="10"/>
  <c r="R232" i="10"/>
  <c r="T232" i="10" s="1"/>
  <c r="U231" i="10"/>
  <c r="R231" i="10"/>
  <c r="T231" i="10" s="1"/>
  <c r="U230" i="10"/>
  <c r="R230" i="10"/>
  <c r="U229" i="10"/>
  <c r="R229" i="10"/>
  <c r="S229" i="10" s="1"/>
  <c r="U228" i="10"/>
  <c r="R228" i="10"/>
  <c r="T228" i="10" s="1"/>
  <c r="U227" i="10"/>
  <c r="R227" i="10"/>
  <c r="T227" i="10" s="1"/>
  <c r="U226" i="10"/>
  <c r="R226" i="10"/>
  <c r="T226" i="10" s="1"/>
  <c r="U225" i="10"/>
  <c r="R225" i="10"/>
  <c r="T225" i="10" s="1"/>
  <c r="U224" i="10"/>
  <c r="R224" i="10"/>
  <c r="T224" i="10" s="1"/>
  <c r="U223" i="10"/>
  <c r="R223" i="10"/>
  <c r="S223" i="10" s="1"/>
  <c r="U222" i="10"/>
  <c r="R222" i="10"/>
  <c r="U221" i="10"/>
  <c r="R221" i="10"/>
  <c r="S221" i="10" s="1"/>
  <c r="U220" i="10"/>
  <c r="R220" i="10"/>
  <c r="T220" i="10" s="1"/>
  <c r="U219" i="10"/>
  <c r="R219" i="10"/>
  <c r="T219" i="10" s="1"/>
  <c r="U218" i="10"/>
  <c r="R218" i="10"/>
  <c r="T218" i="10" s="1"/>
  <c r="U217" i="10"/>
  <c r="R217" i="10"/>
  <c r="T217" i="10" s="1"/>
  <c r="U216" i="10"/>
  <c r="R216" i="10"/>
  <c r="T216" i="10" s="1"/>
  <c r="U215" i="10"/>
  <c r="R215" i="10"/>
  <c r="S215" i="10" s="1"/>
  <c r="U214" i="10"/>
  <c r="R214" i="10"/>
  <c r="T214" i="10" s="1"/>
  <c r="U213" i="10"/>
  <c r="R213" i="10"/>
  <c r="T213" i="10" s="1"/>
  <c r="U212" i="10"/>
  <c r="R212" i="10"/>
  <c r="T212" i="10" s="1"/>
  <c r="U211" i="10"/>
  <c r="R211" i="10"/>
  <c r="T211" i="10" s="1"/>
  <c r="U210" i="10"/>
  <c r="R210" i="10"/>
  <c r="T210" i="10" s="1"/>
  <c r="U209" i="10"/>
  <c r="R209" i="10"/>
  <c r="T209" i="10" s="1"/>
  <c r="U208" i="10"/>
  <c r="R208" i="10"/>
  <c r="T208" i="10" s="1"/>
  <c r="U207" i="10"/>
  <c r="R207" i="10"/>
  <c r="T207" i="10" s="1"/>
  <c r="U206" i="10"/>
  <c r="R206" i="10"/>
  <c r="T206" i="10" s="1"/>
  <c r="U205" i="10"/>
  <c r="R205" i="10"/>
  <c r="T205" i="10" s="1"/>
  <c r="U204" i="10"/>
  <c r="R204" i="10"/>
  <c r="T204" i="10" s="1"/>
  <c r="U203" i="10"/>
  <c r="R203" i="10"/>
  <c r="T203" i="10" s="1"/>
  <c r="U202" i="10"/>
  <c r="R202" i="10"/>
  <c r="T202" i="10" s="1"/>
  <c r="U201" i="10"/>
  <c r="R201" i="10"/>
  <c r="S201" i="10" s="1"/>
  <c r="U200" i="10"/>
  <c r="R200" i="10"/>
  <c r="T200" i="10" s="1"/>
  <c r="U199" i="10"/>
  <c r="R199" i="10"/>
  <c r="S199" i="10" s="1"/>
  <c r="U198" i="10"/>
  <c r="R198" i="10"/>
  <c r="T198" i="10" s="1"/>
  <c r="U197" i="10"/>
  <c r="R197" i="10"/>
  <c r="T197" i="10" s="1"/>
  <c r="U196" i="10"/>
  <c r="R196" i="10"/>
  <c r="T196" i="10" s="1"/>
  <c r="U195" i="10"/>
  <c r="R195" i="10"/>
  <c r="S195" i="10" s="1"/>
  <c r="U194" i="10"/>
  <c r="R194" i="10"/>
  <c r="T194" i="10" s="1"/>
  <c r="U193" i="10"/>
  <c r="R193" i="10"/>
  <c r="T193" i="10" s="1"/>
  <c r="U192" i="10"/>
  <c r="R192" i="10"/>
  <c r="T192" i="10" s="1"/>
  <c r="U191" i="10"/>
  <c r="R191" i="10"/>
  <c r="T191" i="10" s="1"/>
  <c r="U190" i="10"/>
  <c r="R190" i="10"/>
  <c r="T190" i="10" s="1"/>
  <c r="U189" i="10"/>
  <c r="R189" i="10"/>
  <c r="T189" i="10" s="1"/>
  <c r="U188" i="10"/>
  <c r="R188" i="10"/>
  <c r="T188" i="10" s="1"/>
  <c r="U187" i="10"/>
  <c r="R187" i="10"/>
  <c r="T187" i="10" s="1"/>
  <c r="U186" i="10"/>
  <c r="R186" i="10"/>
  <c r="T186" i="10" s="1"/>
  <c r="U185" i="10"/>
  <c r="R185" i="10"/>
  <c r="S185" i="10" s="1"/>
  <c r="U184" i="10"/>
  <c r="R184" i="10"/>
  <c r="T184" i="10" s="1"/>
  <c r="U183" i="10"/>
  <c r="R183" i="10"/>
  <c r="T183" i="10" s="1"/>
  <c r="U182" i="10"/>
  <c r="R182" i="10"/>
  <c r="T182" i="10" s="1"/>
  <c r="U181" i="10"/>
  <c r="R181" i="10"/>
  <c r="T181" i="10" s="1"/>
  <c r="U180" i="10"/>
  <c r="R180" i="10"/>
  <c r="T180" i="10" s="1"/>
  <c r="U179" i="10"/>
  <c r="R179" i="10"/>
  <c r="T179" i="10" s="1"/>
  <c r="U178" i="10"/>
  <c r="R178" i="10"/>
  <c r="T178" i="10" s="1"/>
  <c r="U177" i="10"/>
  <c r="R177" i="10"/>
  <c r="T177" i="10" s="1"/>
  <c r="U176" i="10"/>
  <c r="R176" i="10"/>
  <c r="T176" i="10" s="1"/>
  <c r="U175" i="10"/>
  <c r="R175" i="10"/>
  <c r="T175" i="10" s="1"/>
  <c r="U174" i="10"/>
  <c r="R174" i="10"/>
  <c r="T174" i="10" s="1"/>
  <c r="U173" i="10"/>
  <c r="R173" i="10"/>
  <c r="T173" i="10" s="1"/>
  <c r="U172" i="10"/>
  <c r="R172" i="10"/>
  <c r="T172" i="10" s="1"/>
  <c r="U171" i="10"/>
  <c r="R171" i="10"/>
  <c r="T171" i="10" s="1"/>
  <c r="U170" i="10"/>
  <c r="R170" i="10"/>
  <c r="T170" i="10" s="1"/>
  <c r="U169" i="10"/>
  <c r="R169" i="10"/>
  <c r="S169" i="10" s="1"/>
  <c r="U168" i="10"/>
  <c r="R168" i="10"/>
  <c r="T168" i="10" s="1"/>
  <c r="U167" i="10"/>
  <c r="R167" i="10"/>
  <c r="S167" i="10" s="1"/>
  <c r="U166" i="10"/>
  <c r="R166" i="10"/>
  <c r="T166" i="10" s="1"/>
  <c r="U165" i="10"/>
  <c r="R165" i="10"/>
  <c r="T165" i="10" s="1"/>
  <c r="U164" i="10"/>
  <c r="R164" i="10"/>
  <c r="T164" i="10" s="1"/>
  <c r="U163" i="10"/>
  <c r="R163" i="10"/>
  <c r="S163" i="10" s="1"/>
  <c r="U162" i="10"/>
  <c r="R162" i="10"/>
  <c r="T162" i="10" s="1"/>
  <c r="U161" i="10"/>
  <c r="R161" i="10"/>
  <c r="T161" i="10" s="1"/>
  <c r="U160" i="10"/>
  <c r="R160" i="10"/>
  <c r="T160" i="10" s="1"/>
  <c r="U159" i="10"/>
  <c r="R159" i="10"/>
  <c r="T159" i="10" s="1"/>
  <c r="U158" i="10"/>
  <c r="R158" i="10"/>
  <c r="T158" i="10" s="1"/>
  <c r="U157" i="10"/>
  <c r="R157" i="10"/>
  <c r="T157" i="10" s="1"/>
  <c r="U156" i="10"/>
  <c r="R156" i="10"/>
  <c r="T156" i="10" s="1"/>
  <c r="U155" i="10"/>
  <c r="R155" i="10"/>
  <c r="T155" i="10" s="1"/>
  <c r="U154" i="10"/>
  <c r="R154" i="10"/>
  <c r="T154" i="10" s="1"/>
  <c r="U153" i="10"/>
  <c r="R153" i="10"/>
  <c r="S153" i="10" s="1"/>
  <c r="U152" i="10"/>
  <c r="R152" i="10"/>
  <c r="T152" i="10" s="1"/>
  <c r="U151" i="10"/>
  <c r="R151" i="10"/>
  <c r="S151" i="10" s="1"/>
  <c r="U150" i="10"/>
  <c r="R150" i="10"/>
  <c r="T150" i="10" s="1"/>
  <c r="U149" i="10"/>
  <c r="R149" i="10"/>
  <c r="T149" i="10" s="1"/>
  <c r="U148" i="10"/>
  <c r="R148" i="10"/>
  <c r="T148" i="10" s="1"/>
  <c r="U147" i="10"/>
  <c r="R147" i="10"/>
  <c r="S147" i="10" s="1"/>
  <c r="U146" i="10"/>
  <c r="R146" i="10"/>
  <c r="T146" i="10" s="1"/>
  <c r="U145" i="10"/>
  <c r="R145" i="10"/>
  <c r="T145" i="10" s="1"/>
  <c r="U144" i="10"/>
  <c r="R144" i="10"/>
  <c r="T144" i="10" s="1"/>
  <c r="U143" i="10"/>
  <c r="R143" i="10"/>
  <c r="T143" i="10" s="1"/>
  <c r="U142" i="10"/>
  <c r="R142" i="10"/>
  <c r="T142" i="10" s="1"/>
  <c r="U141" i="10"/>
  <c r="R141" i="10"/>
  <c r="T141" i="10" s="1"/>
  <c r="U140" i="10"/>
  <c r="R140" i="10"/>
  <c r="T140" i="10" s="1"/>
  <c r="U139" i="10"/>
  <c r="R139" i="10"/>
  <c r="T139" i="10" s="1"/>
  <c r="U138" i="10"/>
  <c r="R138" i="10"/>
  <c r="T138" i="10" s="1"/>
  <c r="U137" i="10"/>
  <c r="R137" i="10"/>
  <c r="S137" i="10" s="1"/>
  <c r="U136" i="10"/>
  <c r="R136" i="10"/>
  <c r="T136" i="10" s="1"/>
  <c r="U135" i="10"/>
  <c r="R135" i="10"/>
  <c r="T135" i="10" s="1"/>
  <c r="U134" i="10"/>
  <c r="R134" i="10"/>
  <c r="T134" i="10" s="1"/>
  <c r="U133" i="10"/>
  <c r="R133" i="10"/>
  <c r="T133" i="10" s="1"/>
  <c r="U132" i="10"/>
  <c r="R132" i="10"/>
  <c r="T132" i="10" s="1"/>
  <c r="U131" i="10"/>
  <c r="R131" i="10"/>
  <c r="S131" i="10" s="1"/>
  <c r="U130" i="10"/>
  <c r="R130" i="10"/>
  <c r="T130" i="10" s="1"/>
  <c r="U129" i="10"/>
  <c r="R129" i="10"/>
  <c r="T129" i="10" s="1"/>
  <c r="U128" i="10"/>
  <c r="R128" i="10"/>
  <c r="T128" i="10" s="1"/>
  <c r="U127" i="10"/>
  <c r="R127" i="10"/>
  <c r="T127" i="10" s="1"/>
  <c r="U126" i="10"/>
  <c r="R126" i="10"/>
  <c r="T126" i="10" s="1"/>
  <c r="U125" i="10"/>
  <c r="R125" i="10"/>
  <c r="T125" i="10" s="1"/>
  <c r="U124" i="10"/>
  <c r="R124" i="10"/>
  <c r="T124" i="10" s="1"/>
  <c r="U123" i="10"/>
  <c r="R123" i="10"/>
  <c r="T123" i="10" s="1"/>
  <c r="U122" i="10"/>
  <c r="R122" i="10"/>
  <c r="T122" i="10" s="1"/>
  <c r="U121" i="10"/>
  <c r="R121" i="10"/>
  <c r="S121" i="10" s="1"/>
  <c r="U120" i="10"/>
  <c r="R120" i="10"/>
  <c r="T120" i="10" s="1"/>
  <c r="U119" i="10"/>
  <c r="R119" i="10"/>
  <c r="T119" i="10" s="1"/>
  <c r="U118" i="10"/>
  <c r="R118" i="10"/>
  <c r="T118" i="10" s="1"/>
  <c r="U117" i="10"/>
  <c r="R117" i="10"/>
  <c r="T117" i="10" s="1"/>
  <c r="U116" i="10"/>
  <c r="R116" i="10"/>
  <c r="T116" i="10" s="1"/>
  <c r="U115" i="10"/>
  <c r="R115" i="10"/>
  <c r="T115" i="10" s="1"/>
  <c r="U114" i="10"/>
  <c r="R114" i="10"/>
  <c r="T114" i="10" s="1"/>
  <c r="U113" i="10"/>
  <c r="R113" i="10"/>
  <c r="T113" i="10" s="1"/>
  <c r="U112" i="10"/>
  <c r="R112" i="10"/>
  <c r="T112" i="10" s="1"/>
  <c r="U111" i="10"/>
  <c r="R111" i="10"/>
  <c r="T111" i="10" s="1"/>
  <c r="U110" i="10"/>
  <c r="R110" i="10"/>
  <c r="T110" i="10" s="1"/>
  <c r="U109" i="10"/>
  <c r="R109" i="10"/>
  <c r="T109" i="10" s="1"/>
  <c r="U108" i="10"/>
  <c r="R108" i="10"/>
  <c r="T108" i="10" s="1"/>
  <c r="U107" i="10"/>
  <c r="R107" i="10"/>
  <c r="T107" i="10" s="1"/>
  <c r="U106" i="10"/>
  <c r="R106" i="10"/>
  <c r="T106" i="10" s="1"/>
  <c r="U105" i="10"/>
  <c r="R105" i="10"/>
  <c r="S105" i="10" s="1"/>
  <c r="U104" i="10"/>
  <c r="R104" i="10"/>
  <c r="T104" i="10" s="1"/>
  <c r="U103" i="10"/>
  <c r="R103" i="10"/>
  <c r="T103" i="10" s="1"/>
  <c r="U102" i="10"/>
  <c r="R102" i="10"/>
  <c r="T102" i="10" s="1"/>
  <c r="U101" i="10"/>
  <c r="R101" i="10"/>
  <c r="T101" i="10" s="1"/>
  <c r="U100" i="10"/>
  <c r="R100" i="10"/>
  <c r="T100" i="10" s="1"/>
  <c r="U99" i="10"/>
  <c r="R99" i="10"/>
  <c r="T99" i="10" s="1"/>
  <c r="U98" i="10"/>
  <c r="R98" i="10"/>
  <c r="T98" i="10" s="1"/>
  <c r="U97" i="10"/>
  <c r="R97" i="10"/>
  <c r="T97" i="10" s="1"/>
  <c r="U96" i="10"/>
  <c r="R96" i="10"/>
  <c r="T96" i="10" s="1"/>
  <c r="U95" i="10"/>
  <c r="R95" i="10"/>
  <c r="T95" i="10" s="1"/>
  <c r="U94" i="10"/>
  <c r="R94" i="10"/>
  <c r="T94" i="10" s="1"/>
  <c r="U93" i="10"/>
  <c r="R93" i="10"/>
  <c r="T93" i="10" s="1"/>
  <c r="U92" i="10"/>
  <c r="R92" i="10"/>
  <c r="T92" i="10" s="1"/>
  <c r="U91" i="10"/>
  <c r="R91" i="10"/>
  <c r="T91" i="10" s="1"/>
  <c r="U90" i="10"/>
  <c r="R90" i="10"/>
  <c r="T90" i="10" s="1"/>
  <c r="U89" i="10"/>
  <c r="R89" i="10"/>
  <c r="S89" i="10" s="1"/>
  <c r="U88" i="10"/>
  <c r="R88" i="10"/>
  <c r="T88" i="10" s="1"/>
  <c r="U87" i="10"/>
  <c r="R87" i="10"/>
  <c r="T87" i="10" s="1"/>
  <c r="U86" i="10"/>
  <c r="R86" i="10"/>
  <c r="T86" i="10" s="1"/>
  <c r="U85" i="10"/>
  <c r="R85" i="10"/>
  <c r="T85" i="10" s="1"/>
  <c r="U84" i="10"/>
  <c r="R84" i="10"/>
  <c r="T84" i="10" s="1"/>
  <c r="U83" i="10"/>
  <c r="R83" i="10"/>
  <c r="S83" i="10" s="1"/>
  <c r="U82" i="10"/>
  <c r="R82" i="10"/>
  <c r="T82" i="10" s="1"/>
  <c r="U81" i="10"/>
  <c r="R81" i="10"/>
  <c r="T81" i="10" s="1"/>
  <c r="U80" i="10"/>
  <c r="R80" i="10"/>
  <c r="T80" i="10" s="1"/>
  <c r="U79" i="10"/>
  <c r="R79" i="10"/>
  <c r="S79" i="10" s="1"/>
  <c r="U78" i="10"/>
  <c r="R78" i="10"/>
  <c r="T78" i="10" s="1"/>
  <c r="U77" i="10"/>
  <c r="R77" i="10"/>
  <c r="T77" i="10" s="1"/>
  <c r="U76" i="10"/>
  <c r="R76" i="10"/>
  <c r="T76" i="10" s="1"/>
  <c r="U75" i="10"/>
  <c r="R75" i="10"/>
  <c r="T75" i="10" s="1"/>
  <c r="U74" i="10"/>
  <c r="R74" i="10"/>
  <c r="T74" i="10" s="1"/>
  <c r="U73" i="10"/>
  <c r="R73" i="10"/>
  <c r="S73" i="10" s="1"/>
  <c r="U72" i="10"/>
  <c r="R72" i="10"/>
  <c r="T72" i="10" s="1"/>
  <c r="U71" i="10"/>
  <c r="R71" i="10"/>
  <c r="T71" i="10" s="1"/>
  <c r="U70" i="10"/>
  <c r="R70" i="10"/>
  <c r="T70" i="10" s="1"/>
  <c r="U69" i="10"/>
  <c r="R69" i="10"/>
  <c r="S69" i="10" s="1"/>
  <c r="U68" i="10"/>
  <c r="R68" i="10"/>
  <c r="T68" i="10" s="1"/>
  <c r="U67" i="10"/>
  <c r="R67" i="10"/>
  <c r="S67" i="10" s="1"/>
  <c r="U66" i="10"/>
  <c r="R66" i="10"/>
  <c r="T66" i="10" s="1"/>
  <c r="U65" i="10"/>
  <c r="R65" i="10"/>
  <c r="S65" i="10" s="1"/>
  <c r="U64" i="10"/>
  <c r="R64" i="10"/>
  <c r="T64" i="10" s="1"/>
  <c r="U63" i="10"/>
  <c r="R63" i="10"/>
  <c r="S63" i="10" s="1"/>
  <c r="U62" i="10"/>
  <c r="R62" i="10"/>
  <c r="T62" i="10" s="1"/>
  <c r="U61" i="10"/>
  <c r="R61" i="10"/>
  <c r="S61" i="10" s="1"/>
  <c r="U60" i="10"/>
  <c r="R60" i="10"/>
  <c r="T60" i="10" s="1"/>
  <c r="U59" i="10"/>
  <c r="R59" i="10"/>
  <c r="S59" i="10" s="1"/>
  <c r="U58" i="10"/>
  <c r="R58" i="10"/>
  <c r="T58" i="10" s="1"/>
  <c r="U57" i="10"/>
  <c r="R57" i="10"/>
  <c r="S57" i="10" s="1"/>
  <c r="U56" i="10"/>
  <c r="R56" i="10"/>
  <c r="T56" i="10" s="1"/>
  <c r="U55" i="10"/>
  <c r="R55" i="10"/>
  <c r="S55" i="10" s="1"/>
  <c r="U54" i="10"/>
  <c r="R54" i="10"/>
  <c r="T54" i="10" s="1"/>
  <c r="U53" i="10"/>
  <c r="R53" i="10"/>
  <c r="S53" i="10" s="1"/>
  <c r="U52" i="10"/>
  <c r="R52" i="10"/>
  <c r="T52" i="10" s="1"/>
  <c r="U51" i="10"/>
  <c r="R51" i="10"/>
  <c r="S51" i="10" s="1"/>
  <c r="U50" i="10"/>
  <c r="R50" i="10"/>
  <c r="T50" i="10" s="1"/>
  <c r="U49" i="10"/>
  <c r="R49" i="10"/>
  <c r="S49" i="10" s="1"/>
  <c r="U48" i="10"/>
  <c r="R48" i="10"/>
  <c r="T48" i="10" s="1"/>
  <c r="U47" i="10"/>
  <c r="R47" i="10"/>
  <c r="S47" i="10" s="1"/>
  <c r="U46" i="10"/>
  <c r="R46" i="10"/>
  <c r="T46" i="10" s="1"/>
  <c r="U45" i="10"/>
  <c r="R45" i="10"/>
  <c r="S45" i="10" s="1"/>
  <c r="U44" i="10"/>
  <c r="R44" i="10"/>
  <c r="T44" i="10" s="1"/>
  <c r="U43" i="10"/>
  <c r="R43" i="10"/>
  <c r="S43" i="10" s="1"/>
  <c r="U42" i="10"/>
  <c r="R42" i="10"/>
  <c r="T42" i="10" s="1"/>
  <c r="U41" i="10"/>
  <c r="R41" i="10"/>
  <c r="S41" i="10" s="1"/>
  <c r="U40" i="10"/>
  <c r="R40" i="10"/>
  <c r="T40" i="10" s="1"/>
  <c r="U39" i="10"/>
  <c r="R39" i="10"/>
  <c r="S39" i="10" s="1"/>
  <c r="U38" i="10"/>
  <c r="R38" i="10"/>
  <c r="T38" i="10" s="1"/>
  <c r="U37" i="10"/>
  <c r="R37" i="10"/>
  <c r="S37" i="10" s="1"/>
  <c r="U36" i="10"/>
  <c r="R36" i="10"/>
  <c r="T36" i="10" s="1"/>
  <c r="U35" i="10"/>
  <c r="R35" i="10"/>
  <c r="S35" i="10" s="1"/>
  <c r="U34" i="10"/>
  <c r="R34" i="10"/>
  <c r="T34" i="10" s="1"/>
  <c r="U33" i="10"/>
  <c r="R33" i="10"/>
  <c r="S33" i="10" s="1"/>
  <c r="U32" i="10"/>
  <c r="R32" i="10"/>
  <c r="T32" i="10" s="1"/>
  <c r="U31" i="10"/>
  <c r="R31" i="10"/>
  <c r="S31" i="10" s="1"/>
  <c r="U30" i="10"/>
  <c r="R30" i="10"/>
  <c r="T30" i="10" s="1"/>
  <c r="U29" i="10"/>
  <c r="R29" i="10"/>
  <c r="S29" i="10" s="1"/>
  <c r="U28" i="10"/>
  <c r="R28" i="10"/>
  <c r="T28" i="10" s="1"/>
  <c r="U27" i="10"/>
  <c r="R27" i="10"/>
  <c r="S27" i="10" s="1"/>
  <c r="U26" i="10"/>
  <c r="R26" i="10"/>
  <c r="T26" i="10" s="1"/>
  <c r="U25" i="10"/>
  <c r="R25" i="10"/>
  <c r="S25" i="10" s="1"/>
  <c r="U24" i="10"/>
  <c r="R24" i="10"/>
  <c r="T24" i="10" s="1"/>
  <c r="U23" i="10"/>
  <c r="R23" i="10"/>
  <c r="S23" i="10" s="1"/>
  <c r="U22" i="10"/>
  <c r="R22" i="10"/>
  <c r="T22" i="10" s="1"/>
  <c r="U21" i="10"/>
  <c r="R21" i="10"/>
  <c r="S21" i="10" s="1"/>
  <c r="U20" i="10"/>
  <c r="R20" i="10"/>
  <c r="T20" i="10" s="1"/>
  <c r="U19" i="10"/>
  <c r="R19" i="10"/>
  <c r="S19" i="10" s="1"/>
  <c r="U18" i="10"/>
  <c r="R18" i="10"/>
  <c r="T18" i="10" s="1"/>
  <c r="U17" i="10"/>
  <c r="R17" i="10"/>
  <c r="S17" i="10" s="1"/>
  <c r="U16" i="10"/>
  <c r="R16" i="10"/>
  <c r="T16" i="10" s="1"/>
  <c r="U15" i="10"/>
  <c r="R15" i="10"/>
  <c r="S15" i="10" s="1"/>
  <c r="U14" i="10"/>
  <c r="R14" i="10"/>
  <c r="T14" i="10" s="1"/>
  <c r="U13" i="10"/>
  <c r="R13" i="10"/>
  <c r="S13" i="10" s="1"/>
  <c r="U12" i="10"/>
  <c r="R12" i="10"/>
  <c r="T12" i="10" s="1"/>
  <c r="U11" i="10"/>
  <c r="R11" i="10"/>
  <c r="S11" i="10" s="1"/>
  <c r="U10" i="10"/>
  <c r="R10" i="10"/>
  <c r="T10" i="10" s="1"/>
  <c r="U9" i="10"/>
  <c r="R9" i="10"/>
  <c r="S9" i="10" s="1"/>
  <c r="U8" i="10"/>
  <c r="R8" i="10"/>
  <c r="T8" i="10" s="1"/>
  <c r="U7" i="10"/>
  <c r="R7" i="10"/>
  <c r="S7" i="10" s="1"/>
  <c r="U6" i="10"/>
  <c r="R6" i="10"/>
  <c r="T6" i="10" s="1"/>
  <c r="U5" i="10"/>
  <c r="R5" i="10"/>
  <c r="S5" i="10" s="1"/>
  <c r="U4" i="10"/>
  <c r="R4" i="10"/>
  <c r="T4" i="10" s="1"/>
  <c r="U3" i="10"/>
  <c r="R3" i="10"/>
  <c r="S3" i="10" s="1"/>
  <c r="U2" i="10"/>
  <c r="R2" i="10"/>
  <c r="T2" i="10" s="1"/>
  <c r="R2" i="1"/>
  <c r="S2" i="1" s="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R3" i="1"/>
  <c r="S3" i="1" s="1"/>
  <c r="R4" i="1"/>
  <c r="S4" i="1" s="1"/>
  <c r="R5" i="1"/>
  <c r="S5" i="1" s="1"/>
  <c r="R6" i="1"/>
  <c r="S6" i="1" s="1"/>
  <c r="R7" i="1"/>
  <c r="S7" i="1" s="1"/>
  <c r="R8" i="1"/>
  <c r="S8" i="1" s="1"/>
  <c r="R9" i="1"/>
  <c r="S9" i="1" s="1"/>
  <c r="R10" i="1"/>
  <c r="S10" i="1" s="1"/>
  <c r="R11" i="1"/>
  <c r="S11" i="1" s="1"/>
  <c r="R12" i="1"/>
  <c r="S12" i="1" s="1"/>
  <c r="R13" i="1"/>
  <c r="S13" i="1" s="1"/>
  <c r="R14" i="1"/>
  <c r="S14" i="1" s="1"/>
  <c r="R15" i="1"/>
  <c r="S15" i="1" s="1"/>
  <c r="R16" i="1"/>
  <c r="S16" i="1" s="1"/>
  <c r="R17" i="1"/>
  <c r="S17" i="1" s="1"/>
  <c r="R18" i="1"/>
  <c r="S18" i="1" s="1"/>
  <c r="R19" i="1"/>
  <c r="S19" i="1" s="1"/>
  <c r="R20" i="1"/>
  <c r="S20" i="1" s="1"/>
  <c r="R21" i="1"/>
  <c r="S21" i="1" s="1"/>
  <c r="R22" i="1"/>
  <c r="S22" i="1" s="1"/>
  <c r="R23" i="1"/>
  <c r="S23" i="1" s="1"/>
  <c r="R24" i="1"/>
  <c r="S24" i="1" s="1"/>
  <c r="R25" i="1"/>
  <c r="S25" i="1" s="1"/>
  <c r="R26" i="1"/>
  <c r="S26" i="1" s="1"/>
  <c r="R27" i="1"/>
  <c r="S27" i="1" s="1"/>
  <c r="R28" i="1"/>
  <c r="S28" i="1" s="1"/>
  <c r="R29" i="1"/>
  <c r="S29" i="1" s="1"/>
  <c r="R30" i="1"/>
  <c r="S30" i="1" s="1"/>
  <c r="R31" i="1"/>
  <c r="S31" i="1" s="1"/>
  <c r="R32" i="1"/>
  <c r="S32" i="1" s="1"/>
  <c r="R33" i="1"/>
  <c r="S33" i="1" s="1"/>
  <c r="R34" i="1"/>
  <c r="S34" i="1" s="1"/>
  <c r="R35" i="1"/>
  <c r="S35" i="1" s="1"/>
  <c r="R36" i="1"/>
  <c r="S36" i="1" s="1"/>
  <c r="R37" i="1"/>
  <c r="S37" i="1" s="1"/>
  <c r="R38" i="1"/>
  <c r="S38" i="1" s="1"/>
  <c r="R39" i="1"/>
  <c r="S39" i="1" s="1"/>
  <c r="R40" i="1"/>
  <c r="S40" i="1" s="1"/>
  <c r="R41" i="1"/>
  <c r="S41" i="1" s="1"/>
  <c r="R42" i="1"/>
  <c r="S42" i="1" s="1"/>
  <c r="R43" i="1"/>
  <c r="S43" i="1" s="1"/>
  <c r="R44" i="1"/>
  <c r="S44" i="1" s="1"/>
  <c r="R45" i="1"/>
  <c r="S45" i="1" s="1"/>
  <c r="R46" i="1"/>
  <c r="S46" i="1" s="1"/>
  <c r="R47" i="1"/>
  <c r="S47" i="1" s="1"/>
  <c r="R48" i="1"/>
  <c r="S48" i="1" s="1"/>
  <c r="R49" i="1"/>
  <c r="S49" i="1" s="1"/>
  <c r="R50" i="1"/>
  <c r="S50" i="1" s="1"/>
  <c r="R51" i="1"/>
  <c r="S51" i="1" s="1"/>
  <c r="R52" i="1"/>
  <c r="S52" i="1" s="1"/>
  <c r="R53" i="1"/>
  <c r="S53" i="1" s="1"/>
  <c r="R54" i="1"/>
  <c r="S54" i="1" s="1"/>
  <c r="R55" i="1"/>
  <c r="S55" i="1" s="1"/>
  <c r="R56" i="1"/>
  <c r="S56" i="1" s="1"/>
  <c r="R57" i="1"/>
  <c r="S57" i="1" s="1"/>
  <c r="R58" i="1"/>
  <c r="S58" i="1" s="1"/>
  <c r="R59" i="1"/>
  <c r="S59" i="1" s="1"/>
  <c r="R60" i="1"/>
  <c r="S60" i="1" s="1"/>
  <c r="R61" i="1"/>
  <c r="S61" i="1" s="1"/>
  <c r="R62" i="1"/>
  <c r="S62" i="1" s="1"/>
  <c r="R63" i="1"/>
  <c r="S63" i="1" s="1"/>
  <c r="R64" i="1"/>
  <c r="S64" i="1" s="1"/>
  <c r="R65" i="1"/>
  <c r="S65" i="1" s="1"/>
  <c r="R66" i="1"/>
  <c r="S66" i="1" s="1"/>
  <c r="R67" i="1"/>
  <c r="S67" i="1" s="1"/>
  <c r="R68" i="1"/>
  <c r="S68" i="1" s="1"/>
  <c r="R69" i="1"/>
  <c r="S69" i="1" s="1"/>
  <c r="R70" i="1"/>
  <c r="S70" i="1" s="1"/>
  <c r="R71" i="1"/>
  <c r="S71" i="1" s="1"/>
  <c r="R72" i="1"/>
  <c r="S72" i="1" s="1"/>
  <c r="R73" i="1"/>
  <c r="S73" i="1" s="1"/>
  <c r="R74" i="1"/>
  <c r="S74" i="1" s="1"/>
  <c r="R75" i="1"/>
  <c r="S75" i="1" s="1"/>
  <c r="R76" i="1"/>
  <c r="S76" i="1" s="1"/>
  <c r="R77" i="1"/>
  <c r="S77" i="1" s="1"/>
  <c r="R78" i="1"/>
  <c r="S78" i="1" s="1"/>
  <c r="R79" i="1"/>
  <c r="S79" i="1" s="1"/>
  <c r="R80" i="1"/>
  <c r="S80" i="1" s="1"/>
  <c r="R81" i="1"/>
  <c r="S81" i="1" s="1"/>
  <c r="R82" i="1"/>
  <c r="S82" i="1" s="1"/>
  <c r="R83" i="1"/>
  <c r="S83" i="1" s="1"/>
  <c r="R84" i="1"/>
  <c r="S84" i="1" s="1"/>
  <c r="R85" i="1"/>
  <c r="S85" i="1" s="1"/>
  <c r="R86" i="1"/>
  <c r="S86" i="1" s="1"/>
  <c r="R87" i="1"/>
  <c r="S87" i="1" s="1"/>
  <c r="R88" i="1"/>
  <c r="S88" i="1" s="1"/>
  <c r="R89" i="1"/>
  <c r="S89" i="1" s="1"/>
  <c r="R90" i="1"/>
  <c r="S90" i="1" s="1"/>
  <c r="R91" i="1"/>
  <c r="S91" i="1" s="1"/>
  <c r="R92" i="1"/>
  <c r="S92" i="1" s="1"/>
  <c r="R93" i="1"/>
  <c r="S93" i="1" s="1"/>
  <c r="R94" i="1"/>
  <c r="S94" i="1" s="1"/>
  <c r="R95" i="1"/>
  <c r="S95" i="1" s="1"/>
  <c r="R96" i="1"/>
  <c r="S96" i="1" s="1"/>
  <c r="R97" i="1"/>
  <c r="S97" i="1" s="1"/>
  <c r="R98" i="1"/>
  <c r="S98" i="1" s="1"/>
  <c r="R99" i="1"/>
  <c r="S99" i="1" s="1"/>
  <c r="R100" i="1"/>
  <c r="S100" i="1" s="1"/>
  <c r="R101" i="1"/>
  <c r="S101" i="1" s="1"/>
  <c r="R102" i="1"/>
  <c r="S102" i="1" s="1"/>
  <c r="R103" i="1"/>
  <c r="S103" i="1" s="1"/>
  <c r="R104" i="1"/>
  <c r="S104" i="1" s="1"/>
  <c r="R105" i="1"/>
  <c r="S105" i="1" s="1"/>
  <c r="R106" i="1"/>
  <c r="S106" i="1" s="1"/>
  <c r="R107" i="1"/>
  <c r="S107" i="1" s="1"/>
  <c r="R108" i="1"/>
  <c r="S108" i="1" s="1"/>
  <c r="R109" i="1"/>
  <c r="S109" i="1" s="1"/>
  <c r="R110" i="1"/>
  <c r="S110" i="1" s="1"/>
  <c r="R111" i="1"/>
  <c r="S111" i="1" s="1"/>
  <c r="R112" i="1"/>
  <c r="S112" i="1" s="1"/>
  <c r="R113" i="1"/>
  <c r="S113" i="1" s="1"/>
  <c r="R114" i="1"/>
  <c r="S114" i="1" s="1"/>
  <c r="R115" i="1"/>
  <c r="S115" i="1" s="1"/>
  <c r="R116" i="1"/>
  <c r="S116" i="1" s="1"/>
  <c r="R117" i="1"/>
  <c r="S117" i="1" s="1"/>
  <c r="R118" i="1"/>
  <c r="S118" i="1" s="1"/>
  <c r="R119" i="1"/>
  <c r="S119" i="1" s="1"/>
  <c r="R120" i="1"/>
  <c r="S120" i="1" s="1"/>
  <c r="R121" i="1"/>
  <c r="S121" i="1" s="1"/>
  <c r="R122" i="1"/>
  <c r="S122" i="1" s="1"/>
  <c r="R123" i="1"/>
  <c r="S123" i="1" s="1"/>
  <c r="R124" i="1"/>
  <c r="S124" i="1" s="1"/>
  <c r="R125" i="1"/>
  <c r="S125" i="1" s="1"/>
  <c r="R126" i="1"/>
  <c r="S126" i="1" s="1"/>
  <c r="R127" i="1"/>
  <c r="S127" i="1" s="1"/>
  <c r="R128" i="1"/>
  <c r="S128" i="1" s="1"/>
  <c r="R129" i="1"/>
  <c r="S129" i="1" s="1"/>
  <c r="R130" i="1"/>
  <c r="S130" i="1" s="1"/>
  <c r="R131" i="1"/>
  <c r="S131" i="1" s="1"/>
  <c r="R132" i="1"/>
  <c r="S132" i="1" s="1"/>
  <c r="R133" i="1"/>
  <c r="S133" i="1" s="1"/>
  <c r="R134" i="1"/>
  <c r="S134" i="1" s="1"/>
  <c r="R135" i="1"/>
  <c r="S135" i="1" s="1"/>
  <c r="R136" i="1"/>
  <c r="S136" i="1" s="1"/>
  <c r="R137" i="1"/>
  <c r="S137" i="1" s="1"/>
  <c r="R138" i="1"/>
  <c r="S138" i="1" s="1"/>
  <c r="R139" i="1"/>
  <c r="S139" i="1" s="1"/>
  <c r="R140" i="1"/>
  <c r="S140" i="1" s="1"/>
  <c r="R141" i="1"/>
  <c r="S141" i="1" s="1"/>
  <c r="R142" i="1"/>
  <c r="S142" i="1" s="1"/>
  <c r="R143" i="1"/>
  <c r="S143" i="1" s="1"/>
  <c r="R144" i="1"/>
  <c r="S144" i="1" s="1"/>
  <c r="R145" i="1"/>
  <c r="S145" i="1" s="1"/>
  <c r="R146" i="1"/>
  <c r="S146" i="1" s="1"/>
  <c r="R147" i="1"/>
  <c r="S147" i="1" s="1"/>
  <c r="R148" i="1"/>
  <c r="S148" i="1" s="1"/>
  <c r="R149" i="1"/>
  <c r="S149" i="1" s="1"/>
  <c r="R150" i="1"/>
  <c r="S150" i="1" s="1"/>
  <c r="R151" i="1"/>
  <c r="S151" i="1" s="1"/>
  <c r="R152" i="1"/>
  <c r="S152" i="1" s="1"/>
  <c r="R153" i="1"/>
  <c r="S153" i="1" s="1"/>
  <c r="R154" i="1"/>
  <c r="S154" i="1" s="1"/>
  <c r="R155" i="1"/>
  <c r="S155" i="1" s="1"/>
  <c r="R156" i="1"/>
  <c r="S156" i="1" s="1"/>
  <c r="R157" i="1"/>
  <c r="S157" i="1" s="1"/>
  <c r="R158" i="1"/>
  <c r="S158" i="1" s="1"/>
  <c r="R159" i="1"/>
  <c r="S159" i="1" s="1"/>
  <c r="R160" i="1"/>
  <c r="S160" i="1" s="1"/>
  <c r="R161" i="1"/>
  <c r="S161" i="1" s="1"/>
  <c r="R162" i="1"/>
  <c r="S162" i="1" s="1"/>
  <c r="R163" i="1"/>
  <c r="S163" i="1" s="1"/>
  <c r="R164" i="1"/>
  <c r="S164" i="1" s="1"/>
  <c r="R165" i="1"/>
  <c r="S165" i="1" s="1"/>
  <c r="R166" i="1"/>
  <c r="S166" i="1" s="1"/>
  <c r="R167" i="1"/>
  <c r="S167" i="1" s="1"/>
  <c r="R168" i="1"/>
  <c r="S168" i="1" s="1"/>
  <c r="R169" i="1"/>
  <c r="S169" i="1" s="1"/>
  <c r="R170" i="1"/>
  <c r="S170" i="1" s="1"/>
  <c r="R171" i="1"/>
  <c r="S171" i="1" s="1"/>
  <c r="R172" i="1"/>
  <c r="S172" i="1" s="1"/>
  <c r="R173" i="1"/>
  <c r="S173" i="1" s="1"/>
  <c r="R174" i="1"/>
  <c r="S174" i="1" s="1"/>
  <c r="R175" i="1"/>
  <c r="S175" i="1" s="1"/>
  <c r="R176" i="1"/>
  <c r="S176" i="1" s="1"/>
  <c r="R177" i="1"/>
  <c r="S177" i="1" s="1"/>
  <c r="R178" i="1"/>
  <c r="S178" i="1" s="1"/>
  <c r="R179" i="1"/>
  <c r="S179" i="1" s="1"/>
  <c r="R180" i="1"/>
  <c r="S180" i="1" s="1"/>
  <c r="R181" i="1"/>
  <c r="S181" i="1" s="1"/>
  <c r="R182" i="1"/>
  <c r="S182" i="1" s="1"/>
  <c r="R183" i="1"/>
  <c r="S183" i="1" s="1"/>
  <c r="R184" i="1"/>
  <c r="S184" i="1" s="1"/>
  <c r="R185" i="1"/>
  <c r="S185" i="1" s="1"/>
  <c r="R186" i="1"/>
  <c r="S186" i="1" s="1"/>
  <c r="R187" i="1"/>
  <c r="S187" i="1" s="1"/>
  <c r="R188" i="1"/>
  <c r="S188" i="1" s="1"/>
  <c r="R189" i="1"/>
  <c r="S189" i="1" s="1"/>
  <c r="R190" i="1"/>
  <c r="S190" i="1" s="1"/>
  <c r="R191" i="1"/>
  <c r="S191" i="1" s="1"/>
  <c r="R192" i="1"/>
  <c r="S192" i="1" s="1"/>
  <c r="R193" i="1"/>
  <c r="S193" i="1" s="1"/>
  <c r="R194" i="1"/>
  <c r="S194" i="1" s="1"/>
  <c r="R195" i="1"/>
  <c r="S195" i="1" s="1"/>
  <c r="R196" i="1"/>
  <c r="S196" i="1" s="1"/>
  <c r="R197" i="1"/>
  <c r="S197" i="1" s="1"/>
  <c r="R198" i="1"/>
  <c r="S198" i="1" s="1"/>
  <c r="R199" i="1"/>
  <c r="S199" i="1" s="1"/>
  <c r="R200" i="1"/>
  <c r="S200" i="1" s="1"/>
  <c r="R201" i="1"/>
  <c r="S201" i="1" s="1"/>
  <c r="R202" i="1"/>
  <c r="S202" i="1" s="1"/>
  <c r="R203" i="1"/>
  <c r="S203" i="1" s="1"/>
  <c r="R204" i="1"/>
  <c r="S204" i="1" s="1"/>
  <c r="R205" i="1"/>
  <c r="S205" i="1" s="1"/>
  <c r="R206" i="1"/>
  <c r="S206" i="1" s="1"/>
  <c r="R207" i="1"/>
  <c r="S207" i="1" s="1"/>
  <c r="R208" i="1"/>
  <c r="S208" i="1" s="1"/>
  <c r="R209" i="1"/>
  <c r="S209" i="1" s="1"/>
  <c r="R210" i="1"/>
  <c r="S210" i="1" s="1"/>
  <c r="R211" i="1"/>
  <c r="S211" i="1" s="1"/>
  <c r="R212" i="1"/>
  <c r="S212" i="1" s="1"/>
  <c r="R213" i="1"/>
  <c r="S213" i="1" s="1"/>
  <c r="R214" i="1"/>
  <c r="S214" i="1" s="1"/>
  <c r="R215" i="1"/>
  <c r="S215" i="1" s="1"/>
  <c r="R216" i="1"/>
  <c r="S216" i="1" s="1"/>
  <c r="R217" i="1"/>
  <c r="S217" i="1" s="1"/>
  <c r="R218" i="1"/>
  <c r="S218" i="1" s="1"/>
  <c r="R219" i="1"/>
  <c r="S219" i="1" s="1"/>
  <c r="R220" i="1"/>
  <c r="S220" i="1" s="1"/>
  <c r="R221" i="1"/>
  <c r="S221" i="1" s="1"/>
  <c r="R222" i="1"/>
  <c r="S222" i="1" s="1"/>
  <c r="R223" i="1"/>
  <c r="S223" i="1" s="1"/>
  <c r="R224" i="1"/>
  <c r="S224" i="1" s="1"/>
  <c r="R225" i="1"/>
  <c r="S225" i="1" s="1"/>
  <c r="R226" i="1"/>
  <c r="S226" i="1" s="1"/>
  <c r="R227" i="1"/>
  <c r="S227" i="1" s="1"/>
  <c r="R228" i="1"/>
  <c r="S228" i="1" s="1"/>
  <c r="R229" i="1"/>
  <c r="S229" i="1" s="1"/>
  <c r="R230" i="1"/>
  <c r="S230" i="1" s="1"/>
  <c r="R231" i="1"/>
  <c r="S231" i="1" s="1"/>
  <c r="R232" i="1"/>
  <c r="S232" i="1" s="1"/>
  <c r="R233" i="1"/>
  <c r="S233" i="1" s="1"/>
  <c r="R234" i="1"/>
  <c r="S234" i="1" s="1"/>
  <c r="R235" i="1"/>
  <c r="S235" i="1" s="1"/>
  <c r="R236" i="1"/>
  <c r="S236" i="1" s="1"/>
  <c r="R237" i="1"/>
  <c r="S237" i="1" s="1"/>
  <c r="R238" i="1"/>
  <c r="S238" i="1" s="1"/>
  <c r="R239" i="1"/>
  <c r="S239" i="1" s="1"/>
  <c r="R240" i="1"/>
  <c r="S240" i="1" s="1"/>
  <c r="R241" i="1"/>
  <c r="S241" i="1" s="1"/>
  <c r="R242" i="1"/>
  <c r="S242" i="1" s="1"/>
  <c r="R243" i="1"/>
  <c r="S243" i="1" s="1"/>
  <c r="R244" i="1"/>
  <c r="S244" i="1" s="1"/>
  <c r="R245" i="1"/>
  <c r="S245" i="1" s="1"/>
  <c r="R246" i="1"/>
  <c r="S246" i="1" s="1"/>
  <c r="R247" i="1"/>
  <c r="S247" i="1" s="1"/>
  <c r="R248" i="1"/>
  <c r="S248" i="1" s="1"/>
  <c r="R249" i="1"/>
  <c r="S249" i="1" s="1"/>
  <c r="R250" i="1"/>
  <c r="S250" i="1" s="1"/>
  <c r="R251" i="1"/>
  <c r="S251" i="1" s="1"/>
  <c r="R252" i="1"/>
  <c r="S252" i="1" s="1"/>
  <c r="R253" i="1"/>
  <c r="S253" i="1" s="1"/>
  <c r="R254" i="1"/>
  <c r="S254" i="1" s="1"/>
  <c r="R255" i="1"/>
  <c r="S255" i="1" s="1"/>
  <c r="R256" i="1"/>
  <c r="S256" i="1" s="1"/>
  <c r="R257" i="1"/>
  <c r="S257" i="1" s="1"/>
  <c r="R258" i="1"/>
  <c r="S258" i="1" s="1"/>
  <c r="R259" i="1"/>
  <c r="S259" i="1" s="1"/>
  <c r="R260" i="1"/>
  <c r="S260" i="1" s="1"/>
  <c r="R261" i="1"/>
  <c r="S261" i="1" s="1"/>
  <c r="R262" i="1"/>
  <c r="S262" i="1" s="1"/>
  <c r="R263" i="1"/>
  <c r="S263" i="1" s="1"/>
  <c r="R264" i="1"/>
  <c r="S264" i="1" s="1"/>
  <c r="R265" i="1"/>
  <c r="S265" i="1" s="1"/>
  <c r="R266" i="1"/>
  <c r="S266" i="1" s="1"/>
  <c r="R267" i="1"/>
  <c r="S267" i="1" s="1"/>
  <c r="R268" i="1"/>
  <c r="S268" i="1" s="1"/>
  <c r="R269" i="1"/>
  <c r="S269" i="1" s="1"/>
  <c r="R270" i="1"/>
  <c r="S270" i="1" s="1"/>
  <c r="R271" i="1"/>
  <c r="S271" i="1" s="1"/>
  <c r="R272" i="1"/>
  <c r="S272" i="1" s="1"/>
  <c r="R273" i="1"/>
  <c r="S273" i="1" s="1"/>
  <c r="R274" i="1"/>
  <c r="S274" i="1" s="1"/>
  <c r="R275" i="1"/>
  <c r="S275" i="1" s="1"/>
  <c r="R276" i="1"/>
  <c r="S276" i="1" s="1"/>
  <c r="R277" i="1"/>
  <c r="S277" i="1" s="1"/>
  <c r="R278" i="1"/>
  <c r="S278" i="1" s="1"/>
  <c r="R279" i="1"/>
  <c r="S279" i="1" s="1"/>
  <c r="R280" i="1"/>
  <c r="S280" i="1" s="1"/>
  <c r="R281" i="1"/>
  <c r="S281" i="1" s="1"/>
  <c r="R282" i="1"/>
  <c r="S282" i="1" s="1"/>
  <c r="R283" i="1"/>
  <c r="S283" i="1" s="1"/>
  <c r="R284" i="1"/>
  <c r="S284" i="1" s="1"/>
  <c r="R285" i="1"/>
  <c r="S285" i="1" s="1"/>
  <c r="R286" i="1"/>
  <c r="S286" i="1" s="1"/>
  <c r="R287" i="1"/>
  <c r="S287" i="1" s="1"/>
  <c r="R288" i="1"/>
  <c r="S288" i="1" s="1"/>
  <c r="R289" i="1"/>
  <c r="S289" i="1" s="1"/>
  <c r="R290" i="1"/>
  <c r="S290" i="1" s="1"/>
  <c r="R291" i="1"/>
  <c r="S291" i="1" s="1"/>
  <c r="R292" i="1"/>
  <c r="S292" i="1" s="1"/>
  <c r="R293" i="1"/>
  <c r="S293" i="1" s="1"/>
  <c r="R294" i="1"/>
  <c r="S294" i="1" s="1"/>
  <c r="R295" i="1"/>
  <c r="S295" i="1" s="1"/>
  <c r="R296" i="1"/>
  <c r="S296" i="1" s="1"/>
  <c r="R297" i="1"/>
  <c r="S297" i="1" s="1"/>
  <c r="R298" i="1"/>
  <c r="S298" i="1" s="1"/>
  <c r="R299" i="1"/>
  <c r="S299" i="1" s="1"/>
  <c r="R300" i="1"/>
  <c r="S300" i="1" s="1"/>
  <c r="R301" i="1"/>
  <c r="S301" i="1" s="1"/>
  <c r="R302" i="1"/>
  <c r="S302" i="1" s="1"/>
  <c r="R303" i="1"/>
  <c r="S303" i="1" s="1"/>
  <c r="R304" i="1"/>
  <c r="S304" i="1" s="1"/>
  <c r="R305" i="1"/>
  <c r="S305" i="1" s="1"/>
  <c r="R306" i="1"/>
  <c r="S306" i="1" s="1"/>
  <c r="R307" i="1"/>
  <c r="S307" i="1" s="1"/>
  <c r="R308" i="1"/>
  <c r="S308" i="1" s="1"/>
  <c r="R309" i="1"/>
  <c r="S309" i="1" s="1"/>
  <c r="R310" i="1"/>
  <c r="S310" i="1" s="1"/>
  <c r="R311" i="1"/>
  <c r="S311" i="1" s="1"/>
  <c r="R312" i="1"/>
  <c r="S312" i="1" s="1"/>
  <c r="R313" i="1"/>
  <c r="S313" i="1" s="1"/>
  <c r="R314" i="1"/>
  <c r="S314" i="1" s="1"/>
  <c r="R315" i="1"/>
  <c r="S315" i="1" s="1"/>
  <c r="R316" i="1"/>
  <c r="S316" i="1" s="1"/>
  <c r="R317" i="1"/>
  <c r="S317" i="1" s="1"/>
  <c r="R318" i="1"/>
  <c r="S318" i="1" s="1"/>
  <c r="R319" i="1"/>
  <c r="S319" i="1" s="1"/>
  <c r="R320" i="1"/>
  <c r="S320" i="1" s="1"/>
  <c r="R321" i="1"/>
  <c r="S321" i="1" s="1"/>
  <c r="R322" i="1"/>
  <c r="S322" i="1" s="1"/>
  <c r="R323" i="1"/>
  <c r="S323" i="1" s="1"/>
  <c r="R324" i="1"/>
  <c r="S324" i="1" s="1"/>
  <c r="R325" i="1"/>
  <c r="S325" i="1" s="1"/>
  <c r="R326" i="1"/>
  <c r="S326" i="1" s="1"/>
  <c r="R327" i="1"/>
  <c r="S327" i="1" s="1"/>
  <c r="R328" i="1"/>
  <c r="S328" i="1" s="1"/>
  <c r="R329" i="1"/>
  <c r="S329" i="1" s="1"/>
  <c r="R330" i="1"/>
  <c r="S330" i="1" s="1"/>
  <c r="R331" i="1"/>
  <c r="S331" i="1" s="1"/>
  <c r="R332" i="1"/>
  <c r="S332" i="1" s="1"/>
  <c r="R333" i="1"/>
  <c r="S333" i="1" s="1"/>
  <c r="R334" i="1"/>
  <c r="S334" i="1" s="1"/>
  <c r="R335" i="1"/>
  <c r="S335" i="1" s="1"/>
  <c r="R336" i="1"/>
  <c r="S336" i="1" s="1"/>
  <c r="R337" i="1"/>
  <c r="S337" i="1" s="1"/>
  <c r="R338" i="1"/>
  <c r="S338" i="1" s="1"/>
  <c r="R339" i="1"/>
  <c r="S339" i="1" s="1"/>
  <c r="R340" i="1"/>
  <c r="S340" i="1" s="1"/>
  <c r="R341" i="1"/>
  <c r="S341" i="1" s="1"/>
  <c r="R342" i="1"/>
  <c r="S342" i="1" s="1"/>
  <c r="R343" i="1"/>
  <c r="S343" i="1" s="1"/>
  <c r="R344" i="1"/>
  <c r="S344" i="1" s="1"/>
  <c r="R345" i="1"/>
  <c r="S345" i="1" s="1"/>
  <c r="R346" i="1"/>
  <c r="S346" i="1" s="1"/>
  <c r="R347" i="1"/>
  <c r="S347" i="1" s="1"/>
  <c r="R348" i="1"/>
  <c r="S348" i="1" s="1"/>
  <c r="R349" i="1"/>
  <c r="S349" i="1" s="1"/>
  <c r="R350" i="1"/>
  <c r="S350" i="1" s="1"/>
  <c r="R351" i="1"/>
  <c r="S351" i="1" s="1"/>
  <c r="R352" i="1"/>
  <c r="S352" i="1" s="1"/>
  <c r="R353" i="1"/>
  <c r="S353" i="1" s="1"/>
  <c r="R354" i="1"/>
  <c r="S354" i="1" s="1"/>
  <c r="R355" i="1"/>
  <c r="S355" i="1" s="1"/>
  <c r="R356" i="1"/>
  <c r="S356" i="1" s="1"/>
  <c r="R357" i="1"/>
  <c r="S357" i="1" s="1"/>
  <c r="R358" i="1"/>
  <c r="S358" i="1" s="1"/>
  <c r="R359" i="1"/>
  <c r="S359" i="1" s="1"/>
  <c r="R360" i="1"/>
  <c r="S360" i="1" s="1"/>
  <c r="R361" i="1"/>
  <c r="S361" i="1" s="1"/>
  <c r="R362" i="1"/>
  <c r="S362" i="1" s="1"/>
  <c r="R363" i="1"/>
  <c r="S363" i="1" s="1"/>
  <c r="R364" i="1"/>
  <c r="S364" i="1" s="1"/>
  <c r="R365" i="1"/>
  <c r="S365" i="1" s="1"/>
  <c r="R366" i="1"/>
  <c r="S366" i="1" s="1"/>
  <c r="R367" i="1"/>
  <c r="S367" i="1" s="1"/>
  <c r="R368" i="1"/>
  <c r="S368" i="1" s="1"/>
  <c r="R369" i="1"/>
  <c r="S369" i="1" s="1"/>
  <c r="R370" i="1"/>
  <c r="S370" i="1" s="1"/>
  <c r="R371" i="1"/>
  <c r="S371" i="1" s="1"/>
  <c r="R372" i="1"/>
  <c r="S372" i="1" s="1"/>
  <c r="R373" i="1"/>
  <c r="S373" i="1" s="1"/>
  <c r="R374" i="1"/>
  <c r="S374" i="1" s="1"/>
  <c r="R375" i="1"/>
  <c r="S375" i="1" s="1"/>
  <c r="R376" i="1"/>
  <c r="S376" i="1" s="1"/>
  <c r="R377" i="1"/>
  <c r="S377" i="1" s="1"/>
  <c r="R378" i="1"/>
  <c r="S378" i="1" s="1"/>
  <c r="R379" i="1"/>
  <c r="S379" i="1" s="1"/>
  <c r="R380" i="1"/>
  <c r="S380" i="1" s="1"/>
  <c r="R381" i="1"/>
  <c r="S381" i="1" s="1"/>
  <c r="R382" i="1"/>
  <c r="S382" i="1" s="1"/>
  <c r="R383" i="1"/>
  <c r="S383" i="1" s="1"/>
  <c r="R384" i="1"/>
  <c r="S384" i="1" s="1"/>
  <c r="R385" i="1"/>
  <c r="S385" i="1" s="1"/>
  <c r="R386" i="1"/>
  <c r="S386" i="1" s="1"/>
  <c r="R387" i="1"/>
  <c r="S387" i="1" s="1"/>
  <c r="R388" i="1"/>
  <c r="S388" i="1" s="1"/>
  <c r="R389" i="1"/>
  <c r="S389" i="1" s="1"/>
  <c r="R390" i="1"/>
  <c r="S390" i="1" s="1"/>
  <c r="R391" i="1"/>
  <c r="S391" i="1" s="1"/>
  <c r="R392" i="1"/>
  <c r="S392" i="1" s="1"/>
  <c r="R393" i="1"/>
  <c r="S393" i="1" s="1"/>
  <c r="R394" i="1"/>
  <c r="S394" i="1" s="1"/>
  <c r="R395" i="1"/>
  <c r="S395" i="1" s="1"/>
  <c r="R396" i="1"/>
  <c r="S396" i="1" s="1"/>
  <c r="R397" i="1"/>
  <c r="S397" i="1" s="1"/>
  <c r="R398" i="1"/>
  <c r="S398" i="1" s="1"/>
  <c r="R399" i="1"/>
  <c r="S399" i="1" s="1"/>
  <c r="R400" i="1"/>
  <c r="S400" i="1" s="1"/>
  <c r="R401" i="1"/>
  <c r="S401" i="1" s="1"/>
  <c r="R402" i="1"/>
  <c r="S402" i="1" s="1"/>
  <c r="R403" i="1"/>
  <c r="S403" i="1" s="1"/>
  <c r="R404" i="1"/>
  <c r="S404" i="1" s="1"/>
  <c r="R405" i="1"/>
  <c r="S405" i="1" s="1"/>
  <c r="R406" i="1"/>
  <c r="S406" i="1" s="1"/>
  <c r="R407" i="1"/>
  <c r="S407" i="1" s="1"/>
  <c r="R408" i="1"/>
  <c r="S408" i="1" s="1"/>
  <c r="R409" i="1"/>
  <c r="S409" i="1" s="1"/>
  <c r="R410" i="1"/>
  <c r="S410" i="1" s="1"/>
  <c r="R411" i="1"/>
  <c r="S411" i="1" s="1"/>
  <c r="R412" i="1"/>
  <c r="S412" i="1" s="1"/>
  <c r="R413" i="1"/>
  <c r="S413" i="1" s="1"/>
  <c r="R414" i="1"/>
  <c r="S414" i="1" s="1"/>
  <c r="R415" i="1"/>
  <c r="S415" i="1" s="1"/>
  <c r="R416" i="1"/>
  <c r="S416" i="1" s="1"/>
  <c r="R417" i="1"/>
  <c r="S417" i="1" s="1"/>
  <c r="R418" i="1"/>
  <c r="S418" i="1" s="1"/>
  <c r="R419" i="1"/>
  <c r="S419" i="1" s="1"/>
  <c r="R420" i="1"/>
  <c r="S420" i="1" s="1"/>
  <c r="R421" i="1"/>
  <c r="S421" i="1" s="1"/>
  <c r="R422" i="1"/>
  <c r="S422" i="1" s="1"/>
  <c r="R423" i="1"/>
  <c r="S423" i="1" s="1"/>
  <c r="R424" i="1"/>
  <c r="S424" i="1" s="1"/>
  <c r="R425" i="1"/>
  <c r="S425" i="1" s="1"/>
  <c r="R426" i="1"/>
  <c r="S426" i="1" s="1"/>
  <c r="R427" i="1"/>
  <c r="S427" i="1" s="1"/>
  <c r="R428" i="1"/>
  <c r="S428" i="1" s="1"/>
  <c r="R429" i="1"/>
  <c r="S429" i="1" s="1"/>
  <c r="R430" i="1"/>
  <c r="S430" i="1" s="1"/>
  <c r="R431" i="1"/>
  <c r="S431" i="1" s="1"/>
  <c r="R432" i="1"/>
  <c r="S432" i="1" s="1"/>
  <c r="R433" i="1"/>
  <c r="S433" i="1" s="1"/>
  <c r="R434" i="1"/>
  <c r="S434" i="1" s="1"/>
  <c r="R435" i="1"/>
  <c r="S435" i="1" s="1"/>
  <c r="R436" i="1"/>
  <c r="S436" i="1" s="1"/>
  <c r="R437" i="1"/>
  <c r="S437" i="1" s="1"/>
  <c r="R438" i="1"/>
  <c r="S438" i="1" s="1"/>
  <c r="R439" i="1"/>
  <c r="S439" i="1" s="1"/>
  <c r="R440" i="1"/>
  <c r="S440" i="1" s="1"/>
  <c r="R441" i="1"/>
  <c r="S441" i="1" s="1"/>
  <c r="R442" i="1"/>
  <c r="S442" i="1" s="1"/>
  <c r="R443" i="1"/>
  <c r="S443" i="1" s="1"/>
  <c r="R444" i="1"/>
  <c r="S444" i="1" s="1"/>
  <c r="R445" i="1"/>
  <c r="S445" i="1" s="1"/>
  <c r="R446" i="1"/>
  <c r="S446" i="1" s="1"/>
  <c r="R447" i="1"/>
  <c r="S447" i="1" s="1"/>
  <c r="R448" i="1"/>
  <c r="S448" i="1" s="1"/>
  <c r="R449" i="1"/>
  <c r="S449" i="1" s="1"/>
  <c r="R450" i="1"/>
  <c r="S450" i="1" s="1"/>
  <c r="R451" i="1"/>
  <c r="S451" i="1" s="1"/>
  <c r="R452" i="1"/>
  <c r="S452" i="1" s="1"/>
  <c r="R453" i="1"/>
  <c r="S453" i="1" s="1"/>
  <c r="R454" i="1"/>
  <c r="S454" i="1" s="1"/>
  <c r="R455" i="1"/>
  <c r="S455" i="1" s="1"/>
  <c r="R456" i="1"/>
  <c r="S456" i="1" s="1"/>
  <c r="R457" i="1"/>
  <c r="S457" i="1" s="1"/>
  <c r="R458" i="1"/>
  <c r="S458" i="1" s="1"/>
  <c r="R459" i="1"/>
  <c r="S459" i="1" s="1"/>
  <c r="R460" i="1"/>
  <c r="S460" i="1" s="1"/>
  <c r="R461" i="1"/>
  <c r="S461" i="1" s="1"/>
  <c r="R462" i="1"/>
  <c r="S462" i="1" s="1"/>
  <c r="R463" i="1"/>
  <c r="S463" i="1" s="1"/>
  <c r="R464" i="1"/>
  <c r="S464" i="1" s="1"/>
  <c r="R465" i="1"/>
  <c r="S465" i="1" s="1"/>
  <c r="R466" i="1"/>
  <c r="S466" i="1" s="1"/>
  <c r="R467" i="1"/>
  <c r="S467" i="1" s="1"/>
  <c r="R468" i="1"/>
  <c r="S468" i="1" s="1"/>
  <c r="R469" i="1"/>
  <c r="S469" i="1" s="1"/>
  <c r="R470" i="1"/>
  <c r="S470" i="1" s="1"/>
  <c r="R471" i="1"/>
  <c r="S471" i="1" s="1"/>
  <c r="R472" i="1"/>
  <c r="S472" i="1" s="1"/>
  <c r="R473" i="1"/>
  <c r="S473" i="1" s="1"/>
  <c r="R474" i="1"/>
  <c r="S474" i="1" s="1"/>
  <c r="R475" i="1"/>
  <c r="S475" i="1" s="1"/>
  <c r="R476" i="1"/>
  <c r="S476" i="1" s="1"/>
  <c r="R477" i="1"/>
  <c r="S477" i="1" s="1"/>
  <c r="R478" i="1"/>
  <c r="S478" i="1" s="1"/>
  <c r="R479" i="1"/>
  <c r="S479" i="1" s="1"/>
  <c r="R480" i="1"/>
  <c r="S480" i="1" s="1"/>
  <c r="R481" i="1"/>
  <c r="S481" i="1" s="1"/>
  <c r="R482" i="1"/>
  <c r="S482" i="1" s="1"/>
  <c r="R483" i="1"/>
  <c r="S483" i="1" s="1"/>
  <c r="R484" i="1"/>
  <c r="S484" i="1" s="1"/>
  <c r="R485" i="1"/>
  <c r="S485" i="1" s="1"/>
  <c r="R486" i="1"/>
  <c r="S486" i="1" s="1"/>
  <c r="R487" i="1"/>
  <c r="S487" i="1" s="1"/>
  <c r="R488" i="1"/>
  <c r="S488" i="1" s="1"/>
  <c r="R489" i="1"/>
  <c r="S489" i="1" s="1"/>
  <c r="R490" i="1"/>
  <c r="S490" i="1" s="1"/>
  <c r="R491" i="1"/>
  <c r="S491" i="1" s="1"/>
  <c r="R492" i="1"/>
  <c r="S492" i="1" s="1"/>
  <c r="R493" i="1"/>
  <c r="S493" i="1" s="1"/>
  <c r="R494" i="1"/>
  <c r="S494" i="1" s="1"/>
  <c r="R495" i="1"/>
  <c r="S495" i="1" s="1"/>
  <c r="R496" i="1"/>
  <c r="S496" i="1" s="1"/>
  <c r="R497" i="1"/>
  <c r="S497" i="1" s="1"/>
  <c r="R498" i="1"/>
  <c r="S498" i="1" s="1"/>
  <c r="R499" i="1"/>
  <c r="S499" i="1" s="1"/>
  <c r="R500" i="1"/>
  <c r="S500" i="1" s="1"/>
  <c r="R501" i="1"/>
  <c r="S501" i="1" s="1"/>
  <c r="S177" i="10" l="1"/>
  <c r="T73" i="10"/>
  <c r="S293" i="10"/>
  <c r="T363" i="10"/>
  <c r="T131" i="10"/>
  <c r="S214" i="10"/>
  <c r="S183" i="10"/>
  <c r="S309" i="10"/>
  <c r="T384" i="10"/>
  <c r="T420" i="10"/>
  <c r="S99" i="10"/>
  <c r="S232" i="10"/>
  <c r="S366" i="10"/>
  <c r="S473" i="10"/>
  <c r="T163" i="10"/>
  <c r="S493" i="10"/>
  <c r="S100" i="10"/>
  <c r="T147" i="10"/>
  <c r="S192" i="10"/>
  <c r="S231" i="10"/>
  <c r="S297" i="10"/>
  <c r="T498" i="10"/>
  <c r="S445" i="10"/>
  <c r="T167" i="10"/>
  <c r="S279" i="10"/>
  <c r="S465" i="10"/>
  <c r="T484" i="10"/>
  <c r="T83" i="10"/>
  <c r="T396" i="10"/>
  <c r="T33" i="10"/>
  <c r="T315" i="10"/>
  <c r="S409" i="10"/>
  <c r="T331" i="10"/>
  <c r="T361" i="10"/>
  <c r="T400" i="10"/>
  <c r="S425" i="10"/>
  <c r="T436" i="10"/>
  <c r="T3" i="10"/>
  <c r="T43" i="10"/>
  <c r="S321" i="10"/>
  <c r="S372" i="10"/>
  <c r="S429" i="10"/>
  <c r="S477" i="10"/>
  <c r="T492" i="10"/>
  <c r="T51" i="10"/>
  <c r="S122" i="10"/>
  <c r="S136" i="10"/>
  <c r="S254" i="10"/>
  <c r="S303" i="10"/>
  <c r="T347" i="10"/>
  <c r="T376" i="10"/>
  <c r="T404" i="10"/>
  <c r="T89" i="10"/>
  <c r="S159" i="10"/>
  <c r="S202" i="10"/>
  <c r="T221" i="10"/>
  <c r="S285" i="10"/>
  <c r="T355" i="10"/>
  <c r="T380" i="10"/>
  <c r="S401" i="10"/>
  <c r="S441" i="10"/>
  <c r="T452" i="10"/>
  <c r="S108" i="10"/>
  <c r="S145" i="10"/>
  <c r="S184" i="10"/>
  <c r="S267" i="10"/>
  <c r="S322" i="10"/>
  <c r="T337" i="10"/>
  <c r="T388" i="10"/>
  <c r="T392" i="10"/>
  <c r="S413" i="10"/>
  <c r="S457" i="10"/>
  <c r="S501" i="10"/>
  <c r="T19" i="10"/>
  <c r="T65" i="10"/>
  <c r="S128" i="10"/>
  <c r="S135" i="10"/>
  <c r="S171" i="10"/>
  <c r="T237" i="10"/>
  <c r="S107" i="10"/>
  <c r="T121" i="10"/>
  <c r="S164" i="10"/>
  <c r="S277" i="10"/>
  <c r="S287" i="10"/>
  <c r="S301" i="10"/>
  <c r="S304" i="10"/>
  <c r="S318" i="10"/>
  <c r="S362" i="10"/>
  <c r="T365" i="10"/>
  <c r="S381" i="10"/>
  <c r="S397" i="10"/>
  <c r="S417" i="10"/>
  <c r="S437" i="10"/>
  <c r="T444" i="10"/>
  <c r="S481" i="10"/>
  <c r="S461" i="10"/>
  <c r="T468" i="10"/>
  <c r="T59" i="10"/>
  <c r="S95" i="10"/>
  <c r="S281" i="10"/>
  <c r="S295" i="10"/>
  <c r="S325" i="10"/>
  <c r="S346" i="10"/>
  <c r="S353" i="10"/>
  <c r="T369" i="10"/>
  <c r="S385" i="10"/>
  <c r="S421" i="10"/>
  <c r="T428" i="10"/>
  <c r="S485" i="10"/>
  <c r="T27" i="10"/>
  <c r="T49" i="10"/>
  <c r="T67" i="10"/>
  <c r="S74" i="10"/>
  <c r="S132" i="10"/>
  <c r="S172" i="10"/>
  <c r="T185" i="10"/>
  <c r="T199" i="10"/>
  <c r="T245" i="10"/>
  <c r="S313" i="10"/>
  <c r="S373" i="10"/>
  <c r="S389" i="10"/>
  <c r="S405" i="10"/>
  <c r="T412" i="10"/>
  <c r="S449" i="10"/>
  <c r="S469" i="10"/>
  <c r="T476" i="10"/>
  <c r="T17" i="10"/>
  <c r="T35" i="10"/>
  <c r="S103" i="10"/>
  <c r="S113" i="10"/>
  <c r="S127" i="10"/>
  <c r="S139" i="10"/>
  <c r="T153" i="10"/>
  <c r="S193" i="10"/>
  <c r="S207" i="10"/>
  <c r="T229" i="10"/>
  <c r="S235" i="10"/>
  <c r="S257" i="10"/>
  <c r="S334" i="10"/>
  <c r="S345" i="10"/>
  <c r="S377" i="10"/>
  <c r="S393" i="10"/>
  <c r="S433" i="10"/>
  <c r="S453" i="10"/>
  <c r="T460" i="10"/>
  <c r="T53" i="10"/>
  <c r="S170" i="10"/>
  <c r="S176" i="10"/>
  <c r="S191" i="10"/>
  <c r="S220" i="10"/>
  <c r="S239" i="10"/>
  <c r="S273" i="10"/>
  <c r="S289" i="10"/>
  <c r="S314" i="10"/>
  <c r="S317" i="10"/>
  <c r="S329" i="10"/>
  <c r="S375" i="10"/>
  <c r="S383" i="10"/>
  <c r="S391" i="10"/>
  <c r="S399" i="10"/>
  <c r="S407" i="10"/>
  <c r="S415" i="10"/>
  <c r="S423" i="10"/>
  <c r="S431" i="10"/>
  <c r="S439" i="10"/>
  <c r="S447" i="10"/>
  <c r="S455" i="10"/>
  <c r="S463" i="10"/>
  <c r="S471" i="10"/>
  <c r="S479" i="10"/>
  <c r="S487" i="10"/>
  <c r="S495" i="10"/>
  <c r="T5" i="10"/>
  <c r="T21" i="10"/>
  <c r="T69" i="10"/>
  <c r="S81" i="10"/>
  <c r="S120" i="10"/>
  <c r="S156" i="10"/>
  <c r="T15" i="10"/>
  <c r="T31" i="10"/>
  <c r="T47" i="10"/>
  <c r="S75" i="10"/>
  <c r="S87" i="10"/>
  <c r="S115" i="10"/>
  <c r="S123" i="10"/>
  <c r="S129" i="10"/>
  <c r="T137" i="10"/>
  <c r="S143" i="10"/>
  <c r="S148" i="10"/>
  <c r="T151" i="10"/>
  <c r="S179" i="10"/>
  <c r="S200" i="10"/>
  <c r="S227" i="10"/>
  <c r="S263" i="10"/>
  <c r="S270" i="10"/>
  <c r="S283" i="10"/>
  <c r="S299" i="10"/>
  <c r="T323" i="10"/>
  <c r="S326" i="10"/>
  <c r="S338" i="10"/>
  <c r="S341" i="10"/>
  <c r="S350" i="10"/>
  <c r="S370" i="10"/>
  <c r="T378" i="10"/>
  <c r="T386" i="10"/>
  <c r="T394" i="10"/>
  <c r="T402" i="10"/>
  <c r="T410" i="10"/>
  <c r="T418" i="10"/>
  <c r="T426" i="10"/>
  <c r="T434" i="10"/>
  <c r="T442" i="10"/>
  <c r="T450" i="10"/>
  <c r="T458" i="10"/>
  <c r="T466" i="10"/>
  <c r="T474" i="10"/>
  <c r="T482" i="10"/>
  <c r="T490" i="10"/>
  <c r="T37" i="10"/>
  <c r="S92" i="10"/>
  <c r="S106" i="10"/>
  <c r="S112" i="10"/>
  <c r="T63" i="10"/>
  <c r="T9" i="10"/>
  <c r="T25" i="10"/>
  <c r="T41" i="10"/>
  <c r="T57" i="10"/>
  <c r="S84" i="10"/>
  <c r="S90" i="10"/>
  <c r="S96" i="10"/>
  <c r="S104" i="10"/>
  <c r="S140" i="10"/>
  <c r="S154" i="10"/>
  <c r="S160" i="10"/>
  <c r="S168" i="10"/>
  <c r="T11" i="10"/>
  <c r="T408" i="10"/>
  <c r="T416" i="10"/>
  <c r="T424" i="10"/>
  <c r="T432" i="10"/>
  <c r="T440" i="10"/>
  <c r="T448" i="10"/>
  <c r="T456" i="10"/>
  <c r="T464" i="10"/>
  <c r="T472" i="10"/>
  <c r="T480" i="10"/>
  <c r="T488" i="10"/>
  <c r="T496" i="10"/>
  <c r="T29" i="10"/>
  <c r="T45" i="10"/>
  <c r="T61" i="10"/>
  <c r="S76" i="10"/>
  <c r="S119" i="10"/>
  <c r="S124" i="10"/>
  <c r="S138" i="10"/>
  <c r="S144" i="10"/>
  <c r="S152" i="10"/>
  <c r="T195" i="10"/>
  <c r="T201" i="10"/>
  <c r="S240" i="10"/>
  <c r="S247" i="10"/>
  <c r="S261" i="10"/>
  <c r="S330" i="10"/>
  <c r="T339" i="10"/>
  <c r="S354" i="10"/>
  <c r="S357" i="10"/>
  <c r="T371" i="10"/>
  <c r="S379" i="10"/>
  <c r="S387" i="10"/>
  <c r="S395" i="10"/>
  <c r="S403" i="10"/>
  <c r="S411" i="10"/>
  <c r="S419" i="10"/>
  <c r="S427" i="10"/>
  <c r="S435" i="10"/>
  <c r="S443" i="10"/>
  <c r="S451" i="10"/>
  <c r="S459" i="10"/>
  <c r="S467" i="10"/>
  <c r="S475" i="10"/>
  <c r="S483" i="10"/>
  <c r="S491" i="10"/>
  <c r="S499" i="10"/>
  <c r="T13" i="10"/>
  <c r="T7" i="10"/>
  <c r="T23" i="10"/>
  <c r="T39" i="10"/>
  <c r="T55" i="10"/>
  <c r="S71" i="10"/>
  <c r="S80" i="10"/>
  <c r="S91" i="10"/>
  <c r="S97" i="10"/>
  <c r="T105" i="10"/>
  <c r="S111" i="10"/>
  <c r="S116" i="10"/>
  <c r="S155" i="10"/>
  <c r="S161" i="10"/>
  <c r="T169" i="10"/>
  <c r="S175" i="10"/>
  <c r="S186" i="10"/>
  <c r="S212" i="10"/>
  <c r="T215" i="10"/>
  <c r="S251" i="10"/>
  <c r="S275" i="10"/>
  <c r="S291" i="10"/>
  <c r="S307" i="10"/>
  <c r="S310" i="10"/>
  <c r="T374" i="10"/>
  <c r="T382" i="10"/>
  <c r="T390" i="10"/>
  <c r="T398" i="10"/>
  <c r="T406" i="10"/>
  <c r="T414" i="10"/>
  <c r="T422" i="10"/>
  <c r="T430" i="10"/>
  <c r="T438" i="10"/>
  <c r="T446" i="10"/>
  <c r="T454" i="10"/>
  <c r="T462" i="10"/>
  <c r="T470" i="10"/>
  <c r="T478" i="10"/>
  <c r="T486" i="10"/>
  <c r="T494" i="10"/>
  <c r="S489" i="10"/>
  <c r="S497" i="10"/>
  <c r="S72" i="10"/>
  <c r="S213" i="10"/>
  <c r="T284" i="10"/>
  <c r="S284" i="10"/>
  <c r="T300" i="10"/>
  <c r="S300" i="10"/>
  <c r="T327" i="10"/>
  <c r="S327" i="10"/>
  <c r="T351" i="10"/>
  <c r="S351" i="10"/>
  <c r="T360" i="10"/>
  <c r="S360" i="10"/>
  <c r="S88" i="10"/>
  <c r="S2" i="10"/>
  <c r="S4" i="10"/>
  <c r="S6" i="10"/>
  <c r="S8" i="10"/>
  <c r="S10" i="10"/>
  <c r="S12" i="10"/>
  <c r="S14" i="10"/>
  <c r="S16" i="10"/>
  <c r="S18" i="10"/>
  <c r="S20" i="10"/>
  <c r="S22" i="10"/>
  <c r="S24" i="10"/>
  <c r="S26" i="10"/>
  <c r="S28" i="10"/>
  <c r="S30" i="10"/>
  <c r="S32" i="10"/>
  <c r="S34" i="10"/>
  <c r="S36" i="10"/>
  <c r="S38" i="10"/>
  <c r="S40" i="10"/>
  <c r="S42" i="10"/>
  <c r="S44" i="10"/>
  <c r="S46" i="10"/>
  <c r="S48" i="10"/>
  <c r="S50" i="10"/>
  <c r="S52" i="10"/>
  <c r="S54" i="10"/>
  <c r="S56" i="10"/>
  <c r="S58" i="10"/>
  <c r="S60" i="10"/>
  <c r="S62" i="10"/>
  <c r="S64" i="10"/>
  <c r="S66" i="10"/>
  <c r="S68" i="10"/>
  <c r="S70" i="10"/>
  <c r="S77" i="10"/>
  <c r="T79" i="10"/>
  <c r="S86" i="10"/>
  <c r="S93" i="10"/>
  <c r="S102" i="10"/>
  <c r="S109" i="10"/>
  <c r="S118" i="10"/>
  <c r="S125" i="10"/>
  <c r="S134" i="10"/>
  <c r="S141" i="10"/>
  <c r="S150" i="10"/>
  <c r="S157" i="10"/>
  <c r="S166" i="10"/>
  <c r="S173" i="10"/>
  <c r="S182" i="10"/>
  <c r="S189" i="10"/>
  <c r="S198" i="10"/>
  <c r="S205" i="10"/>
  <c r="S219" i="10"/>
  <c r="S180" i="10"/>
  <c r="S187" i="10"/>
  <c r="S196" i="10"/>
  <c r="S203" i="10"/>
  <c r="S211" i="10"/>
  <c r="S216" i="10"/>
  <c r="T222" i="10"/>
  <c r="S222" i="10"/>
  <c r="T238" i="10"/>
  <c r="S238" i="10"/>
  <c r="T288" i="10"/>
  <c r="S288" i="10"/>
  <c r="T319" i="10"/>
  <c r="S319" i="10"/>
  <c r="T328" i="10"/>
  <c r="S328" i="10"/>
  <c r="T352" i="10"/>
  <c r="S352" i="10"/>
  <c r="S82" i="10"/>
  <c r="S98" i="10"/>
  <c r="S114" i="10"/>
  <c r="S130" i="10"/>
  <c r="S146" i="10"/>
  <c r="S162" i="10"/>
  <c r="S178" i="10"/>
  <c r="S194" i="10"/>
  <c r="T255" i="10"/>
  <c r="S255" i="10"/>
  <c r="T269" i="10"/>
  <c r="S269" i="10"/>
  <c r="T343" i="10"/>
  <c r="S343" i="10"/>
  <c r="T276" i="10"/>
  <c r="S276" i="10"/>
  <c r="T292" i="10"/>
  <c r="S292" i="10"/>
  <c r="T311" i="10"/>
  <c r="S311" i="10"/>
  <c r="T320" i="10"/>
  <c r="S320" i="10"/>
  <c r="S78" i="10"/>
  <c r="S85" i="10"/>
  <c r="S94" i="10"/>
  <c r="S101" i="10"/>
  <c r="S110" i="10"/>
  <c r="S117" i="10"/>
  <c r="S126" i="10"/>
  <c r="S133" i="10"/>
  <c r="S142" i="10"/>
  <c r="S149" i="10"/>
  <c r="S158" i="10"/>
  <c r="S165" i="10"/>
  <c r="S174" i="10"/>
  <c r="S181" i="10"/>
  <c r="S190" i="10"/>
  <c r="S197" i="10"/>
  <c r="S206" i="10"/>
  <c r="T223" i="10"/>
  <c r="T230" i="10"/>
  <c r="S230" i="10"/>
  <c r="T249" i="10"/>
  <c r="S249" i="10"/>
  <c r="T305" i="10"/>
  <c r="S305" i="10"/>
  <c r="T335" i="10"/>
  <c r="S335" i="10"/>
  <c r="T344" i="10"/>
  <c r="S344" i="10"/>
  <c r="T367" i="10"/>
  <c r="S367" i="10"/>
  <c r="S188" i="10"/>
  <c r="S204" i="10"/>
  <c r="T246" i="10"/>
  <c r="S246" i="10"/>
  <c r="T280" i="10"/>
  <c r="S280" i="10"/>
  <c r="T296" i="10"/>
  <c r="S296" i="10"/>
  <c r="T312" i="10"/>
  <c r="S312" i="10"/>
  <c r="T359" i="10"/>
  <c r="S359" i="10"/>
  <c r="T243" i="10"/>
  <c r="S243" i="10"/>
  <c r="T306" i="10"/>
  <c r="S306" i="10"/>
  <c r="T336" i="10"/>
  <c r="S336" i="10"/>
  <c r="T368" i="10"/>
  <c r="S368" i="10"/>
  <c r="S278" i="10"/>
  <c r="S286" i="10"/>
  <c r="S294" i="10"/>
  <c r="S302" i="10"/>
  <c r="S316" i="10"/>
  <c r="S332" i="10"/>
  <c r="S348" i="10"/>
  <c r="S364" i="10"/>
  <c r="S228" i="10"/>
  <c r="S236" i="10"/>
  <c r="S244" i="10"/>
  <c r="S333" i="10"/>
  <c r="S342" i="10"/>
  <c r="S349" i="10"/>
  <c r="S358" i="10"/>
  <c r="S500" i="10"/>
  <c r="S253" i="10"/>
  <c r="S259" i="10"/>
  <c r="S262" i="10"/>
  <c r="S265" i="10"/>
  <c r="S271" i="10"/>
  <c r="S274" i="10"/>
  <c r="S282" i="10"/>
  <c r="S290" i="10"/>
  <c r="S298" i="10"/>
  <c r="S308" i="10"/>
  <c r="S324" i="10"/>
  <c r="S340" i="10"/>
  <c r="S356" i="10"/>
  <c r="S217" i="10"/>
  <c r="S226" i="10"/>
  <c r="S233" i="10"/>
  <c r="S242" i="10"/>
  <c r="S252" i="10"/>
  <c r="S260" i="10"/>
  <c r="S268" i="10"/>
  <c r="S210" i="10"/>
  <c r="S208" i="10"/>
  <c r="S224" i="10"/>
  <c r="S250" i="10"/>
  <c r="S258" i="10"/>
  <c r="S266" i="10"/>
  <c r="S209" i="10"/>
  <c r="S218" i="10"/>
  <c r="S225" i="10"/>
  <c r="S234" i="10"/>
  <c r="S241" i="10"/>
  <c r="S248" i="10"/>
  <c r="S256" i="10"/>
  <c r="S264" i="10"/>
  <c r="S272" i="10"/>
  <c r="T497" i="1"/>
  <c r="T489" i="1"/>
  <c r="T481" i="1"/>
  <c r="T473" i="1"/>
  <c r="T465" i="1"/>
  <c r="T457" i="1"/>
  <c r="T449" i="1"/>
  <c r="T441" i="1"/>
  <c r="T433" i="1"/>
  <c r="T425" i="1"/>
  <c r="T417" i="1"/>
  <c r="T409" i="1"/>
  <c r="T401" i="1"/>
  <c r="T393" i="1"/>
  <c r="T385" i="1"/>
  <c r="T377" i="1"/>
  <c r="T369" i="1"/>
  <c r="T361" i="1"/>
  <c r="T353" i="1"/>
  <c r="T345" i="1"/>
  <c r="T337" i="1"/>
  <c r="T329" i="1"/>
  <c r="T321" i="1"/>
  <c r="T313" i="1"/>
  <c r="T305" i="1"/>
  <c r="T297" i="1"/>
  <c r="T289" i="1"/>
  <c r="T281" i="1"/>
  <c r="T273" i="1"/>
  <c r="T265" i="1"/>
  <c r="T257" i="1"/>
  <c r="T249" i="1"/>
  <c r="T241" i="1"/>
  <c r="T233" i="1"/>
  <c r="T225" i="1"/>
  <c r="T217" i="1"/>
  <c r="T209" i="1"/>
  <c r="T201" i="1"/>
  <c r="T193" i="1"/>
  <c r="T185" i="1"/>
  <c r="T177" i="1"/>
  <c r="T169" i="1"/>
  <c r="T161" i="1"/>
  <c r="T153" i="1"/>
  <c r="T145" i="1"/>
  <c r="T137" i="1"/>
  <c r="T129" i="1"/>
  <c r="T121" i="1"/>
  <c r="T113" i="1"/>
  <c r="T105" i="1"/>
  <c r="T97" i="1"/>
  <c r="T89" i="1"/>
  <c r="T81" i="1"/>
  <c r="T73" i="1"/>
  <c r="T65" i="1"/>
  <c r="T57" i="1"/>
  <c r="T49" i="1"/>
  <c r="T41" i="1"/>
  <c r="T33" i="1"/>
  <c r="T25" i="1"/>
  <c r="T17" i="1"/>
  <c r="T9" i="1"/>
  <c r="T496" i="1"/>
  <c r="T488" i="1"/>
  <c r="T480" i="1"/>
  <c r="T472" i="1"/>
  <c r="T464" i="1"/>
  <c r="T456" i="1"/>
  <c r="T448" i="1"/>
  <c r="T440" i="1"/>
  <c r="T432" i="1"/>
  <c r="T424" i="1"/>
  <c r="T416" i="1"/>
  <c r="T408" i="1"/>
  <c r="T400" i="1"/>
  <c r="T392" i="1"/>
  <c r="T384" i="1"/>
  <c r="T376" i="1"/>
  <c r="T368" i="1"/>
  <c r="T360" i="1"/>
  <c r="T352" i="1"/>
  <c r="T344" i="1"/>
  <c r="T336" i="1"/>
  <c r="T328" i="1"/>
  <c r="T320" i="1"/>
  <c r="T312" i="1"/>
  <c r="T304" i="1"/>
  <c r="T296" i="1"/>
  <c r="T288" i="1"/>
  <c r="T280" i="1"/>
  <c r="T272" i="1"/>
  <c r="T264" i="1"/>
  <c r="T256" i="1"/>
  <c r="T248" i="1"/>
  <c r="T240" i="1"/>
  <c r="T232" i="1"/>
  <c r="T224" i="1"/>
  <c r="T216" i="1"/>
  <c r="T208" i="1"/>
  <c r="T200" i="1"/>
  <c r="T192" i="1"/>
  <c r="T184" i="1"/>
  <c r="T176" i="1"/>
  <c r="T168" i="1"/>
  <c r="T160" i="1"/>
  <c r="T152" i="1"/>
  <c r="T144" i="1"/>
  <c r="T136" i="1"/>
  <c r="T128" i="1"/>
  <c r="T120" i="1"/>
  <c r="T112" i="1"/>
  <c r="T104" i="1"/>
  <c r="T96" i="1"/>
  <c r="T88" i="1"/>
  <c r="T80" i="1"/>
  <c r="T72" i="1"/>
  <c r="T64" i="1"/>
  <c r="T56" i="1"/>
  <c r="T48" i="1"/>
  <c r="T40" i="1"/>
  <c r="T32" i="1"/>
  <c r="T24" i="1"/>
  <c r="T16" i="1"/>
  <c r="T8" i="1"/>
  <c r="T495" i="1"/>
  <c r="T487" i="1"/>
  <c r="T479" i="1"/>
  <c r="T471" i="1"/>
  <c r="T463" i="1"/>
  <c r="T455" i="1"/>
  <c r="T447" i="1"/>
  <c r="T439" i="1"/>
  <c r="T431" i="1"/>
  <c r="T423" i="1"/>
  <c r="T415" i="1"/>
  <c r="T407" i="1"/>
  <c r="T399" i="1"/>
  <c r="T391" i="1"/>
  <c r="T383" i="1"/>
  <c r="T375" i="1"/>
  <c r="T367" i="1"/>
  <c r="T359" i="1"/>
  <c r="T351" i="1"/>
  <c r="T343" i="1"/>
  <c r="T335" i="1"/>
  <c r="T327" i="1"/>
  <c r="T319" i="1"/>
  <c r="T311" i="1"/>
  <c r="T303" i="1"/>
  <c r="T295" i="1"/>
  <c r="T287" i="1"/>
  <c r="T279" i="1"/>
  <c r="T271" i="1"/>
  <c r="T263" i="1"/>
  <c r="T255" i="1"/>
  <c r="T247" i="1"/>
  <c r="T239" i="1"/>
  <c r="T231" i="1"/>
  <c r="T223" i="1"/>
  <c r="T215" i="1"/>
  <c r="T207" i="1"/>
  <c r="T199" i="1"/>
  <c r="T191" i="1"/>
  <c r="T183" i="1"/>
  <c r="T175" i="1"/>
  <c r="T167" i="1"/>
  <c r="T159" i="1"/>
  <c r="T151" i="1"/>
  <c r="T143" i="1"/>
  <c r="T135" i="1"/>
  <c r="T127" i="1"/>
  <c r="T119" i="1"/>
  <c r="T111" i="1"/>
  <c r="T103" i="1"/>
  <c r="T95" i="1"/>
  <c r="T87" i="1"/>
  <c r="T79" i="1"/>
  <c r="T71" i="1"/>
  <c r="T63" i="1"/>
  <c r="T55" i="1"/>
  <c r="T47" i="1"/>
  <c r="T39" i="1"/>
  <c r="T31" i="1"/>
  <c r="T23" i="1"/>
  <c r="T15" i="1"/>
  <c r="T7" i="1"/>
  <c r="T494" i="1"/>
  <c r="T486" i="1"/>
  <c r="T478" i="1"/>
  <c r="T470" i="1"/>
  <c r="T462" i="1"/>
  <c r="T454" i="1"/>
  <c r="T446" i="1"/>
  <c r="T438" i="1"/>
  <c r="T430" i="1"/>
  <c r="T422" i="1"/>
  <c r="T414" i="1"/>
  <c r="T406" i="1"/>
  <c r="T398" i="1"/>
  <c r="T390" i="1"/>
  <c r="T382" i="1"/>
  <c r="T374" i="1"/>
  <c r="T366" i="1"/>
  <c r="T358" i="1"/>
  <c r="T350" i="1"/>
  <c r="T342" i="1"/>
  <c r="T334" i="1"/>
  <c r="T326" i="1"/>
  <c r="T318" i="1"/>
  <c r="T310" i="1"/>
  <c r="T302" i="1"/>
  <c r="T294" i="1"/>
  <c r="T286" i="1"/>
  <c r="T278" i="1"/>
  <c r="T270" i="1"/>
  <c r="T262" i="1"/>
  <c r="T254" i="1"/>
  <c r="T246" i="1"/>
  <c r="T238" i="1"/>
  <c r="T230" i="1"/>
  <c r="T222" i="1"/>
  <c r="T214" i="1"/>
  <c r="T206" i="1"/>
  <c r="T198" i="1"/>
  <c r="T190" i="1"/>
  <c r="T182" i="1"/>
  <c r="T174" i="1"/>
  <c r="T166" i="1"/>
  <c r="T158" i="1"/>
  <c r="T150" i="1"/>
  <c r="T142" i="1"/>
  <c r="T134" i="1"/>
  <c r="T126" i="1"/>
  <c r="T118" i="1"/>
  <c r="T110" i="1"/>
  <c r="T102" i="1"/>
  <c r="T94" i="1"/>
  <c r="T86" i="1"/>
  <c r="T78" i="1"/>
  <c r="T70" i="1"/>
  <c r="T62" i="1"/>
  <c r="T54" i="1"/>
  <c r="T46" i="1"/>
  <c r="T38" i="1"/>
  <c r="T30" i="1"/>
  <c r="T22" i="1"/>
  <c r="T14" i="1"/>
  <c r="T6" i="1"/>
  <c r="T501" i="1"/>
  <c r="T493" i="1"/>
  <c r="T485" i="1"/>
  <c r="T477" i="1"/>
  <c r="T469" i="1"/>
  <c r="T461" i="1"/>
  <c r="T453" i="1"/>
  <c r="T445" i="1"/>
  <c r="T437" i="1"/>
  <c r="T429" i="1"/>
  <c r="T421" i="1"/>
  <c r="T413" i="1"/>
  <c r="T405" i="1"/>
  <c r="T397" i="1"/>
  <c r="T389" i="1"/>
  <c r="T381" i="1"/>
  <c r="T373" i="1"/>
  <c r="T365" i="1"/>
  <c r="T357" i="1"/>
  <c r="T349" i="1"/>
  <c r="T341" i="1"/>
  <c r="T333" i="1"/>
  <c r="T325" i="1"/>
  <c r="T317" i="1"/>
  <c r="T309" i="1"/>
  <c r="T301" i="1"/>
  <c r="T293" i="1"/>
  <c r="T285" i="1"/>
  <c r="T277" i="1"/>
  <c r="T269" i="1"/>
  <c r="T261" i="1"/>
  <c r="T253" i="1"/>
  <c r="T245" i="1"/>
  <c r="T237" i="1"/>
  <c r="T229" i="1"/>
  <c r="T221" i="1"/>
  <c r="T213" i="1"/>
  <c r="T205" i="1"/>
  <c r="T197" i="1"/>
  <c r="T189" i="1"/>
  <c r="T181" i="1"/>
  <c r="T173" i="1"/>
  <c r="T165" i="1"/>
  <c r="T157" i="1"/>
  <c r="T149" i="1"/>
  <c r="T141" i="1"/>
  <c r="T133" i="1"/>
  <c r="T125" i="1"/>
  <c r="T117" i="1"/>
  <c r="T109" i="1"/>
  <c r="T101" i="1"/>
  <c r="T93" i="1"/>
  <c r="T85" i="1"/>
  <c r="T77" i="1"/>
  <c r="T69" i="1"/>
  <c r="T61" i="1"/>
  <c r="T53" i="1"/>
  <c r="T45" i="1"/>
  <c r="T37" i="1"/>
  <c r="T29" i="1"/>
  <c r="T21" i="1"/>
  <c r="T13" i="1"/>
  <c r="T5" i="1"/>
  <c r="T500" i="1"/>
  <c r="T492" i="1"/>
  <c r="T484" i="1"/>
  <c r="T476" i="1"/>
  <c r="T468" i="1"/>
  <c r="T460" i="1"/>
  <c r="T452" i="1"/>
  <c r="T444" i="1"/>
  <c r="T436" i="1"/>
  <c r="T428" i="1"/>
  <c r="T420" i="1"/>
  <c r="T412" i="1"/>
  <c r="T404" i="1"/>
  <c r="T396" i="1"/>
  <c r="T388" i="1"/>
  <c r="T380" i="1"/>
  <c r="T372" i="1"/>
  <c r="T364" i="1"/>
  <c r="T356" i="1"/>
  <c r="T348" i="1"/>
  <c r="T340" i="1"/>
  <c r="T332" i="1"/>
  <c r="T324" i="1"/>
  <c r="T316" i="1"/>
  <c r="T308" i="1"/>
  <c r="T300" i="1"/>
  <c r="T292" i="1"/>
  <c r="T284" i="1"/>
  <c r="T276" i="1"/>
  <c r="T268" i="1"/>
  <c r="T260" i="1"/>
  <c r="T252" i="1"/>
  <c r="T244" i="1"/>
  <c r="T236" i="1"/>
  <c r="T228" i="1"/>
  <c r="T220" i="1"/>
  <c r="T212" i="1"/>
  <c r="T204" i="1"/>
  <c r="T196" i="1"/>
  <c r="T188" i="1"/>
  <c r="T180" i="1"/>
  <c r="T172" i="1"/>
  <c r="T164" i="1"/>
  <c r="T156" i="1"/>
  <c r="T148" i="1"/>
  <c r="T140" i="1"/>
  <c r="T132" i="1"/>
  <c r="T124" i="1"/>
  <c r="T116" i="1"/>
  <c r="T108" i="1"/>
  <c r="T100" i="1"/>
  <c r="T92" i="1"/>
  <c r="T84" i="1"/>
  <c r="T76" i="1"/>
  <c r="T68" i="1"/>
  <c r="T60" i="1"/>
  <c r="T52" i="1"/>
  <c r="T44" i="1"/>
  <c r="T36" i="1"/>
  <c r="T28" i="1"/>
  <c r="T20" i="1"/>
  <c r="T12" i="1"/>
  <c r="T4" i="1"/>
  <c r="T499" i="1"/>
  <c r="T491" i="1"/>
  <c r="T483" i="1"/>
  <c r="T475" i="1"/>
  <c r="T467" i="1"/>
  <c r="T459" i="1"/>
  <c r="T451" i="1"/>
  <c r="T443" i="1"/>
  <c r="T435" i="1"/>
  <c r="T427" i="1"/>
  <c r="T419" i="1"/>
  <c r="T411" i="1"/>
  <c r="T403" i="1"/>
  <c r="T395" i="1"/>
  <c r="T387" i="1"/>
  <c r="T379" i="1"/>
  <c r="T371" i="1"/>
  <c r="T363" i="1"/>
  <c r="T355" i="1"/>
  <c r="T347" i="1"/>
  <c r="T339" i="1"/>
  <c r="T331" i="1"/>
  <c r="T323" i="1"/>
  <c r="T315" i="1"/>
  <c r="T307" i="1"/>
  <c r="T299" i="1"/>
  <c r="T291" i="1"/>
  <c r="T283" i="1"/>
  <c r="T275" i="1"/>
  <c r="T267" i="1"/>
  <c r="T259" i="1"/>
  <c r="T251" i="1"/>
  <c r="T243" i="1"/>
  <c r="T235" i="1"/>
  <c r="T227" i="1"/>
  <c r="T219" i="1"/>
  <c r="T211" i="1"/>
  <c r="T203" i="1"/>
  <c r="T195" i="1"/>
  <c r="T187" i="1"/>
  <c r="T179" i="1"/>
  <c r="T171" i="1"/>
  <c r="T163" i="1"/>
  <c r="T155" i="1"/>
  <c r="T147" i="1"/>
  <c r="T139" i="1"/>
  <c r="T131" i="1"/>
  <c r="T123" i="1"/>
  <c r="T115" i="1"/>
  <c r="T107" i="1"/>
  <c r="T99" i="1"/>
  <c r="T91" i="1"/>
  <c r="T83" i="1"/>
  <c r="T75" i="1"/>
  <c r="T67" i="1"/>
  <c r="T59" i="1"/>
  <c r="T51" i="1"/>
  <c r="T43" i="1"/>
  <c r="T35" i="1"/>
  <c r="T27" i="1"/>
  <c r="T19" i="1"/>
  <c r="T11" i="1"/>
  <c r="T3" i="1"/>
  <c r="T498" i="1"/>
  <c r="T490" i="1"/>
  <c r="T482" i="1"/>
  <c r="T474" i="1"/>
  <c r="T466" i="1"/>
  <c r="T458" i="1"/>
  <c r="T450" i="1"/>
  <c r="T442" i="1"/>
  <c r="T434" i="1"/>
  <c r="T426" i="1"/>
  <c r="T418" i="1"/>
  <c r="T410" i="1"/>
  <c r="T402" i="1"/>
  <c r="T394" i="1"/>
  <c r="T386" i="1"/>
  <c r="T378" i="1"/>
  <c r="T370" i="1"/>
  <c r="T362" i="1"/>
  <c r="T354" i="1"/>
  <c r="T346" i="1"/>
  <c r="T338" i="1"/>
  <c r="T330" i="1"/>
  <c r="T322" i="1"/>
  <c r="T314" i="1"/>
  <c r="T306" i="1"/>
  <c r="T298" i="1"/>
  <c r="T290" i="1"/>
  <c r="T282" i="1"/>
  <c r="T274" i="1"/>
  <c r="T266" i="1"/>
  <c r="T258" i="1"/>
  <c r="T250" i="1"/>
  <c r="T242" i="1"/>
  <c r="T234" i="1"/>
  <c r="T226" i="1"/>
  <c r="T218" i="1"/>
  <c r="T210" i="1"/>
  <c r="T202" i="1"/>
  <c r="T194" i="1"/>
  <c r="T186" i="1"/>
  <c r="T178" i="1"/>
  <c r="T170" i="1"/>
  <c r="T162" i="1"/>
  <c r="T154" i="1"/>
  <c r="T146" i="1"/>
  <c r="T138" i="1"/>
  <c r="T130" i="1"/>
  <c r="T122" i="1"/>
  <c r="T114" i="1"/>
  <c r="T106" i="1"/>
  <c r="T98" i="1"/>
  <c r="T90" i="1"/>
  <c r="T82" i="1"/>
  <c r="T74" i="1"/>
  <c r="T66" i="1"/>
  <c r="T58" i="1"/>
  <c r="T50" i="1"/>
  <c r="T42" i="1"/>
  <c r="T34" i="1"/>
  <c r="T26" i="1"/>
  <c r="T18" i="1"/>
  <c r="T10" i="1"/>
  <c r="T2" i="1"/>
</calcChain>
</file>

<file path=xl/sharedStrings.xml><?xml version="1.0" encoding="utf-8"?>
<sst xmlns="http://schemas.openxmlformats.org/spreadsheetml/2006/main" count="21326" uniqueCount="2451">
  <si>
    <t>Ticket_ID</t>
  </si>
  <si>
    <t>Account</t>
  </si>
  <si>
    <t>Created_Date</t>
  </si>
  <si>
    <t>Closed_Date</t>
  </si>
  <si>
    <t>Category</t>
  </si>
  <si>
    <t>Sub_Category</t>
  </si>
  <si>
    <t>Priority</t>
  </si>
  <si>
    <t>Agent</t>
  </si>
  <si>
    <t>Department</t>
  </si>
  <si>
    <t>Resolution_Time_Hrs</t>
  </si>
  <si>
    <t>SLA_Target_Hrs</t>
  </si>
  <si>
    <t>SLA_Met</t>
  </si>
  <si>
    <t>Customer_Rating</t>
  </si>
  <si>
    <t>Reopened</t>
  </si>
  <si>
    <t>Ticket_Status</t>
  </si>
  <si>
    <t>Resolution_Type</t>
  </si>
  <si>
    <t>Region</t>
  </si>
  <si>
    <t>TKT000001</t>
  </si>
  <si>
    <t>United Overseas Bank</t>
  </si>
  <si>
    <t>03/17/2026 16:23</t>
  </si>
  <si>
    <t>03/18/2026 07:35</t>
  </si>
  <si>
    <t>Connectivity &amp; Software</t>
  </si>
  <si>
    <t>Network Dropouts</t>
  </si>
  <si>
    <t>Low</t>
  </si>
  <si>
    <t>Michael</t>
  </si>
  <si>
    <t>Network Team</t>
  </si>
  <si>
    <t>Yes</t>
  </si>
  <si>
    <t>No</t>
  </si>
  <si>
    <t>Closed</t>
  </si>
  <si>
    <t>Fixed</t>
  </si>
  <si>
    <t>South</t>
  </si>
  <si>
    <t>TKT000002</t>
  </si>
  <si>
    <t>Amazon Ltd</t>
  </si>
  <si>
    <t>03/21/2026 13:21</t>
  </si>
  <si>
    <t>03/21/2026 18:21</t>
  </si>
  <si>
    <t>Print Quality</t>
  </si>
  <si>
    <t>Finishing Errors</t>
  </si>
  <si>
    <t>Tina</t>
  </si>
  <si>
    <t>Field Support</t>
  </si>
  <si>
    <t>West</t>
  </si>
  <si>
    <t>TKT000003</t>
  </si>
  <si>
    <t>Tata Consultancy Services Ltd</t>
  </si>
  <si>
    <t>03/25/2026 14:44</t>
  </si>
  <si>
    <t>03/25/2026 18:02</t>
  </si>
  <si>
    <t>Contract &amp; Billing</t>
  </si>
  <si>
    <t>Relocation Requests</t>
  </si>
  <si>
    <t>Medium</t>
  </si>
  <si>
    <t>Emma</t>
  </si>
  <si>
    <t>Billing Team</t>
  </si>
  <si>
    <t>TKT000004</t>
  </si>
  <si>
    <t>HDFC Bank Ltd</t>
  </si>
  <si>
    <t>03/22/2026 08:20</t>
  </si>
  <si>
    <t>03/22/2026 15:14</t>
  </si>
  <si>
    <t>Color Calibration</t>
  </si>
  <si>
    <t>High</t>
  </si>
  <si>
    <t>James</t>
  </si>
  <si>
    <t>Remote Support</t>
  </si>
  <si>
    <t>Escalated</t>
  </si>
  <si>
    <t>North</t>
  </si>
  <si>
    <t>TKT000005</t>
  </si>
  <si>
    <t>ICICI Bank Ltd</t>
  </si>
  <si>
    <t>01/27/2026 12:34</t>
  </si>
  <si>
    <t>01/27/2026 22:40</t>
  </si>
  <si>
    <t>Driver &amp; Setup</t>
  </si>
  <si>
    <t>Sarah</t>
  </si>
  <si>
    <t>TKT000006</t>
  </si>
  <si>
    <t>LIC Corp Ltd</t>
  </si>
  <si>
    <t>01/17/2026 11:58</t>
  </si>
  <si>
    <t>01/17/2026 23:58</t>
  </si>
  <si>
    <t>Scan-to-Email</t>
  </si>
  <si>
    <t>Judy</t>
  </si>
  <si>
    <t>TKT000007</t>
  </si>
  <si>
    <t>03/17/2026 13:05</t>
  </si>
  <si>
    <t>03/17/2026 17:59</t>
  </si>
  <si>
    <t>TKT000008</t>
  </si>
  <si>
    <t>Reliance Ltd</t>
  </si>
  <si>
    <t>03/20/2026 14:09</t>
  </si>
  <si>
    <t>03/21/2026 03:39</t>
  </si>
  <si>
    <t>Hardware &amp; Mechanical</t>
  </si>
  <si>
    <t>Device Errors</t>
  </si>
  <si>
    <t>Hardware Team</t>
  </si>
  <si>
    <t>TKT000009</t>
  </si>
  <si>
    <t>03/17/2026 13:30</t>
  </si>
  <si>
    <t>03/17/2026 23:00</t>
  </si>
  <si>
    <t>Supplies &amp; Logistics</t>
  </si>
  <si>
    <t>Paper Supply</t>
  </si>
  <si>
    <t>Mary</t>
  </si>
  <si>
    <t>Logistics Team</t>
  </si>
  <si>
    <t>TKT000010</t>
  </si>
  <si>
    <t>02/09/2026 13:38</t>
  </si>
  <si>
    <t>02/10/2026 04:26</t>
  </si>
  <si>
    <t>Tony</t>
  </si>
  <si>
    <t>TKT000011</t>
  </si>
  <si>
    <t>03/09/2026 13:05</t>
  </si>
  <si>
    <t>03/10/2026 03:35</t>
  </si>
  <si>
    <t>TKT000012</t>
  </si>
  <si>
    <t>03/05/2026 16:21</t>
  </si>
  <si>
    <t>03/06/2026 05:09</t>
  </si>
  <si>
    <t>TKT000013</t>
  </si>
  <si>
    <t>02/11/2026 09:31</t>
  </si>
  <si>
    <t>02/11/2026 22:19</t>
  </si>
  <si>
    <t>East</t>
  </si>
  <si>
    <t>TKT000014</t>
  </si>
  <si>
    <t>01/31/2026 17:59</t>
  </si>
  <si>
    <t>02/01/2026 02:59</t>
  </si>
  <si>
    <t>TKT000015</t>
  </si>
  <si>
    <t>Hindustan Unilever Ltd</t>
  </si>
  <si>
    <t>01/22/2026 13:13</t>
  </si>
  <si>
    <t>01/22/2026 17:37</t>
  </si>
  <si>
    <t>Lease Terms</t>
  </si>
  <si>
    <t>TKT000016</t>
  </si>
  <si>
    <t>03/25/2026 15:44</t>
  </si>
  <si>
    <t>03/26/2026 00:50</t>
  </si>
  <si>
    <t>TKT000017</t>
  </si>
  <si>
    <t>02/15/2026 15:34</t>
  </si>
  <si>
    <t>02/15/2026 20:46</t>
  </si>
  <si>
    <t>Toner Replenishment</t>
  </si>
  <si>
    <t>TKT000018</t>
  </si>
  <si>
    <t>01/06/2026 12:05</t>
  </si>
  <si>
    <t>01/06/2026 21:17</t>
  </si>
  <si>
    <t>TKT000019</t>
  </si>
  <si>
    <t>Bajaj Finance Ltd</t>
  </si>
  <si>
    <t>03/13/2026 08:19</t>
  </si>
  <si>
    <t>03/13/2026 14:55</t>
  </si>
  <si>
    <t>TKT000020</t>
  </si>
  <si>
    <t>01/07/2026 12:12</t>
  </si>
  <si>
    <t>01/07/2026 17:18</t>
  </si>
  <si>
    <t>Defective Prints</t>
  </si>
  <si>
    <t>TKT000021</t>
  </si>
  <si>
    <t>01/17/2026 13:16</t>
  </si>
  <si>
    <t>01/17/2026 22:52</t>
  </si>
  <si>
    <t>TKT000022</t>
  </si>
  <si>
    <t>02/21/2026 11:24</t>
  </si>
  <si>
    <t>02/21/2026 18:48</t>
  </si>
  <si>
    <t>TKT000023</t>
  </si>
  <si>
    <t>Bharti Airtel Ltd</t>
  </si>
  <si>
    <t>02/12/2026 11:08</t>
  </si>
  <si>
    <t>02/12/2026 20:14</t>
  </si>
  <si>
    <t>Jack</t>
  </si>
  <si>
    <t>TKT000024</t>
  </si>
  <si>
    <t>02/21/2026 17:41</t>
  </si>
  <si>
    <t>02/22/2026 01:41</t>
  </si>
  <si>
    <t>TKT000025</t>
  </si>
  <si>
    <t>02/16/2026 13:05</t>
  </si>
  <si>
    <t>02/17/2026 03:47</t>
  </si>
  <si>
    <t>TKT000026</t>
  </si>
  <si>
    <t>03/25/2026 17:10</t>
  </si>
  <si>
    <t>03/26/2026 02:22</t>
  </si>
  <si>
    <t>TKT000027</t>
  </si>
  <si>
    <t>03/18/2026 14:55</t>
  </si>
  <si>
    <t>03/18/2026 21:13</t>
  </si>
  <si>
    <t>TKT000028</t>
  </si>
  <si>
    <t>01/14/2026 16:06</t>
  </si>
  <si>
    <t>01/15/2026 01:36</t>
  </si>
  <si>
    <t>TKT000029</t>
  </si>
  <si>
    <t>03/03/2026 13:49</t>
  </si>
  <si>
    <t>03/04/2026 02:13</t>
  </si>
  <si>
    <t>TKT000030</t>
  </si>
  <si>
    <t>01/20/2026 13:57</t>
  </si>
  <si>
    <t>01/21/2026 05:27</t>
  </si>
  <si>
    <t>TKT000031</t>
  </si>
  <si>
    <t>03/11/2026 09:08</t>
  </si>
  <si>
    <t>03/11/2026 14:56</t>
  </si>
  <si>
    <t>TKT000032</t>
  </si>
  <si>
    <t>03/13/2026 15:33</t>
  </si>
  <si>
    <t>03/14/2026 09:39</t>
  </si>
  <si>
    <t>Paper Jam</t>
  </si>
  <si>
    <t>TKT000033</t>
  </si>
  <si>
    <t>01/11/2026 15:33</t>
  </si>
  <si>
    <t>01/12/2026 02:39</t>
  </si>
  <si>
    <t>TKT000034</t>
  </si>
  <si>
    <t>03/26/2026 14:31</t>
  </si>
  <si>
    <t>03/26/2026 20:55</t>
  </si>
  <si>
    <t>TKT000035</t>
  </si>
  <si>
    <t>02/12/2026 08:13</t>
  </si>
  <si>
    <t>02/12/2026 17:49</t>
  </si>
  <si>
    <t>TKT000036</t>
  </si>
  <si>
    <t>02/06/2026 16:54</t>
  </si>
  <si>
    <t>02/07/2026 01:30</t>
  </si>
  <si>
    <t>TKT000037</t>
  </si>
  <si>
    <t>03/15/2026 08:38</t>
  </si>
  <si>
    <t>03/15/2026 17:14</t>
  </si>
  <si>
    <t>TKT000038</t>
  </si>
  <si>
    <t>03/04/2026 13:04</t>
  </si>
  <si>
    <t>03/04/2026 17:10</t>
  </si>
  <si>
    <t>TKT000039</t>
  </si>
  <si>
    <t>02/27/2026 08:34</t>
  </si>
  <si>
    <t>02/27/2026 17:22</t>
  </si>
  <si>
    <t>TKT000040</t>
  </si>
  <si>
    <t>01/27/2026 14:30</t>
  </si>
  <si>
    <t>01/27/2026 23:06</t>
  </si>
  <si>
    <t>Parts Wear</t>
  </si>
  <si>
    <t>TKT000041</t>
  </si>
  <si>
    <t>02/27/2026 09:00</t>
  </si>
  <si>
    <t>02/27/2026 18:48</t>
  </si>
  <si>
    <t>TKT000042</t>
  </si>
  <si>
    <t>03/21/2026 08:14</t>
  </si>
  <si>
    <t>03/21/2026 20:32</t>
  </si>
  <si>
    <t>TKT000043</t>
  </si>
  <si>
    <t>01/17/2026 09:06</t>
  </si>
  <si>
    <t>01/17/2026 19:48</t>
  </si>
  <si>
    <t>TKT000044</t>
  </si>
  <si>
    <t>01/12/2026 11:43</t>
  </si>
  <si>
    <t>01/12/2026 16:37</t>
  </si>
  <si>
    <t>TKT000045</t>
  </si>
  <si>
    <t>03/05/2026 17:26</t>
  </si>
  <si>
    <t>03/06/2026 14:32</t>
  </si>
  <si>
    <t>TKT000046</t>
  </si>
  <si>
    <t>03/30/2026 13:22</t>
  </si>
  <si>
    <t>03/31/2026 11:16</t>
  </si>
  <si>
    <t>TKT000047</t>
  </si>
  <si>
    <t>02/20/2026 14:06</t>
  </si>
  <si>
    <t>02/20/2026 20:00</t>
  </si>
  <si>
    <t>TKT000048</t>
  </si>
  <si>
    <t>03/02/2026 10:15</t>
  </si>
  <si>
    <t>03/02/2026 20:39</t>
  </si>
  <si>
    <t>TKT000049</t>
  </si>
  <si>
    <t>03/27/2026 11:41</t>
  </si>
  <si>
    <t>03/27/2026 20:35</t>
  </si>
  <si>
    <t>TKT000050</t>
  </si>
  <si>
    <t>01/19/2026 16:38</t>
  </si>
  <si>
    <t>01/20/2026 05:14</t>
  </si>
  <si>
    <t>TKT000051</t>
  </si>
  <si>
    <t>02/27/2026 09:05</t>
  </si>
  <si>
    <t>02/27/2026 16:41</t>
  </si>
  <si>
    <t>TKT000052</t>
  </si>
  <si>
    <t>03/04/2026 13:33</t>
  </si>
  <si>
    <t>03/04/2026 20:57</t>
  </si>
  <si>
    <t>TKT000053</t>
  </si>
  <si>
    <t>03/26/2026 10:40</t>
  </si>
  <si>
    <t>03/26/2026 22:22</t>
  </si>
  <si>
    <t>TKT000054</t>
  </si>
  <si>
    <t>03/05/2026 08:37</t>
  </si>
  <si>
    <t>03/05/2026 15:55</t>
  </si>
  <si>
    <t>Era</t>
  </si>
  <si>
    <t>TKT000055</t>
  </si>
  <si>
    <t>02/10/2026 14:04</t>
  </si>
  <si>
    <t>02/11/2026 12:28</t>
  </si>
  <si>
    <t>TKT000056</t>
  </si>
  <si>
    <t>01/09/2026 14:11</t>
  </si>
  <si>
    <t>01/09/2026 23:17</t>
  </si>
  <si>
    <t>TKT000057</t>
  </si>
  <si>
    <t>02/17/2026 11:59</t>
  </si>
  <si>
    <t>02/17/2026 19:29</t>
  </si>
  <si>
    <t>TKT000058</t>
  </si>
  <si>
    <t>03/17/2026 16:33</t>
  </si>
  <si>
    <t>03/17/2026 23:57</t>
  </si>
  <si>
    <t>TKT000059</t>
  </si>
  <si>
    <t>01/16/2026 15:09</t>
  </si>
  <si>
    <t>01/17/2026 01:15</t>
  </si>
  <si>
    <t>TKT000060</t>
  </si>
  <si>
    <t>03/24/2026 10:15</t>
  </si>
  <si>
    <t>03/25/2026 01:09</t>
  </si>
  <si>
    <t>TKT000061</t>
  </si>
  <si>
    <t>03/06/2026 12:03</t>
  </si>
  <si>
    <t>03/07/2026 06:15</t>
  </si>
  <si>
    <t>TKT000062</t>
  </si>
  <si>
    <t>03/18/2026 09:45</t>
  </si>
  <si>
    <t>03/18/2026 12:03</t>
  </si>
  <si>
    <t>TKT000063</t>
  </si>
  <si>
    <t>01/20/2026 08:13</t>
  </si>
  <si>
    <t>01/20/2026 20:31</t>
  </si>
  <si>
    <t>TKT000064</t>
  </si>
  <si>
    <t>01/19/2026 09:07</t>
  </si>
  <si>
    <t>01/19/2026 21:37</t>
  </si>
  <si>
    <t>TKT000065</t>
  </si>
  <si>
    <t>02/01/2026 08:31</t>
  </si>
  <si>
    <t>02/01/2026 12:49</t>
  </si>
  <si>
    <t>TKT000066</t>
  </si>
  <si>
    <t>02/27/2026 14:08</t>
  </si>
  <si>
    <t>02/28/2026 09:38</t>
  </si>
  <si>
    <t>TKT000067</t>
  </si>
  <si>
    <t>02/28/2026 08:03</t>
  </si>
  <si>
    <t>02/28/2026 23:33</t>
  </si>
  <si>
    <t>TKT000068</t>
  </si>
  <si>
    <t>03/08/2026 10:00</t>
  </si>
  <si>
    <t>03/08/2026 18:06</t>
  </si>
  <si>
    <t>TKT000069</t>
  </si>
  <si>
    <t>03/09/2026 15:37</t>
  </si>
  <si>
    <t>03/10/2026 00:43</t>
  </si>
  <si>
    <t>TKT000070</t>
  </si>
  <si>
    <t>03/12/2026 17:39</t>
  </si>
  <si>
    <t>03/13/2026 05:33</t>
  </si>
  <si>
    <t>TKT000071</t>
  </si>
  <si>
    <t>03/24/2026 10:17</t>
  </si>
  <si>
    <t>03/24/2026 15:17</t>
  </si>
  <si>
    <t>TKT000072</t>
  </si>
  <si>
    <t>03/27/2026 14:44</t>
  </si>
  <si>
    <t>03/27/2026 19:32</t>
  </si>
  <si>
    <t>TKT000073</t>
  </si>
  <si>
    <t>03/08/2026 15:09</t>
  </si>
  <si>
    <t>03/08/2026 21:03</t>
  </si>
  <si>
    <t>TKT000074</t>
  </si>
  <si>
    <t>02/08/2026 16:28</t>
  </si>
  <si>
    <t>02/09/2026 04:52</t>
  </si>
  <si>
    <t>TKT000075</t>
  </si>
  <si>
    <t>03/21/2026 13:22</t>
  </si>
  <si>
    <t>03/21/2026 22:04</t>
  </si>
  <si>
    <t>TKT000076</t>
  </si>
  <si>
    <t>01/18/2026 14:40</t>
  </si>
  <si>
    <t>01/18/2026 21:46</t>
  </si>
  <si>
    <t>TKT000077</t>
  </si>
  <si>
    <t>02/22/2026 15:36</t>
  </si>
  <si>
    <t>02/23/2026 00:06</t>
  </si>
  <si>
    <t>TKT000078</t>
  </si>
  <si>
    <t>01/23/2026 08:54</t>
  </si>
  <si>
    <t>01/23/2026 21:18</t>
  </si>
  <si>
    <t>TKT000079</t>
  </si>
  <si>
    <t>03/18/2026 17:53</t>
  </si>
  <si>
    <t>03/19/2026 09:11</t>
  </si>
  <si>
    <t>TKT000080</t>
  </si>
  <si>
    <t>01/03/2026 17:00</t>
  </si>
  <si>
    <t>01/03/2026 23:30</t>
  </si>
  <si>
    <t>TKT000081</t>
  </si>
  <si>
    <t>02/11/2026 08:34</t>
  </si>
  <si>
    <t>02/11/2026 13:46</t>
  </si>
  <si>
    <t>TKT000082</t>
  </si>
  <si>
    <t>03/25/2026 09:23</t>
  </si>
  <si>
    <t>03/25/2026 17:41</t>
  </si>
  <si>
    <t>TKT000083</t>
  </si>
  <si>
    <t>03/24/2026 12:40</t>
  </si>
  <si>
    <t>03/24/2026 17:58</t>
  </si>
  <si>
    <t>TKT000084</t>
  </si>
  <si>
    <t>03/03/2026 11:14</t>
  </si>
  <si>
    <t>03/03/2026 23:20</t>
  </si>
  <si>
    <t>TKT000085</t>
  </si>
  <si>
    <t>03/21/2026 17:33</t>
  </si>
  <si>
    <t>03/22/2026 01:09</t>
  </si>
  <si>
    <t>TKT000086</t>
  </si>
  <si>
    <t>03/01/2026 08:47</t>
  </si>
  <si>
    <t>03/01/2026 20:23</t>
  </si>
  <si>
    <t>TKT000087</t>
  </si>
  <si>
    <t>03/17/2026 08:46</t>
  </si>
  <si>
    <t>03/17/2026 18:28</t>
  </si>
  <si>
    <t>TKT000088</t>
  </si>
  <si>
    <t>02/28/2026 11:42</t>
  </si>
  <si>
    <t>03/01/2026 00:06</t>
  </si>
  <si>
    <t>TKT000089</t>
  </si>
  <si>
    <t>02/22/2026 09:17</t>
  </si>
  <si>
    <t>02/22/2026 17:41</t>
  </si>
  <si>
    <t>TKT000090</t>
  </si>
  <si>
    <t>03/20/2026 14:58</t>
  </si>
  <si>
    <t>03/20/2026 20:04</t>
  </si>
  <si>
    <t>TKT000091</t>
  </si>
  <si>
    <t>03/31/2026 10:37</t>
  </si>
  <si>
    <t>03/31/2026 23:19</t>
  </si>
  <si>
    <t>TKT000092</t>
  </si>
  <si>
    <t>01/13/2026 16:24</t>
  </si>
  <si>
    <t>01/14/2026 05:30</t>
  </si>
  <si>
    <t>TKT000093</t>
  </si>
  <si>
    <t>01/18/2026 15:48</t>
  </si>
  <si>
    <t>01/19/2026 01:24</t>
  </si>
  <si>
    <t>TKT000094</t>
  </si>
  <si>
    <t>01/11/2026 09:34</t>
  </si>
  <si>
    <t>01/12/2026 00:28</t>
  </si>
  <si>
    <t>TKT000095</t>
  </si>
  <si>
    <t>01/10/2026 09:09</t>
  </si>
  <si>
    <t>01/11/2026 02:27</t>
  </si>
  <si>
    <t>TKT000096</t>
  </si>
  <si>
    <t>01/14/2026 13:58</t>
  </si>
  <si>
    <t>01/14/2026 21:04</t>
  </si>
  <si>
    <t>TKT000097</t>
  </si>
  <si>
    <t>03/01/2026 13:43</t>
  </si>
  <si>
    <t>03/01/2026 22:13</t>
  </si>
  <si>
    <t>TKT000098</t>
  </si>
  <si>
    <t>02/13/2026 15:51</t>
  </si>
  <si>
    <t>02/13/2026 23:27</t>
  </si>
  <si>
    <t>TKT000099</t>
  </si>
  <si>
    <t>01/21/2026 12:33</t>
  </si>
  <si>
    <t>01/21/2026 17:39</t>
  </si>
  <si>
    <t>TKT000100</t>
  </si>
  <si>
    <t>02/26/2026 13:34</t>
  </si>
  <si>
    <t>02/26/2026 22:46</t>
  </si>
  <si>
    <t>TKT000101</t>
  </si>
  <si>
    <t>03/04/2026 13:38</t>
  </si>
  <si>
    <t>03/05/2026 01:20</t>
  </si>
  <si>
    <t>TKT000102</t>
  </si>
  <si>
    <t>01/19/2026 08:51</t>
  </si>
  <si>
    <t>01/19/2026 14:15</t>
  </si>
  <si>
    <t>TKT000103</t>
  </si>
  <si>
    <t>03/13/2026 10:53</t>
  </si>
  <si>
    <t>03/13/2026 15:59</t>
  </si>
  <si>
    <t>TKT000104</t>
  </si>
  <si>
    <t>03/25/2026 09:42</t>
  </si>
  <si>
    <t>03/26/2026 06:24</t>
  </si>
  <si>
    <t>TKT000105</t>
  </si>
  <si>
    <t>03/11/2026 15:24</t>
  </si>
  <si>
    <t>03/12/2026 01:42</t>
  </si>
  <si>
    <t>TKT000106</t>
  </si>
  <si>
    <t>01/17/2026 08:57</t>
  </si>
  <si>
    <t>01/17/2026 19:27</t>
  </si>
  <si>
    <t>TKT000107</t>
  </si>
  <si>
    <t>01/31/2026 08:57</t>
  </si>
  <si>
    <t>02/01/2026 01:27</t>
  </si>
  <si>
    <t>TKT000108</t>
  </si>
  <si>
    <t>02/17/2026 11:26</t>
  </si>
  <si>
    <t>02/17/2026 21:50</t>
  </si>
  <si>
    <t>TKT000109</t>
  </si>
  <si>
    <t>03/12/2026 14:30</t>
  </si>
  <si>
    <t>03/12/2026 23:24</t>
  </si>
  <si>
    <t>TKT000110</t>
  </si>
  <si>
    <t>03/13/2026 08:36</t>
  </si>
  <si>
    <t>03/13/2026 20:42</t>
  </si>
  <si>
    <t>TKT000111</t>
  </si>
  <si>
    <t>03/06/2026 17:56</t>
  </si>
  <si>
    <t>03/07/2026 02:44</t>
  </si>
  <si>
    <t>TKT000112</t>
  </si>
  <si>
    <t>03/30/2026 14:28</t>
  </si>
  <si>
    <t>03/30/2026 23:46</t>
  </si>
  <si>
    <t>TKT000113</t>
  </si>
  <si>
    <t>01/27/2026 09:13</t>
  </si>
  <si>
    <t>01/27/2026 12:07</t>
  </si>
  <si>
    <t>TKT000114</t>
  </si>
  <si>
    <t>03/10/2026 13:36</t>
  </si>
  <si>
    <t>03/10/2026 21:36</t>
  </si>
  <si>
    <t>TKT000115</t>
  </si>
  <si>
    <t>02/01/2026 13:52</t>
  </si>
  <si>
    <t>02/02/2026 00:10</t>
  </si>
  <si>
    <t>TKT000116</t>
  </si>
  <si>
    <t>02/13/2026 11:04</t>
  </si>
  <si>
    <t>02/14/2026 00:10</t>
  </si>
  <si>
    <t>TKT000117</t>
  </si>
  <si>
    <t>01/07/2026 11:28</t>
  </si>
  <si>
    <t>01/08/2026 02:34</t>
  </si>
  <si>
    <t>TKT000118</t>
  </si>
  <si>
    <t>01/04/2026 17:58</t>
  </si>
  <si>
    <t>01/05/2026 13:22</t>
  </si>
  <si>
    <t>TKT000119</t>
  </si>
  <si>
    <t>01/21/2026 14:37</t>
  </si>
  <si>
    <t>01/22/2026 03:25</t>
  </si>
  <si>
    <t>TKT000120</t>
  </si>
  <si>
    <t>01/22/2026 10:42</t>
  </si>
  <si>
    <t>01/23/2026 06:06</t>
  </si>
  <si>
    <t>TKT000121</t>
  </si>
  <si>
    <t>02/07/2026 17:22</t>
  </si>
  <si>
    <t>02/08/2026 10:52</t>
  </si>
  <si>
    <t>TKT000122</t>
  </si>
  <si>
    <t>01/11/2026 14:30</t>
  </si>
  <si>
    <t>01/11/2026 19:54</t>
  </si>
  <si>
    <t>TKT000123</t>
  </si>
  <si>
    <t>03/01/2026 09:56</t>
  </si>
  <si>
    <t>03/01/2026 21:32</t>
  </si>
  <si>
    <t>TKT000124</t>
  </si>
  <si>
    <t>02/03/2026 16:11</t>
  </si>
  <si>
    <t>02/04/2026 04:17</t>
  </si>
  <si>
    <t>TKT000125</t>
  </si>
  <si>
    <t>01/10/2026 11:05</t>
  </si>
  <si>
    <t>01/10/2026 20:23</t>
  </si>
  <si>
    <t>TKT000126</t>
  </si>
  <si>
    <t>02/03/2026 17:19</t>
  </si>
  <si>
    <t>02/03/2026 22:19</t>
  </si>
  <si>
    <t>TKT000127</t>
  </si>
  <si>
    <t>03/18/2026 14:16</t>
  </si>
  <si>
    <t>03/18/2026 19:10</t>
  </si>
  <si>
    <t>TKT000128</t>
  </si>
  <si>
    <t>02/04/2026 13:21</t>
  </si>
  <si>
    <t>02/04/2026 22:03</t>
  </si>
  <si>
    <t>TKT000129</t>
  </si>
  <si>
    <t>03/09/2026 09:55</t>
  </si>
  <si>
    <t>03/10/2026 01:01</t>
  </si>
  <si>
    <t>TKT000130</t>
  </si>
  <si>
    <t>03/04/2026 09:56</t>
  </si>
  <si>
    <t>03/04/2026 13:14</t>
  </si>
  <si>
    <t>TKT000131</t>
  </si>
  <si>
    <t>01/23/2026 14:18</t>
  </si>
  <si>
    <t>01/23/2026 20:54</t>
  </si>
  <si>
    <t>TKT000132</t>
  </si>
  <si>
    <t>03/17/2026 15:01</t>
  </si>
  <si>
    <t>03/18/2026 00:25</t>
  </si>
  <si>
    <t>TKT000133</t>
  </si>
  <si>
    <t>03/04/2026 13:09</t>
  </si>
  <si>
    <t>03/05/2026 03:51</t>
  </si>
  <si>
    <t>TKT000134</t>
  </si>
  <si>
    <t>02/28/2026 09:50</t>
  </si>
  <si>
    <t>02/28/2026 21:08</t>
  </si>
  <si>
    <t>TKT000135</t>
  </si>
  <si>
    <t>01/28/2026 13:53</t>
  </si>
  <si>
    <t>01/28/2026 23:47</t>
  </si>
  <si>
    <t>TKT000136</t>
  </si>
  <si>
    <t>02/25/2026 15:47</t>
  </si>
  <si>
    <t>02/26/2026 03:41</t>
  </si>
  <si>
    <t>TKT000137</t>
  </si>
  <si>
    <t>02/02/2026 14:00</t>
  </si>
  <si>
    <t>02/02/2026 22:30</t>
  </si>
  <si>
    <t>TKT000138</t>
  </si>
  <si>
    <t>01/21/2026 17:49</t>
  </si>
  <si>
    <t>01/22/2026 02:43</t>
  </si>
  <si>
    <t>TKT000139</t>
  </si>
  <si>
    <t>03/21/2026 10:12</t>
  </si>
  <si>
    <t>03/22/2026 11:18</t>
  </si>
  <si>
    <t>TKT000140</t>
  </si>
  <si>
    <t>01/29/2026 17:18</t>
  </si>
  <si>
    <t>01/30/2026 12:36</t>
  </si>
  <si>
    <t>TKT000141</t>
  </si>
  <si>
    <t>03/03/2026 09:06</t>
  </si>
  <si>
    <t>03/04/2026 00:24</t>
  </si>
  <si>
    <t>TKT000142</t>
  </si>
  <si>
    <t>03/21/2026 13:52</t>
  </si>
  <si>
    <t>03/21/2026 19:46</t>
  </si>
  <si>
    <t>TKT000143</t>
  </si>
  <si>
    <t>03/27/2026 11:50</t>
  </si>
  <si>
    <t>03/27/2026 17:44</t>
  </si>
  <si>
    <t>TKT000144</t>
  </si>
  <si>
    <t>01/24/2026 08:19</t>
  </si>
  <si>
    <t>01/25/2026 07:19</t>
  </si>
  <si>
    <t>TKT000145</t>
  </si>
  <si>
    <t>02/19/2026 08:26</t>
  </si>
  <si>
    <t>02/19/2026 13:14</t>
  </si>
  <si>
    <t>TKT000146</t>
  </si>
  <si>
    <t>02/12/2026 12:18</t>
  </si>
  <si>
    <t>02/13/2026 06:36</t>
  </si>
  <si>
    <t>TKT000147</t>
  </si>
  <si>
    <t>03/29/2026 13:52</t>
  </si>
  <si>
    <t>03/30/2026 03:52</t>
  </si>
  <si>
    <t>TKT000148</t>
  </si>
  <si>
    <t>03/10/2026 15:46</t>
  </si>
  <si>
    <t>03/10/2026 22:46</t>
  </si>
  <si>
    <t>TKT000149</t>
  </si>
  <si>
    <t>03/13/2026 13:59</t>
  </si>
  <si>
    <t>03/13/2026 22:53</t>
  </si>
  <si>
    <t>TKT000150</t>
  </si>
  <si>
    <t>03/25/2026 15:43</t>
  </si>
  <si>
    <t>03/26/2026 00:55</t>
  </si>
  <si>
    <t>TKT000151</t>
  </si>
  <si>
    <t>02/11/2026 09:49</t>
  </si>
  <si>
    <t>02/11/2026 15:01</t>
  </si>
  <si>
    <t>TKT000152</t>
  </si>
  <si>
    <t>02/26/2026 16:33</t>
  </si>
  <si>
    <t>02/27/2026 01:03</t>
  </si>
  <si>
    <t>TKT000153</t>
  </si>
  <si>
    <t>02/16/2026 11:02</t>
  </si>
  <si>
    <t>02/16/2026 21:26</t>
  </si>
  <si>
    <t>TKT000154</t>
  </si>
  <si>
    <t>03/24/2026 16:33</t>
  </si>
  <si>
    <t>03/25/2026 06:27</t>
  </si>
  <si>
    <t>TKT000155</t>
  </si>
  <si>
    <t>03/15/2026 13:24</t>
  </si>
  <si>
    <t>03/16/2026 01:42</t>
  </si>
  <si>
    <t>TKT000156</t>
  </si>
  <si>
    <t>03/08/2026 15:27</t>
  </si>
  <si>
    <t>03/09/2026 00:03</t>
  </si>
  <si>
    <t>TKT000157</t>
  </si>
  <si>
    <t>01/19/2026 13:00</t>
  </si>
  <si>
    <t>01/20/2026 03:18</t>
  </si>
  <si>
    <t>TKT000158</t>
  </si>
  <si>
    <t>02/10/2026 15:30</t>
  </si>
  <si>
    <t>02/10/2026 20:48</t>
  </si>
  <si>
    <t>TKT000159</t>
  </si>
  <si>
    <t>01/13/2026 08:20</t>
  </si>
  <si>
    <t>01/14/2026 01:20</t>
  </si>
  <si>
    <t>TKT000160</t>
  </si>
  <si>
    <t>03/09/2026 17:37</t>
  </si>
  <si>
    <t>03/10/2026 07:25</t>
  </si>
  <si>
    <t>TKT000161</t>
  </si>
  <si>
    <t>03/13/2026 15:50</t>
  </si>
  <si>
    <t>03/14/2026 07:14</t>
  </si>
  <si>
    <t>TKT000162</t>
  </si>
  <si>
    <t>01/14/2026 16:31</t>
  </si>
  <si>
    <t>01/14/2026 23:31</t>
  </si>
  <si>
    <t>TKT000163</t>
  </si>
  <si>
    <t>01/03/2026 13:46</t>
  </si>
  <si>
    <t>01/03/2026 18:58</t>
  </si>
  <si>
    <t>TKT000164</t>
  </si>
  <si>
    <t>03/09/2026 15:33</t>
  </si>
  <si>
    <t>03/10/2026 11:03</t>
  </si>
  <si>
    <t>TKT000165</t>
  </si>
  <si>
    <t>03/15/2026 15:42</t>
  </si>
  <si>
    <t>03/16/2026 08:42</t>
  </si>
  <si>
    <t>TKT000166</t>
  </si>
  <si>
    <t>02/25/2026 09:21</t>
  </si>
  <si>
    <t>02/25/2026 21:39</t>
  </si>
  <si>
    <t>TKT000167</t>
  </si>
  <si>
    <t>03/24/2026 08:41</t>
  </si>
  <si>
    <t>03/24/2026 18:05</t>
  </si>
  <si>
    <t>TKT000168</t>
  </si>
  <si>
    <t>02/16/2026 17:01</t>
  </si>
  <si>
    <t>02/17/2026 00:13</t>
  </si>
  <si>
    <t>TKT000169</t>
  </si>
  <si>
    <t>02/07/2026 12:48</t>
  </si>
  <si>
    <t>02/07/2026 18:30</t>
  </si>
  <si>
    <t>TKT000170</t>
  </si>
  <si>
    <t>03/23/2026 16:15</t>
  </si>
  <si>
    <t>03/24/2026 03:15</t>
  </si>
  <si>
    <t>TKT000171</t>
  </si>
  <si>
    <t>03/23/2026 16:34</t>
  </si>
  <si>
    <t>03/24/2026 02:10</t>
  </si>
  <si>
    <t>TKT000172</t>
  </si>
  <si>
    <t>03/21/2026 13:40</t>
  </si>
  <si>
    <t>03/21/2026 17:22</t>
  </si>
  <si>
    <t>TKT000173</t>
  </si>
  <si>
    <t>03/25/2026 17:28</t>
  </si>
  <si>
    <t>03/25/2026 19:58</t>
  </si>
  <si>
    <t>TKT000174</t>
  </si>
  <si>
    <t>01/08/2026 10:34</t>
  </si>
  <si>
    <t>01/08/2026 16:34</t>
  </si>
  <si>
    <t>TKT000175</t>
  </si>
  <si>
    <t>02/01/2026 15:46</t>
  </si>
  <si>
    <t>02/02/2026 00:34</t>
  </si>
  <si>
    <t>TKT000176</t>
  </si>
  <si>
    <t>01/25/2026 17:44</t>
  </si>
  <si>
    <t>01/26/2026 05:14</t>
  </si>
  <si>
    <t>TKT000177</t>
  </si>
  <si>
    <t>02/05/2026 09:51</t>
  </si>
  <si>
    <t>02/05/2026 15:21</t>
  </si>
  <si>
    <t>TKT000178</t>
  </si>
  <si>
    <t>02/02/2026 10:06</t>
  </si>
  <si>
    <t>02/02/2026 22:06</t>
  </si>
  <si>
    <t>TKT000179</t>
  </si>
  <si>
    <t>03/23/2026 16:39</t>
  </si>
  <si>
    <t>03/23/2026 19:57</t>
  </si>
  <si>
    <t>TKT000180</t>
  </si>
  <si>
    <t>02/23/2026 08:45</t>
  </si>
  <si>
    <t>02/23/2026 23:51</t>
  </si>
  <si>
    <t>TKT000181</t>
  </si>
  <si>
    <t>03/09/2026 12:05</t>
  </si>
  <si>
    <t>03/09/2026 19:59</t>
  </si>
  <si>
    <t>TKT000182</t>
  </si>
  <si>
    <t>01/14/2026 12:24</t>
  </si>
  <si>
    <t>01/14/2026 21:24</t>
  </si>
  <si>
    <t>TKT000183</t>
  </si>
  <si>
    <t>02/04/2026 17:11</t>
  </si>
  <si>
    <t>02/04/2026 23:53</t>
  </si>
  <si>
    <t>TKT000184</t>
  </si>
  <si>
    <t>02/07/2026 12:40</t>
  </si>
  <si>
    <t>TKT000185</t>
  </si>
  <si>
    <t>02/09/2026 13:39</t>
  </si>
  <si>
    <t>02/09/2026 16:27</t>
  </si>
  <si>
    <t>TKT000186</t>
  </si>
  <si>
    <t>02/11/2026 12:42</t>
  </si>
  <si>
    <t>02/11/2026 22:00</t>
  </si>
  <si>
    <t>TKT000187</t>
  </si>
  <si>
    <t>03/14/2026 12:40</t>
  </si>
  <si>
    <t>03/15/2026 00:22</t>
  </si>
  <si>
    <t>TKT000188</t>
  </si>
  <si>
    <t>03/21/2026 12:37</t>
  </si>
  <si>
    <t>03/22/2026 07:43</t>
  </si>
  <si>
    <t>TKT000189</t>
  </si>
  <si>
    <t>03/09/2026 13:14</t>
  </si>
  <si>
    <t>03/10/2026 04:44</t>
  </si>
  <si>
    <t>TKT000190</t>
  </si>
  <si>
    <t>03/03/2026 10:00</t>
  </si>
  <si>
    <t>03/03/2026 23:00</t>
  </si>
  <si>
    <t>TKT000191</t>
  </si>
  <si>
    <t>03/16/2026 09:33</t>
  </si>
  <si>
    <t>03/16/2026 20:51</t>
  </si>
  <si>
    <t>TKT000192</t>
  </si>
  <si>
    <t>01/06/2026 12:27</t>
  </si>
  <si>
    <t>01/06/2026 19:33</t>
  </si>
  <si>
    <t>TKT000193</t>
  </si>
  <si>
    <t>02/12/2026 17:10</t>
  </si>
  <si>
    <t>02/13/2026 01:34</t>
  </si>
  <si>
    <t>TKT000194</t>
  </si>
  <si>
    <t>01/26/2026 11:01</t>
  </si>
  <si>
    <t>01/26/2026 14:55</t>
  </si>
  <si>
    <t>TKT000195</t>
  </si>
  <si>
    <t>02/24/2026 15:28</t>
  </si>
  <si>
    <t>02/25/2026 01:10</t>
  </si>
  <si>
    <t>TKT000196</t>
  </si>
  <si>
    <t>01/07/2026 09:41</t>
  </si>
  <si>
    <t>01/07/2026 13:35</t>
  </si>
  <si>
    <t>TKT000197</t>
  </si>
  <si>
    <t>02/19/2026 09:28</t>
  </si>
  <si>
    <t>02/19/2026 18:28</t>
  </si>
  <si>
    <t>TKT000198</t>
  </si>
  <si>
    <t>02/15/2026 08:19</t>
  </si>
  <si>
    <t>02/15/2026 20:37</t>
  </si>
  <si>
    <t>TKT000199</t>
  </si>
  <si>
    <t>03/25/2026 13:38</t>
  </si>
  <si>
    <t>03/25/2026 16:50</t>
  </si>
  <si>
    <t>TKT000200</t>
  </si>
  <si>
    <t>02/23/2026 17:40</t>
  </si>
  <si>
    <t>02/24/2026 05:58</t>
  </si>
  <si>
    <t>TKT000201</t>
  </si>
  <si>
    <t>02/21/2026 08:36</t>
  </si>
  <si>
    <t>02/21/2026 12:54</t>
  </si>
  <si>
    <t>TKT000202</t>
  </si>
  <si>
    <t>03/15/2026 08:00</t>
  </si>
  <si>
    <t>03/15/2026 14:06</t>
  </si>
  <si>
    <t>TKT000203</t>
  </si>
  <si>
    <t>03/20/2026 15:35</t>
  </si>
  <si>
    <t>03/21/2026 02:59</t>
  </si>
  <si>
    <t>TKT000204</t>
  </si>
  <si>
    <t>03/16/2026 16:19</t>
  </si>
  <si>
    <t>03/16/2026 23:49</t>
  </si>
  <si>
    <t>TKT000205</t>
  </si>
  <si>
    <t>03/29/2026 10:44</t>
  </si>
  <si>
    <t>03/29/2026 15:56</t>
  </si>
  <si>
    <t>TKT000206</t>
  </si>
  <si>
    <t>03/07/2026 13:12</t>
  </si>
  <si>
    <t>03/08/2026 02:30</t>
  </si>
  <si>
    <t>TKT000207</t>
  </si>
  <si>
    <t>01/27/2026 12:31</t>
  </si>
  <si>
    <t>TKT000208</t>
  </si>
  <si>
    <t>01/29/2026 12:28</t>
  </si>
  <si>
    <t>01/30/2026 00:52</t>
  </si>
  <si>
    <t>TKT000209</t>
  </si>
  <si>
    <t>03/26/2026 03:31</t>
  </si>
  <si>
    <t>TKT000210</t>
  </si>
  <si>
    <t>02/08/2026 08:56</t>
  </si>
  <si>
    <t>02/08/2026 23:20</t>
  </si>
  <si>
    <t>TKT000211</t>
  </si>
  <si>
    <t>02/27/2026 11:00</t>
  </si>
  <si>
    <t>02/27/2026 16:12</t>
  </si>
  <si>
    <t>TKT000212</t>
  </si>
  <si>
    <t>02/12/2026 15:33</t>
  </si>
  <si>
    <t>02/12/2026 23:27</t>
  </si>
  <si>
    <t>TKT000213</t>
  </si>
  <si>
    <t>03/30/2026 15:15</t>
  </si>
  <si>
    <t>03/31/2026 00:45</t>
  </si>
  <si>
    <t>TKT000214</t>
  </si>
  <si>
    <t>01/29/2026 15:56</t>
  </si>
  <si>
    <t>01/30/2026 02:50</t>
  </si>
  <si>
    <t>TKT000215</t>
  </si>
  <si>
    <t>03/27/2026 14:15</t>
  </si>
  <si>
    <t>03/28/2026 01:57</t>
  </si>
  <si>
    <t>TKT000216</t>
  </si>
  <si>
    <t>02/20/2026 17:33</t>
  </si>
  <si>
    <t>02/20/2026 23:21</t>
  </si>
  <si>
    <t>TKT000217</t>
  </si>
  <si>
    <t>02/16/2026 12:17</t>
  </si>
  <si>
    <t>02/17/2026 01:05</t>
  </si>
  <si>
    <t>TKT000218</t>
  </si>
  <si>
    <t>02/15/2026 09:04</t>
  </si>
  <si>
    <t>02/15/2026 22:28</t>
  </si>
  <si>
    <t>TKT000219</t>
  </si>
  <si>
    <t>03/17/2026 17:06</t>
  </si>
  <si>
    <t>03/18/2026 06:36</t>
  </si>
  <si>
    <t>TKT000220</t>
  </si>
  <si>
    <t>02/04/2026 13:32</t>
  </si>
  <si>
    <t>02/05/2026 04:56</t>
  </si>
  <si>
    <t>TKT000221</t>
  </si>
  <si>
    <t>02/14/2026 14:55</t>
  </si>
  <si>
    <t>02/14/2026 17:25</t>
  </si>
  <si>
    <t>TKT000222</t>
  </si>
  <si>
    <t>03/16/2026 14:49</t>
  </si>
  <si>
    <t>03/17/2026 02:01</t>
  </si>
  <si>
    <t>TKT000223</t>
  </si>
  <si>
    <t>02/05/2026 10:27</t>
  </si>
  <si>
    <t>02/05/2026 15:15</t>
  </si>
  <si>
    <t>TKT000224</t>
  </si>
  <si>
    <t>01/24/2026 08:28</t>
  </si>
  <si>
    <t>01/24/2026 16:22</t>
  </si>
  <si>
    <t>TKT000225</t>
  </si>
  <si>
    <t>03/12/2026 15:22</t>
  </si>
  <si>
    <t>03/13/2026 00:34</t>
  </si>
  <si>
    <t>TKT000226</t>
  </si>
  <si>
    <t>03/05/2026 13:21</t>
  </si>
  <si>
    <t>03/05/2026 18:33</t>
  </si>
  <si>
    <t>TKT000227</t>
  </si>
  <si>
    <t>03/22/2026 14:46</t>
  </si>
  <si>
    <t>03/22/2026 16:40</t>
  </si>
  <si>
    <t>TKT000228</t>
  </si>
  <si>
    <t>03/17/2026 13:38</t>
  </si>
  <si>
    <t>03/18/2026 04:08</t>
  </si>
  <si>
    <t>TKT000229</t>
  </si>
  <si>
    <t>01/25/2026 11:10</t>
  </si>
  <si>
    <t>01/25/2026 18:34</t>
  </si>
  <si>
    <t>TKT000230</t>
  </si>
  <si>
    <t>03/20/2026 10:56</t>
  </si>
  <si>
    <t>03/20/2026 23:56</t>
  </si>
  <si>
    <t>TKT000231</t>
  </si>
  <si>
    <t>03/08/2026 15:43</t>
  </si>
  <si>
    <t>03/09/2026 06:07</t>
  </si>
  <si>
    <t>TKT000232</t>
  </si>
  <si>
    <t>01/29/2026 15:28</t>
  </si>
  <si>
    <t>01/30/2026 01:40</t>
  </si>
  <si>
    <t>TKT000233</t>
  </si>
  <si>
    <t>03/29/2026 12:21</t>
  </si>
  <si>
    <t>03/30/2026 02:03</t>
  </si>
  <si>
    <t>TKT000234</t>
  </si>
  <si>
    <t>02/16/2026 17:09</t>
  </si>
  <si>
    <t>02/17/2026 11:15</t>
  </si>
  <si>
    <t>TKT000235</t>
  </si>
  <si>
    <t>03/01/2026 09:42</t>
  </si>
  <si>
    <t>03/01/2026 13:00</t>
  </si>
  <si>
    <t>TKT000236</t>
  </si>
  <si>
    <t>02/13/2026 15:36</t>
  </si>
  <si>
    <t>02/14/2026 01:42</t>
  </si>
  <si>
    <t>TKT000237</t>
  </si>
  <si>
    <t>03/17/2026 11:12</t>
  </si>
  <si>
    <t>03/17/2026 20:36</t>
  </si>
  <si>
    <t>TKT000238</t>
  </si>
  <si>
    <t>02/06/2026 16:33</t>
  </si>
  <si>
    <t>02/07/2026 02:03</t>
  </si>
  <si>
    <t>TKT000239</t>
  </si>
  <si>
    <t>03/18/2026 14:43</t>
  </si>
  <si>
    <t>03/19/2026 05:13</t>
  </si>
  <si>
    <t>TKT000240</t>
  </si>
  <si>
    <t>01/21/2026 13:19</t>
  </si>
  <si>
    <t>01/21/2026 17:19</t>
  </si>
  <si>
    <t>TKT000241</t>
  </si>
  <si>
    <t>01/02/2026 14:03</t>
  </si>
  <si>
    <t>01/03/2026 02:21</t>
  </si>
  <si>
    <t>TKT000242</t>
  </si>
  <si>
    <t>03/09/2026 21:59</t>
  </si>
  <si>
    <t>TKT000243</t>
  </si>
  <si>
    <t>03/31/2026 10:19</t>
  </si>
  <si>
    <t>04/01/2026 00:37</t>
  </si>
  <si>
    <t>TKT000244</t>
  </si>
  <si>
    <t>03/26/2026 16:03</t>
  </si>
  <si>
    <t>03/27/2026 05:39</t>
  </si>
  <si>
    <t>TKT000245</t>
  </si>
  <si>
    <t>03/26/2026 08:58</t>
  </si>
  <si>
    <t>03/27/2026 00:22</t>
  </si>
  <si>
    <t>TKT000246</t>
  </si>
  <si>
    <t>02/21/2026 10:50</t>
  </si>
  <si>
    <t>02/21/2026 20:50</t>
  </si>
  <si>
    <t>TKT000247</t>
  </si>
  <si>
    <t>02/02/2026 16:09</t>
  </si>
  <si>
    <t>02/03/2026 04:45</t>
  </si>
  <si>
    <t>TKT000248</t>
  </si>
  <si>
    <t>03/02/2026 16:27</t>
  </si>
  <si>
    <t>03/03/2026 06:39</t>
  </si>
  <si>
    <t>TKT000249</t>
  </si>
  <si>
    <t>02/07/2026 11:13</t>
  </si>
  <si>
    <t>02/08/2026 01:43</t>
  </si>
  <si>
    <t>01/31/2026 12:58</t>
  </si>
  <si>
    <t>02/01/2026 04:52</t>
  </si>
  <si>
    <t>TKT000251</t>
  </si>
  <si>
    <t>01/20/2026 08:52</t>
  </si>
  <si>
    <t>01/20/2026 15:46</t>
  </si>
  <si>
    <t>TKT000252</t>
  </si>
  <si>
    <t>03/20/2026 08:09</t>
  </si>
  <si>
    <t>03/21/2026 01:09</t>
  </si>
  <si>
    <t>TKT000253</t>
  </si>
  <si>
    <t>03/28/2026 17:40</t>
  </si>
  <si>
    <t>03/29/2026 03:34</t>
  </si>
  <si>
    <t>TKT000254</t>
  </si>
  <si>
    <t>03/02/2026 16:49</t>
  </si>
  <si>
    <t>03/03/2026 00:31</t>
  </si>
  <si>
    <t>TKT000255</t>
  </si>
  <si>
    <t>01/01/2026 14:14</t>
  </si>
  <si>
    <t>01/02/2026 04:32</t>
  </si>
  <si>
    <t>TKT000256</t>
  </si>
  <si>
    <t>03/12/2026 16:34</t>
  </si>
  <si>
    <t>03/13/2026 05:46</t>
  </si>
  <si>
    <t>TKT000257</t>
  </si>
  <si>
    <t>01/03/2026 13:22</t>
  </si>
  <si>
    <t>01/03/2026 22:40</t>
  </si>
  <si>
    <t>TKT000258</t>
  </si>
  <si>
    <t>02/13/2026 16:23</t>
  </si>
  <si>
    <t>02/13/2026 22:35</t>
  </si>
  <si>
    <t>TKT000259</t>
  </si>
  <si>
    <t>02/14/2026 09:36</t>
  </si>
  <si>
    <t>02/14/2026 17:54</t>
  </si>
  <si>
    <t>TKT000260</t>
  </si>
  <si>
    <t>03/08/2026 08:24</t>
  </si>
  <si>
    <t>03/08/2026 14:12</t>
  </si>
  <si>
    <t>TKT000261</t>
  </si>
  <si>
    <t>03/17/2026 13:12</t>
  </si>
  <si>
    <t>03/18/2026 03:48</t>
  </si>
  <si>
    <t>TKT000262</t>
  </si>
  <si>
    <t>03/27/2026 14:23</t>
  </si>
  <si>
    <t>03/27/2026 21:41</t>
  </si>
  <si>
    <t>TKT000263</t>
  </si>
  <si>
    <t>01/31/2026 12:26</t>
  </si>
  <si>
    <t>01/31/2026 15:14</t>
  </si>
  <si>
    <t>TKT000264</t>
  </si>
  <si>
    <t>03/16/2026 11:42</t>
  </si>
  <si>
    <t>03/17/2026 00:36</t>
  </si>
  <si>
    <t>TKT000265</t>
  </si>
  <si>
    <t>03/13/2026 13:42</t>
  </si>
  <si>
    <t>03/13/2026 19:00</t>
  </si>
  <si>
    <t>TKT000266</t>
  </si>
  <si>
    <t>02/19/2026 11:06</t>
  </si>
  <si>
    <t>02/19/2026 22:24</t>
  </si>
  <si>
    <t>TKT000267</t>
  </si>
  <si>
    <t>03/09/2026 14:52</t>
  </si>
  <si>
    <t>03/10/2026 13:10</t>
  </si>
  <si>
    <t>TKT000268</t>
  </si>
  <si>
    <t>01/30/2026 09:17</t>
  </si>
  <si>
    <t>01/30/2026 17:29</t>
  </si>
  <si>
    <t>TKT000269</t>
  </si>
  <si>
    <t>02/14/2026 09:21</t>
  </si>
  <si>
    <t>02/14/2026 21:33</t>
  </si>
  <si>
    <t>TKT000270</t>
  </si>
  <si>
    <t>02/04/2026 17:10</t>
  </si>
  <si>
    <t>02/04/2026 21:52</t>
  </si>
  <si>
    <t>TKT000271</t>
  </si>
  <si>
    <t>02/03/2026 08:14</t>
  </si>
  <si>
    <t>02/04/2026 02:56</t>
  </si>
  <si>
    <t>TKT000272</t>
  </si>
  <si>
    <t>03/28/2026 14:38</t>
  </si>
  <si>
    <t>03/29/2026 10:32</t>
  </si>
  <si>
    <t>TKT000273</t>
  </si>
  <si>
    <t>03/25/2026 08:30</t>
  </si>
  <si>
    <t>03/25/2026 17:42</t>
  </si>
  <si>
    <t>TKT000274</t>
  </si>
  <si>
    <t>03/17/2026 12:00</t>
  </si>
  <si>
    <t>03/17/2026 13:54</t>
  </si>
  <si>
    <t>TKT000275</t>
  </si>
  <si>
    <t>01/21/2026 14:27</t>
  </si>
  <si>
    <t>01/21/2026 22:27</t>
  </si>
  <si>
    <t>TKT000276</t>
  </si>
  <si>
    <t>03/10/2026 14:25</t>
  </si>
  <si>
    <t>03/10/2026 23:31</t>
  </si>
  <si>
    <t>TKT000277</t>
  </si>
  <si>
    <t>03/15/2026 10:03</t>
  </si>
  <si>
    <t>03/15/2026 19:21</t>
  </si>
  <si>
    <t>TKT000278</t>
  </si>
  <si>
    <t>02/21/2026 10:52</t>
  </si>
  <si>
    <t>02/22/2026 04:10</t>
  </si>
  <si>
    <t>TKT000279</t>
  </si>
  <si>
    <t>02/23/2026 17:01</t>
  </si>
  <si>
    <t>02/24/2026 09:31</t>
  </si>
  <si>
    <t>TKT000280</t>
  </si>
  <si>
    <t>03/12/2026 15:46</t>
  </si>
  <si>
    <t>03/13/2026 00:10</t>
  </si>
  <si>
    <t>TKT000281</t>
  </si>
  <si>
    <t>03/28/2026 11:46</t>
  </si>
  <si>
    <t>03/28/2026 19:40</t>
  </si>
  <si>
    <t>TKT000282</t>
  </si>
  <si>
    <t>03/28/2026 14:59</t>
  </si>
  <si>
    <t>03/29/2026 00:11</t>
  </si>
  <si>
    <t>TKT000283</t>
  </si>
  <si>
    <t>02/08/2026 11:48</t>
  </si>
  <si>
    <t>02/09/2026 07:42</t>
  </si>
  <si>
    <t>TKT000284</t>
  </si>
  <si>
    <t>02/14/2026 16:38</t>
  </si>
  <si>
    <t>02/14/2026 22:20</t>
  </si>
  <si>
    <t>TKT000285</t>
  </si>
  <si>
    <t>01/01/2026 13:20</t>
  </si>
  <si>
    <t>01/01/2026 23:32</t>
  </si>
  <si>
    <t>TKT000286</t>
  </si>
  <si>
    <t>03/11/2026 17:43</t>
  </si>
  <si>
    <t>TKT000287</t>
  </si>
  <si>
    <t>01/29/2026 17:36</t>
  </si>
  <si>
    <t>01/30/2026 00:06</t>
  </si>
  <si>
    <t>TKT000288</t>
  </si>
  <si>
    <t>03/04/2026 08:46</t>
  </si>
  <si>
    <t>03/04/2026 16:34</t>
  </si>
  <si>
    <t>TKT000289</t>
  </si>
  <si>
    <t>03/17/2026 09:20</t>
  </si>
  <si>
    <t>03/17/2026 23:14</t>
  </si>
  <si>
    <t>TKT000290</t>
  </si>
  <si>
    <t>02/02/2026 12:22</t>
  </si>
  <si>
    <t>02/02/2026 15:34</t>
  </si>
  <si>
    <t>TKT000291</t>
  </si>
  <si>
    <t>03/09/2026 16:40</t>
  </si>
  <si>
    <t>03/10/2026 02:34</t>
  </si>
  <si>
    <t>TKT000292</t>
  </si>
  <si>
    <t>03/08/2026 09:18</t>
  </si>
  <si>
    <t>03/08/2026 20:06</t>
  </si>
  <si>
    <t>TKT000293</t>
  </si>
  <si>
    <t>03/04/2026 13:30</t>
  </si>
  <si>
    <t>03/05/2026 08:48</t>
  </si>
  <si>
    <t>TKT000294</t>
  </si>
  <si>
    <t>02/26/2026 13:22</t>
  </si>
  <si>
    <t>02/27/2026 02:22</t>
  </si>
  <si>
    <t>TKT000295</t>
  </si>
  <si>
    <t>01/13/2026 12:39</t>
  </si>
  <si>
    <t>01/14/2026 00:51</t>
  </si>
  <si>
    <t>TKT000296</t>
  </si>
  <si>
    <t>03/04/2026 09:45</t>
  </si>
  <si>
    <t>03/04/2026 17:21</t>
  </si>
  <si>
    <t>TKT000297</t>
  </si>
  <si>
    <t>03/13/2026 12:26</t>
  </si>
  <si>
    <t>03/13/2026 21:50</t>
  </si>
  <si>
    <t>TKT000298</t>
  </si>
  <si>
    <t>02/15/2026 14:39</t>
  </si>
  <si>
    <t>02/15/2026 21:57</t>
  </si>
  <si>
    <t>TKT000299</t>
  </si>
  <si>
    <t>03/11/2026 11:28</t>
  </si>
  <si>
    <t>03/11/2026 16:46</t>
  </si>
  <si>
    <t>TKT000300</t>
  </si>
  <si>
    <t>01/15/2026 15:07</t>
  </si>
  <si>
    <t>01/16/2026 10:19</t>
  </si>
  <si>
    <t>TKT000301</t>
  </si>
  <si>
    <t>03/05/2026 17:55</t>
  </si>
  <si>
    <t>03/06/2026 01:25</t>
  </si>
  <si>
    <t>TKT000302</t>
  </si>
  <si>
    <t>03/04/2026 15:30</t>
  </si>
  <si>
    <t>03/05/2026 03:54</t>
  </si>
  <si>
    <t>TKT000303</t>
  </si>
  <si>
    <t>01/27/2026 13:36</t>
  </si>
  <si>
    <t>01/28/2026 07:18</t>
  </si>
  <si>
    <t>TKT000304</t>
  </si>
  <si>
    <t>01/24/2026 14:38</t>
  </si>
  <si>
    <t>01/25/2026 05:50</t>
  </si>
  <si>
    <t>TKT000305</t>
  </si>
  <si>
    <t>02/21/2026 11:03</t>
  </si>
  <si>
    <t>02/21/2026 13:21</t>
  </si>
  <si>
    <t>TKT000306</t>
  </si>
  <si>
    <t>02/20/2026 14:57</t>
  </si>
  <si>
    <t>TKT000307</t>
  </si>
  <si>
    <t>03/23/2026 10:12</t>
  </si>
  <si>
    <t>03/23/2026 21:48</t>
  </si>
  <si>
    <t>TKT000308</t>
  </si>
  <si>
    <t>02/09/2026 15:46</t>
  </si>
  <si>
    <t>02/10/2026 02:28</t>
  </si>
  <si>
    <t>TKT000309</t>
  </si>
  <si>
    <t>02/01/2026 15:53</t>
  </si>
  <si>
    <t>02/01/2026 19:11</t>
  </si>
  <si>
    <t>TKT000310</t>
  </si>
  <si>
    <t>01/28/2026 10:45</t>
  </si>
  <si>
    <t>01/29/2026 01:57</t>
  </si>
  <si>
    <t>TKT000311</t>
  </si>
  <si>
    <t>01/14/2026 16:23</t>
  </si>
  <si>
    <t>01/14/2026 21:29</t>
  </si>
  <si>
    <t>TKT000312</t>
  </si>
  <si>
    <t>01/07/2026 11:24</t>
  </si>
  <si>
    <t>01/07/2026 15:30</t>
  </si>
  <si>
    <t>TKT000313</t>
  </si>
  <si>
    <t>02/06/2026 11:50</t>
  </si>
  <si>
    <t>02/06/2026 22:56</t>
  </si>
  <si>
    <t>TKT000314</t>
  </si>
  <si>
    <t>02/25/2026 16:33</t>
  </si>
  <si>
    <t>02/26/2026 13:09</t>
  </si>
  <si>
    <t>TKT000315</t>
  </si>
  <si>
    <t>03/01/2026 17:56</t>
  </si>
  <si>
    <t>03/02/2026 04:08</t>
  </si>
  <si>
    <t>TKT000316</t>
  </si>
  <si>
    <t>02/12/2026 09:36</t>
  </si>
  <si>
    <t>02/12/2026 16:36</t>
  </si>
  <si>
    <t>TKT000317</t>
  </si>
  <si>
    <t>02/05/2026 14:20</t>
  </si>
  <si>
    <t>02/06/2026 05:26</t>
  </si>
  <si>
    <t>TKT000318</t>
  </si>
  <si>
    <t>03/08/2026 08:01</t>
  </si>
  <si>
    <t>03/08/2026 17:07</t>
  </si>
  <si>
    <t>TKT000319</t>
  </si>
  <si>
    <t>03/24/2026 08:53</t>
  </si>
  <si>
    <t>03/24/2026 22:23</t>
  </si>
  <si>
    <t>TKT000320</t>
  </si>
  <si>
    <t>03/07/2026 12:38</t>
  </si>
  <si>
    <t>03/07/2026 16:56</t>
  </si>
  <si>
    <t>TKT000321</t>
  </si>
  <si>
    <t>03/14/2026 15:42</t>
  </si>
  <si>
    <t>03/15/2026 06:48</t>
  </si>
  <si>
    <t>TKT000322</t>
  </si>
  <si>
    <t>02/16/2026 17:17</t>
  </si>
  <si>
    <t>02/16/2026 22:17</t>
  </si>
  <si>
    <t>TKT000323</t>
  </si>
  <si>
    <t>03/01/2026 08:56</t>
  </si>
  <si>
    <t>03/02/2026 04:38</t>
  </si>
  <si>
    <t>TKT000324</t>
  </si>
  <si>
    <t>02/05/2026 12:26</t>
  </si>
  <si>
    <t>02/05/2026 22:26</t>
  </si>
  <si>
    <t>TKT000325</t>
  </si>
  <si>
    <t>02/18/2026 09:00</t>
  </si>
  <si>
    <t>02/18/2026 17:12</t>
  </si>
  <si>
    <t>TKT000326</t>
  </si>
  <si>
    <t>01/03/2026 08:56</t>
  </si>
  <si>
    <t>01/03/2026 17:26</t>
  </si>
  <si>
    <t>TKT000327</t>
  </si>
  <si>
    <t>03/14/2026 08:52</t>
  </si>
  <si>
    <t>03/14/2026 19:04</t>
  </si>
  <si>
    <t>TKT000328</t>
  </si>
  <si>
    <t>03/19/2026 11:31</t>
  </si>
  <si>
    <t>03/20/2026 06:43</t>
  </si>
  <si>
    <t>TKT000329</t>
  </si>
  <si>
    <t>02/05/2026 14:12</t>
  </si>
  <si>
    <t>02/05/2026 21:42</t>
  </si>
  <si>
    <t>TKT000330</t>
  </si>
  <si>
    <t>02/21/2026 12:51</t>
  </si>
  <si>
    <t>02/21/2026 21:45</t>
  </si>
  <si>
    <t>TKT000331</t>
  </si>
  <si>
    <t>03/17/2026 11:11</t>
  </si>
  <si>
    <t>03/18/2026 03:59</t>
  </si>
  <si>
    <t>TKT000332</t>
  </si>
  <si>
    <t>02/20/2026 11:11</t>
  </si>
  <si>
    <t>02/20/2026 22:17</t>
  </si>
  <si>
    <t>TKT000333</t>
  </si>
  <si>
    <t>02/17/2026 10:13</t>
  </si>
  <si>
    <t>02/17/2026 23:07</t>
  </si>
  <si>
    <t>TKT000334</t>
  </si>
  <si>
    <t>02/12/2026 10:15</t>
  </si>
  <si>
    <t>02/12/2026 15:03</t>
  </si>
  <si>
    <t>TKT000335</t>
  </si>
  <si>
    <t>03/13/2026 08:00</t>
  </si>
  <si>
    <t>03/13/2026 22:54</t>
  </si>
  <si>
    <t>TKT000336</t>
  </si>
  <si>
    <t>02/02/2026 14:49</t>
  </si>
  <si>
    <t>02/03/2026 10:07</t>
  </si>
  <si>
    <t>TKT000337</t>
  </si>
  <si>
    <t>03/25/2026 13:32</t>
  </si>
  <si>
    <t>03/26/2026 07:26</t>
  </si>
  <si>
    <t>TKT000338</t>
  </si>
  <si>
    <t>01/09/2026 10:55</t>
  </si>
  <si>
    <t>01/09/2026 23:37</t>
  </si>
  <si>
    <t>TKT000339</t>
  </si>
  <si>
    <t>02/23/2026 12:02</t>
  </si>
  <si>
    <t>02/23/2026 19:08</t>
  </si>
  <si>
    <t>TKT000340</t>
  </si>
  <si>
    <t>02/09/2026 16:50</t>
  </si>
  <si>
    <t>02/10/2026 03:56</t>
  </si>
  <si>
    <t>TKT000341</t>
  </si>
  <si>
    <t>03/27/2026 16:11</t>
  </si>
  <si>
    <t>03/28/2026 00:17</t>
  </si>
  <si>
    <t>TKT000342</t>
  </si>
  <si>
    <t>03/12/2026 10:50</t>
  </si>
  <si>
    <t>03/12/2026 22:14</t>
  </si>
  <si>
    <t>TKT000343</t>
  </si>
  <si>
    <t>03/23/2026 15:23</t>
  </si>
  <si>
    <t>03/23/2026 18:41</t>
  </si>
  <si>
    <t>TKT000344</t>
  </si>
  <si>
    <t>01/22/2026 14:52</t>
  </si>
  <si>
    <t>01/22/2026 21:34</t>
  </si>
  <si>
    <t>TKT000345</t>
  </si>
  <si>
    <t>01/14/2026 10:23</t>
  </si>
  <si>
    <t>01/14/2026 16:35</t>
  </si>
  <si>
    <t>TKT000346</t>
  </si>
  <si>
    <t>03/07/2026 13:23</t>
  </si>
  <si>
    <t>03/07/2026 15:59</t>
  </si>
  <si>
    <t>TKT000347</t>
  </si>
  <si>
    <t>03/03/2026 09:30</t>
  </si>
  <si>
    <t>03/03/2026 15:30</t>
  </si>
  <si>
    <t>TKT000348</t>
  </si>
  <si>
    <t>02/15/2026 08:02</t>
  </si>
  <si>
    <t>02/15/2026 18:20</t>
  </si>
  <si>
    <t>TKT000349</t>
  </si>
  <si>
    <t>03/28/2026 15:35</t>
  </si>
  <si>
    <t>03/29/2026 03:23</t>
  </si>
  <si>
    <t>TKT000350</t>
  </si>
  <si>
    <t>03/19/2026 16:17</t>
  </si>
  <si>
    <t>03/19/2026 23:05</t>
  </si>
  <si>
    <t>TKT000351</t>
  </si>
  <si>
    <t>03/23/2026 09:31</t>
  </si>
  <si>
    <t>03/24/2026 08:55</t>
  </si>
  <si>
    <t>TKT000352</t>
  </si>
  <si>
    <t>02/11/2026 08:18</t>
  </si>
  <si>
    <t>02/11/2026 14:24</t>
  </si>
  <si>
    <t>TKT000353</t>
  </si>
  <si>
    <t>02/08/2026 08:12</t>
  </si>
  <si>
    <t>02/08/2026 22:12</t>
  </si>
  <si>
    <t>TKT000354</t>
  </si>
  <si>
    <t>03/23/2026 12:07</t>
  </si>
  <si>
    <t>03/23/2026 16:37</t>
  </si>
  <si>
    <t>TKT000355</t>
  </si>
  <si>
    <t>03/13/2026 11:39</t>
  </si>
  <si>
    <t>03/13/2026 16:57</t>
  </si>
  <si>
    <t>TKT000356</t>
  </si>
  <si>
    <t>03/19/2026 15:40</t>
  </si>
  <si>
    <t>03/20/2026 02:16</t>
  </si>
  <si>
    <t>TKT000357</t>
  </si>
  <si>
    <t>03/13/2026 13:51</t>
  </si>
  <si>
    <t>03/14/2026 04:03</t>
  </si>
  <si>
    <t>TKT000358</t>
  </si>
  <si>
    <t>02/12/2026 11:17</t>
  </si>
  <si>
    <t>02/12/2026 16:35</t>
  </si>
  <si>
    <t>TKT000359</t>
  </si>
  <si>
    <t>03/23/2026 15:39</t>
  </si>
  <si>
    <t>03/24/2026 02:51</t>
  </si>
  <si>
    <t>TKT000360</t>
  </si>
  <si>
    <t>03/11/2026 16:09</t>
  </si>
  <si>
    <t>03/12/2026 02:09</t>
  </si>
  <si>
    <t>TKT000361</t>
  </si>
  <si>
    <t>03/09/2026 08:19</t>
  </si>
  <si>
    <t>03/09/2026 14:37</t>
  </si>
  <si>
    <t>TKT000362</t>
  </si>
  <si>
    <t>03/21/2026 14:39</t>
  </si>
  <si>
    <t>03/21/2026 22:03</t>
  </si>
  <si>
    <t>TKT000363</t>
  </si>
  <si>
    <t>02/02/2026 16:25</t>
  </si>
  <si>
    <t>02/03/2026 10:01</t>
  </si>
  <si>
    <t>TKT000364</t>
  </si>
  <si>
    <t>03/29/2026 13:19</t>
  </si>
  <si>
    <t>03/29/2026 21:31</t>
  </si>
  <si>
    <t>TKT000365</t>
  </si>
  <si>
    <t>02/02/2026 08:51</t>
  </si>
  <si>
    <t>02/02/2026 17:09</t>
  </si>
  <si>
    <t>TKT000366</t>
  </si>
  <si>
    <t>02/19/2026 08:16</t>
  </si>
  <si>
    <t>02/19/2026 20:16</t>
  </si>
  <si>
    <t>TKT000367</t>
  </si>
  <si>
    <t>01/20/2026 13:07</t>
  </si>
  <si>
    <t>01/21/2026 03:31</t>
  </si>
  <si>
    <t>TKT000368</t>
  </si>
  <si>
    <t>01/29/2026 11:36</t>
  </si>
  <si>
    <t>01/29/2026 23:18</t>
  </si>
  <si>
    <t>TKT000369</t>
  </si>
  <si>
    <t>03/25/2026 14:17</t>
  </si>
  <si>
    <t>03/25/2026 16:53</t>
  </si>
  <si>
    <t>TKT000370</t>
  </si>
  <si>
    <t>03/09/2026 12:26</t>
  </si>
  <si>
    <t>03/09/2026 21:32</t>
  </si>
  <si>
    <t>TKT000371</t>
  </si>
  <si>
    <t>03/10/2026 14:15</t>
  </si>
  <si>
    <t>03/11/2026 03:09</t>
  </si>
  <si>
    <t>TKT000372</t>
  </si>
  <si>
    <t>01/30/2026 16:46</t>
  </si>
  <si>
    <t>01/31/2026 03:16</t>
  </si>
  <si>
    <t>TKT000373</t>
  </si>
  <si>
    <t>03/29/2026 14:39</t>
  </si>
  <si>
    <t>03/29/2026 23:27</t>
  </si>
  <si>
    <t>TKT000374</t>
  </si>
  <si>
    <t>01/08/2026 15:55</t>
  </si>
  <si>
    <t>01/09/2026 09:37</t>
  </si>
  <si>
    <t>TKT000375</t>
  </si>
  <si>
    <t>01/06/2026 12:49</t>
  </si>
  <si>
    <t>01/06/2026 21:43</t>
  </si>
  <si>
    <t>TKT000376</t>
  </si>
  <si>
    <t>03/04/2026 14:00</t>
  </si>
  <si>
    <t>03/04/2026 17:12</t>
  </si>
  <si>
    <t>TKT000377</t>
  </si>
  <si>
    <t>01/16/2026 08:24</t>
  </si>
  <si>
    <t>01/17/2026 00:18</t>
  </si>
  <si>
    <t>TKT000378</t>
  </si>
  <si>
    <t>03/07/2026 08:46</t>
  </si>
  <si>
    <t>03/07/2026 19:16</t>
  </si>
  <si>
    <t>TKT000379</t>
  </si>
  <si>
    <t>03/18/2026 14:51</t>
  </si>
  <si>
    <t>03/19/2026 08:15</t>
  </si>
  <si>
    <t>TKT000380</t>
  </si>
  <si>
    <t>03/16/2026 08:40</t>
  </si>
  <si>
    <t>03/16/2026 23:28</t>
  </si>
  <si>
    <t>TKT000381</t>
  </si>
  <si>
    <t>02/02/2026 11:16</t>
  </si>
  <si>
    <t>02/03/2026 05:10</t>
  </si>
  <si>
    <t>TKT000382</t>
  </si>
  <si>
    <t>03/19/2026 09:21</t>
  </si>
  <si>
    <t>03/19/2026 17:03</t>
  </si>
  <si>
    <t>TKT000383</t>
  </si>
  <si>
    <t>03/14/2026 11:55</t>
  </si>
  <si>
    <t>03/14/2026 16:49</t>
  </si>
  <si>
    <t>TKT000384</t>
  </si>
  <si>
    <t>02/20/2026 16:20</t>
  </si>
  <si>
    <t>02/21/2026 09:44</t>
  </si>
  <si>
    <t>TKT000385</t>
  </si>
  <si>
    <t>03/29/2026 09:23</t>
  </si>
  <si>
    <t>03/29/2026 23:41</t>
  </si>
  <si>
    <t>TKT000386</t>
  </si>
  <si>
    <t>01/19/2026 10:57</t>
  </si>
  <si>
    <t>01/19/2026 17:21</t>
  </si>
  <si>
    <t>TKT000387</t>
  </si>
  <si>
    <t>03/15/2026 14:45</t>
  </si>
  <si>
    <t>03/15/2026 22:51</t>
  </si>
  <si>
    <t>TKT000388</t>
  </si>
  <si>
    <t>03/17/2026 14:36</t>
  </si>
  <si>
    <t>03/17/2026 23:42</t>
  </si>
  <si>
    <t>TKT000389</t>
  </si>
  <si>
    <t>03/15/2026 12:07</t>
  </si>
  <si>
    <t>03/15/2026 16:19</t>
  </si>
  <si>
    <t>TKT000390</t>
  </si>
  <si>
    <t>03/14/2026 14:47</t>
  </si>
  <si>
    <t>03/15/2026 04:17</t>
  </si>
  <si>
    <t>TKT000391</t>
  </si>
  <si>
    <t>02/26/2026 13:30</t>
  </si>
  <si>
    <t>02/27/2026 04:24</t>
  </si>
  <si>
    <t>TKT000392</t>
  </si>
  <si>
    <t>01/24/2026 15:06</t>
  </si>
  <si>
    <t>01/24/2026 21:42</t>
  </si>
  <si>
    <t>TKT000393</t>
  </si>
  <si>
    <t>01/14/2026 09:50</t>
  </si>
  <si>
    <t>01/14/2026 16:14</t>
  </si>
  <si>
    <t>TKT000394</t>
  </si>
  <si>
    <t>02/18/2026 14:15</t>
  </si>
  <si>
    <t>02/19/2026 03:33</t>
  </si>
  <si>
    <t>TKT000395</t>
  </si>
  <si>
    <t>02/10/2026 10:23</t>
  </si>
  <si>
    <t>02/10/2026 22:17</t>
  </si>
  <si>
    <t>TKT000396</t>
  </si>
  <si>
    <t>02/22/2026 15:53</t>
  </si>
  <si>
    <t>02/22/2026 23:11</t>
  </si>
  <si>
    <t>TKT000397</t>
  </si>
  <si>
    <t>03/11/2026 10:40</t>
  </si>
  <si>
    <t>03/11/2026 14:10</t>
  </si>
  <si>
    <t>TKT000398</t>
  </si>
  <si>
    <t>01/19/2026 13:12</t>
  </si>
  <si>
    <t>01/20/2026 04:12</t>
  </si>
  <si>
    <t>TKT000399</t>
  </si>
  <si>
    <t>03/03/2026 14:43</t>
  </si>
  <si>
    <t>03/03/2026 21:37</t>
  </si>
  <si>
    <t>TKT000400</t>
  </si>
  <si>
    <t>02/21/2026 09:59</t>
  </si>
  <si>
    <t>02/21/2026 20:17</t>
  </si>
  <si>
    <t>TKT000401</t>
  </si>
  <si>
    <t>01/04/2026 16:21</t>
  </si>
  <si>
    <t>01/05/2026 02:45</t>
  </si>
  <si>
    <t>TKT000402</t>
  </si>
  <si>
    <t>02/07/2026 11:34</t>
  </si>
  <si>
    <t>02/07/2026 19:34</t>
  </si>
  <si>
    <t>TKT000403</t>
  </si>
  <si>
    <t>02/05/2026 14:28</t>
  </si>
  <si>
    <t>02/06/2026 00:34</t>
  </si>
  <si>
    <t>TKT000404</t>
  </si>
  <si>
    <t>01/03/2026 10:33</t>
  </si>
  <si>
    <t>01/04/2026 03:09</t>
  </si>
  <si>
    <t>TKT000405</t>
  </si>
  <si>
    <t>02/28/2026 16:14</t>
  </si>
  <si>
    <t>02/28/2026 21:50</t>
  </si>
  <si>
    <t>TKT000406</t>
  </si>
  <si>
    <t>03/07/2026 08:22</t>
  </si>
  <si>
    <t>03/07/2026 14:52</t>
  </si>
  <si>
    <t>TKT000407</t>
  </si>
  <si>
    <t>01/02/2026 11:34</t>
  </si>
  <si>
    <t>01/02/2026 18:28</t>
  </si>
  <si>
    <t>TKT000408</t>
  </si>
  <si>
    <t>01/03/2026 17:47</t>
  </si>
  <si>
    <t>01/04/2026 02:17</t>
  </si>
  <si>
    <t>TKT000409</t>
  </si>
  <si>
    <t>02/17/2026 12:31</t>
  </si>
  <si>
    <t>02/18/2026 06:31</t>
  </si>
  <si>
    <t>TKT000410</t>
  </si>
  <si>
    <t>03/22/2026 12:05</t>
  </si>
  <si>
    <t>03/22/2026 21:05</t>
  </si>
  <si>
    <t>TKT000411</t>
  </si>
  <si>
    <t>03/15/2026 09:08</t>
  </si>
  <si>
    <t>03/15/2026 19:26</t>
  </si>
  <si>
    <t>TKT000412</t>
  </si>
  <si>
    <t>02/08/2026 12:54</t>
  </si>
  <si>
    <t>02/09/2026 02:54</t>
  </si>
  <si>
    <t>TKT000413</t>
  </si>
  <si>
    <t>02/24/2026 16:31</t>
  </si>
  <si>
    <t>02/25/2026 07:07</t>
  </si>
  <si>
    <t>TKT000414</t>
  </si>
  <si>
    <t>01/13/2026 17:32</t>
  </si>
  <si>
    <t>01/13/2026 22:20</t>
  </si>
  <si>
    <t>TKT000415</t>
  </si>
  <si>
    <t>03/25/2026 10:44</t>
  </si>
  <si>
    <t>03/25/2026 16:56</t>
  </si>
  <si>
    <t>TKT000416</t>
  </si>
  <si>
    <t>03/29/2026 13:44</t>
  </si>
  <si>
    <t>03/30/2026 01:56</t>
  </si>
  <si>
    <t>TKT000417</t>
  </si>
  <si>
    <t>03/11/2026 16:13</t>
  </si>
  <si>
    <t>03/12/2026 01:37</t>
  </si>
  <si>
    <t>TKT000418</t>
  </si>
  <si>
    <t>03/02/2026 17:43</t>
  </si>
  <si>
    <t>03/02/2026 23:13</t>
  </si>
  <si>
    <t>TKT000419</t>
  </si>
  <si>
    <t>01/23/2026 17:40</t>
  </si>
  <si>
    <t>01/24/2026 01:04</t>
  </si>
  <si>
    <t>TKT000420</t>
  </si>
  <si>
    <t>01/07/2026 13:16</t>
  </si>
  <si>
    <t>01/08/2026 01:22</t>
  </si>
  <si>
    <t>TKT000421</t>
  </si>
  <si>
    <t>01/25/2026 10:54</t>
  </si>
  <si>
    <t>01/25/2026 20:12</t>
  </si>
  <si>
    <t>TKT000422</t>
  </si>
  <si>
    <t>03/02/2026 12:44</t>
  </si>
  <si>
    <t>03/02/2026 22:32</t>
  </si>
  <si>
    <t>TKT000423</t>
  </si>
  <si>
    <t>02/28/2026 09:54</t>
  </si>
  <si>
    <t>02/28/2026 12:30</t>
  </si>
  <si>
    <t>TKT000424</t>
  </si>
  <si>
    <t>02/11/2026 15:00</t>
  </si>
  <si>
    <t>02/11/2026 23:30</t>
  </si>
  <si>
    <t>TKT000425</t>
  </si>
  <si>
    <t>01/26/2026 17:28</t>
  </si>
  <si>
    <t>01/27/2026 03:52</t>
  </si>
  <si>
    <t>TKT000426</t>
  </si>
  <si>
    <t>01/23/2026 14:34</t>
  </si>
  <si>
    <t>TKT000427</t>
  </si>
  <si>
    <t>02/18/2026 16:28</t>
  </si>
  <si>
    <t>02/18/2026 21:22</t>
  </si>
  <si>
    <t>TKT000428</t>
  </si>
  <si>
    <t>01/26/2026 08:08</t>
  </si>
  <si>
    <t>01/26/2026 13:14</t>
  </si>
  <si>
    <t>TKT000429</t>
  </si>
  <si>
    <t>03/06/2026 12:32</t>
  </si>
  <si>
    <t>03/07/2026 04:20</t>
  </si>
  <si>
    <t>TKT000430</t>
  </si>
  <si>
    <t>03/21/2026 15:26</t>
  </si>
  <si>
    <t>03/22/2026 05:20</t>
  </si>
  <si>
    <t>TKT000431</t>
  </si>
  <si>
    <t>02/06/2026 13:21</t>
  </si>
  <si>
    <t>02/07/2026 07:39</t>
  </si>
  <si>
    <t>TKT000432</t>
  </si>
  <si>
    <t>02/19/2026 08:44</t>
  </si>
  <si>
    <t>02/19/2026 18:56</t>
  </si>
  <si>
    <t>TKT000433</t>
  </si>
  <si>
    <t>01/15/2026 10:48</t>
  </si>
  <si>
    <t>01/15/2026 22:00</t>
  </si>
  <si>
    <t>TKT000434</t>
  </si>
  <si>
    <t>01/18/2026 12:11</t>
  </si>
  <si>
    <t>01/19/2026 09:47</t>
  </si>
  <si>
    <t>TKT000435</t>
  </si>
  <si>
    <t>02/10/2026 17:05</t>
  </si>
  <si>
    <t>02/11/2026 01:35</t>
  </si>
  <si>
    <t>TKT000436</t>
  </si>
  <si>
    <t>01/04/2026 10:31</t>
  </si>
  <si>
    <t>01/04/2026 22:19</t>
  </si>
  <si>
    <t>TKT000437</t>
  </si>
  <si>
    <t>02/20/2026 08:41</t>
  </si>
  <si>
    <t>02/20/2026 18:59</t>
  </si>
  <si>
    <t>TKT000438</t>
  </si>
  <si>
    <t>03/20/2026 09:18</t>
  </si>
  <si>
    <t>03/20/2026 16:06</t>
  </si>
  <si>
    <t>TKT000439</t>
  </si>
  <si>
    <t>03/22/2026 11:58</t>
  </si>
  <si>
    <t>03/22/2026 18:46</t>
  </si>
  <si>
    <t>TKT000440</t>
  </si>
  <si>
    <t>01/09/2026 16:16</t>
  </si>
  <si>
    <t>01/10/2026 03:28</t>
  </si>
  <si>
    <t>TKT000441</t>
  </si>
  <si>
    <t>03/27/2026 09:45</t>
  </si>
  <si>
    <t>03/27/2026 16:21</t>
  </si>
  <si>
    <t>TKT000442</t>
  </si>
  <si>
    <t>02/04/2026 15:45</t>
  </si>
  <si>
    <t>02/04/2026 20:27</t>
  </si>
  <si>
    <t>TKT000443</t>
  </si>
  <si>
    <t>01/15/2026 13:17</t>
  </si>
  <si>
    <t>01/16/2026 00:23</t>
  </si>
  <si>
    <t>TKT000444</t>
  </si>
  <si>
    <t>02/20/2026 10:09</t>
  </si>
  <si>
    <t>02/21/2026 08:27</t>
  </si>
  <si>
    <t>TKT000445</t>
  </si>
  <si>
    <t>03/17/2026 11:59</t>
  </si>
  <si>
    <t>03/17/2026 21:17</t>
  </si>
  <si>
    <t>TKT000446</t>
  </si>
  <si>
    <t>03/13/2026 12:09</t>
  </si>
  <si>
    <t>03/14/2026 00:27</t>
  </si>
  <si>
    <t>TKT000447</t>
  </si>
  <si>
    <t>01/14/2026 13:53</t>
  </si>
  <si>
    <t>01/15/2026 02:35</t>
  </si>
  <si>
    <t>TKT000448</t>
  </si>
  <si>
    <t>01/11/2026 16:27</t>
  </si>
  <si>
    <t>01/12/2026 12:51</t>
  </si>
  <si>
    <t>TKT000449</t>
  </si>
  <si>
    <t>03/14/2026 09:47</t>
  </si>
  <si>
    <t>03/14/2026 18:23</t>
  </si>
  <si>
    <t>TKT000450</t>
  </si>
  <si>
    <t>03/08/2026 08:55</t>
  </si>
  <si>
    <t>TKT000451</t>
  </si>
  <si>
    <t>01/23/2026 12:00</t>
  </si>
  <si>
    <t>01/23/2026 18:18</t>
  </si>
  <si>
    <t>TKT000452</t>
  </si>
  <si>
    <t>02/16/2026 08:02</t>
  </si>
  <si>
    <t>02/17/2026 04:08</t>
  </si>
  <si>
    <t>TKT000453</t>
  </si>
  <si>
    <t>02/27/2026 11:50</t>
  </si>
  <si>
    <t>02/27/2026 18:56</t>
  </si>
  <si>
    <t>TKT000454</t>
  </si>
  <si>
    <t>01/26/2026 14:49</t>
  </si>
  <si>
    <t>01/27/2026 03:25</t>
  </si>
  <si>
    <t>TKT000455</t>
  </si>
  <si>
    <t>03/09/2026 11:07</t>
  </si>
  <si>
    <t>03/10/2026 01:13</t>
  </si>
  <si>
    <t>TKT000456</t>
  </si>
  <si>
    <t>01/01/2026 13:24</t>
  </si>
  <si>
    <t>01/01/2026 20:42</t>
  </si>
  <si>
    <t>TKT000457</t>
  </si>
  <si>
    <t>01/09/2026 09:11</t>
  </si>
  <si>
    <t>01/10/2026 04:29</t>
  </si>
  <si>
    <t>TKT000458</t>
  </si>
  <si>
    <t>01/19/2026 08:36</t>
  </si>
  <si>
    <t>01/19/2026 18:30</t>
  </si>
  <si>
    <t>TKT000459</t>
  </si>
  <si>
    <t>02/27/2026 13:13</t>
  </si>
  <si>
    <t>02/27/2026 22:43</t>
  </si>
  <si>
    <t>TKT000460</t>
  </si>
  <si>
    <t>02/19/2026 16:24</t>
  </si>
  <si>
    <t>02/19/2026 21:18</t>
  </si>
  <si>
    <t>TKT000461</t>
  </si>
  <si>
    <t>03/05/2026 16:22</t>
  </si>
  <si>
    <t>03/06/2026 07:22</t>
  </si>
  <si>
    <t>TKT000462</t>
  </si>
  <si>
    <t>03/05/2026 12:16</t>
  </si>
  <si>
    <t>03/05/2026 19:40</t>
  </si>
  <si>
    <t>TKT000463</t>
  </si>
  <si>
    <t>02/27/2026 09:06</t>
  </si>
  <si>
    <t>02/27/2026 20:48</t>
  </si>
  <si>
    <t>TKT000464</t>
  </si>
  <si>
    <t>01/05/2026 15:49</t>
  </si>
  <si>
    <t>01/05/2026 17:49</t>
  </si>
  <si>
    <t>TKT000465</t>
  </si>
  <si>
    <t>02/13/2026 11:36</t>
  </si>
  <si>
    <t>02/13/2026 20:18</t>
  </si>
  <si>
    <t>TKT000466</t>
  </si>
  <si>
    <t>03/16/2026 13:23</t>
  </si>
  <si>
    <t>03/17/2026 04:59</t>
  </si>
  <si>
    <t>TKT000467</t>
  </si>
  <si>
    <t>01/05/2026 09:52</t>
  </si>
  <si>
    <t>01/05/2026 21:04</t>
  </si>
  <si>
    <t>TKT000468</t>
  </si>
  <si>
    <t>02/28/2026 17:37</t>
  </si>
  <si>
    <t>03/01/2026 01:49</t>
  </si>
  <si>
    <t>TKT000469</t>
  </si>
  <si>
    <t>03/09/2026 17:58</t>
  </si>
  <si>
    <t>03/10/2026 06:04</t>
  </si>
  <si>
    <t>TKT000470</t>
  </si>
  <si>
    <t>03/28/2026 15:50</t>
  </si>
  <si>
    <t>03/29/2026 06:38</t>
  </si>
  <si>
    <t>TKT000471</t>
  </si>
  <si>
    <t>02/27/2026 13:17</t>
  </si>
  <si>
    <t>02/27/2026 20:35</t>
  </si>
  <si>
    <t>TKT000472</t>
  </si>
  <si>
    <t>01/26/2026 16:34</t>
  </si>
  <si>
    <t>01/27/2026 06:34</t>
  </si>
  <si>
    <t>TKT000473</t>
  </si>
  <si>
    <t>03/23/2026 16:54</t>
  </si>
  <si>
    <t>03/24/2026 02:30</t>
  </si>
  <si>
    <t>TKT000474</t>
  </si>
  <si>
    <t>03/08/2026 09:07</t>
  </si>
  <si>
    <t>03/09/2026 05:55</t>
  </si>
  <si>
    <t>TKT000475</t>
  </si>
  <si>
    <t>02/19/2026 17:39</t>
  </si>
  <si>
    <t>02/20/2026 03:45</t>
  </si>
  <si>
    <t>TKT000476</t>
  </si>
  <si>
    <t>02/26/2026 11:47</t>
  </si>
  <si>
    <t>02/27/2026 01:35</t>
  </si>
  <si>
    <t>TKT000477</t>
  </si>
  <si>
    <t>01/25/2026 17:58</t>
  </si>
  <si>
    <t>01/26/2026 16:10</t>
  </si>
  <si>
    <t>TKT000478</t>
  </si>
  <si>
    <t>03/07/2026 14:00</t>
  </si>
  <si>
    <t>03/08/2026 00:48</t>
  </si>
  <si>
    <t>TKT000479</t>
  </si>
  <si>
    <t>03/22/2026 08:18</t>
  </si>
  <si>
    <t>TKT000480</t>
  </si>
  <si>
    <t>03/22/2026 15:23</t>
  </si>
  <si>
    <t>03/22/2026 23:29</t>
  </si>
  <si>
    <t>TKT000481</t>
  </si>
  <si>
    <t>01/14/2026 10:49</t>
  </si>
  <si>
    <t>01/15/2026 00:01</t>
  </si>
  <si>
    <t>TKT000482</t>
  </si>
  <si>
    <t>01/07/2026 14:56</t>
  </si>
  <si>
    <t>01/07/2026 22:02</t>
  </si>
  <si>
    <t>TKT000483</t>
  </si>
  <si>
    <t>01/23/2026 14:24</t>
  </si>
  <si>
    <t>01/23/2026 23:48</t>
  </si>
  <si>
    <t>TKT000484</t>
  </si>
  <si>
    <t>01/21/2026 12:59</t>
  </si>
  <si>
    <t>01/21/2026 22:47</t>
  </si>
  <si>
    <t>TKT000485</t>
  </si>
  <si>
    <t>01/24/2026 17:51</t>
  </si>
  <si>
    <t>01/25/2026 09:15</t>
  </si>
  <si>
    <t>TKT000486</t>
  </si>
  <si>
    <t>03/03/2026 10:44</t>
  </si>
  <si>
    <t>03/03/2026 21:20</t>
  </si>
  <si>
    <t>TKT000487</t>
  </si>
  <si>
    <t>03/05/2026 10:25</t>
  </si>
  <si>
    <t>03/05/2026 13:37</t>
  </si>
  <si>
    <t>TKT000488</t>
  </si>
  <si>
    <t>03/25/2026 09:49</t>
  </si>
  <si>
    <t>03/25/2026 18:31</t>
  </si>
  <si>
    <t>TKT000489</t>
  </si>
  <si>
    <t>03/30/2026 11:31</t>
  </si>
  <si>
    <t>03/30/2026 21:55</t>
  </si>
  <si>
    <t>TKT000490</t>
  </si>
  <si>
    <t>02/13/2026 08:31</t>
  </si>
  <si>
    <t>02/13/2026 18:01</t>
  </si>
  <si>
    <t>TKT000491</t>
  </si>
  <si>
    <t>02/04/2026 14:12</t>
  </si>
  <si>
    <t>02/05/2026 03:54</t>
  </si>
  <si>
    <t>TKT000492</t>
  </si>
  <si>
    <t>02/13/2026 12:16</t>
  </si>
  <si>
    <t>02/13/2026 17:58</t>
  </si>
  <si>
    <t>TKT000493</t>
  </si>
  <si>
    <t>01/19/2026 10:43</t>
  </si>
  <si>
    <t>01/20/2026 02:25</t>
  </si>
  <si>
    <t>TKT000494</t>
  </si>
  <si>
    <t>03/30/2026 17:33</t>
  </si>
  <si>
    <t>03/31/2026 01:21</t>
  </si>
  <si>
    <t>TKT000495</t>
  </si>
  <si>
    <t>03/27/2026 12:42</t>
  </si>
  <si>
    <t>03/27/2026 21:00</t>
  </si>
  <si>
    <t>TKT000496</t>
  </si>
  <si>
    <t>03/12/2026 15:59</t>
  </si>
  <si>
    <t>03/12/2026 22:41</t>
  </si>
  <si>
    <t>TKT000497</t>
  </si>
  <si>
    <t>02/02/2026 17:34</t>
  </si>
  <si>
    <t>02/03/2026 01:40</t>
  </si>
  <si>
    <t>TKT000498</t>
  </si>
  <si>
    <t>02/21/2026 15:45</t>
  </si>
  <si>
    <t>02/22/2026 00:09</t>
  </si>
  <si>
    <t>TKT000499</t>
  </si>
  <si>
    <t>01/13/2026 11:40</t>
  </si>
  <si>
    <t>01/13/2026 21:10</t>
  </si>
  <si>
    <t>TKT000500</t>
  </si>
  <si>
    <t>02/06/2026 15:50</t>
  </si>
  <si>
    <t>02/06/2026 23:14</t>
  </si>
  <si>
    <t>Sub Category</t>
  </si>
  <si>
    <t>SLA_Mismatch</t>
  </si>
  <si>
    <t>Issue ID</t>
  </si>
  <si>
    <t>Field</t>
  </si>
  <si>
    <t>Issue</t>
  </si>
  <si>
    <t>Action Taken</t>
  </si>
  <si>
    <t>Reason</t>
  </si>
  <si>
    <t>DQ-001</t>
  </si>
  <si>
    <t>Duplicate Ticket ID</t>
  </si>
  <si>
    <t>Assigned new Ticket ID (TKT000250)</t>
  </si>
  <si>
    <t>Restored uniqueness of primary key</t>
  </si>
  <si>
    <t>DQ-002</t>
  </si>
  <si>
    <t>15 missing values</t>
  </si>
  <si>
    <t>DQ-003</t>
  </si>
  <si>
    <t>12 mismatches</t>
  </si>
  <si>
    <t>Validation</t>
  </si>
  <si>
    <t>Result</t>
  </si>
  <si>
    <t>Duplicate Rows</t>
  </si>
  <si>
    <t>Duplicate Ticket IDs (Primary Key Violation)</t>
  </si>
  <si>
    <t>Missing Customer Ratings</t>
  </si>
  <si>
    <t>Invalid Category/Sub Category</t>
  </si>
  <si>
    <t>Invalid Dates</t>
  </si>
  <si>
    <t>TKT000250</t>
  </si>
  <si>
    <t>Calculated_SLA</t>
  </si>
  <si>
    <t>KPI</t>
  </si>
  <si>
    <t>Value</t>
  </si>
  <si>
    <t>Total Tickets</t>
  </si>
  <si>
    <r>
      <t xml:space="preserve">SLA Compliance (%) </t>
    </r>
    <r>
      <rPr>
        <i/>
        <sz val="11"/>
        <color theme="1"/>
        <rFont val="Calibri"/>
        <family val="2"/>
        <scheme val="minor"/>
      </rPr>
      <t xml:space="preserve">(using </t>
    </r>
    <r>
      <rPr>
        <i/>
        <sz val="10"/>
        <color theme="1"/>
        <rFont val="Arial Unicode MS"/>
      </rPr>
      <t>Calculated_SLA</t>
    </r>
    <r>
      <rPr>
        <i/>
        <sz val="11"/>
        <color theme="1"/>
        <rFont val="Calibri"/>
        <family val="2"/>
        <scheme val="minor"/>
      </rPr>
      <t>)</t>
    </r>
  </si>
  <si>
    <t>Average Resolution Time</t>
  </si>
  <si>
    <t>Average Customer Rating</t>
  </si>
  <si>
    <t>Sub_Category_Validation</t>
  </si>
  <si>
    <t>Grand Total</t>
  </si>
  <si>
    <t>Count of Ticket_ID</t>
  </si>
  <si>
    <t xml:space="preserve">Ticket Volume by Region </t>
  </si>
  <si>
    <t xml:space="preserve">Ticket Volume by Catergory </t>
  </si>
  <si>
    <t>SLA Performance by Region</t>
  </si>
  <si>
    <t>Which Agent Handles the highest work load</t>
  </si>
  <si>
    <t xml:space="preserve">Which support team has the highest workload </t>
  </si>
  <si>
    <t>Count of Category</t>
  </si>
  <si>
    <t xml:space="preserve">Average Resolution time by Category </t>
  </si>
  <si>
    <t>Average of Resolution_Time_Hrs</t>
  </si>
  <si>
    <t>Agents</t>
  </si>
  <si>
    <t>Deparment</t>
  </si>
  <si>
    <t>Average Customer Rating by Agent</t>
  </si>
  <si>
    <t>Average of Customer_Rating</t>
  </si>
  <si>
    <t>15 Customers have not given the rating, hence they have been excluded.</t>
  </si>
  <si>
    <t>Which Customer generates most of the tickets?</t>
  </si>
  <si>
    <t>Observation</t>
  </si>
  <si>
    <t>Interpretation</t>
  </si>
  <si>
    <t xml:space="preserve">This indicates that software configuration, network connectivity and driver installation issues are the most common challenges experienced by the customers. </t>
  </si>
  <si>
    <t>Business Impact</t>
  </si>
  <si>
    <t xml:space="preserve">Frequent software related issues increase support workload, delay issue resolution and reduce overall customer satisfaction. </t>
  </si>
  <si>
    <t>Recommendation</t>
  </si>
  <si>
    <t>Develop standardized troubleshooting guides, improve software deployment processes, and create self-service knowledge base articles to reduce recurring incidents.</t>
  </si>
  <si>
    <t xml:space="preserve">Observation </t>
  </si>
  <si>
    <t>West region has the highest volume of tickets.</t>
  </si>
  <si>
    <t>AS per the assumption, West Region onboarded additional accounts which explains the increased ticket volume.</t>
  </si>
  <si>
    <t xml:space="preserve">Additional accounts, accounts for additional tickets and additional resolution time and SLA misses. </t>
  </si>
  <si>
    <t>The Network Team handled 35.6% of all support requests while the West region experienced the lowest SLA compliance. Management should evaluate staffing capacity within the Network Team supporting the West region before considering additional hiring.</t>
  </si>
  <si>
    <t xml:space="preserve">James handles highest ticket volume of 60 while also recording lowest Customer satisfaction score of 2.77. This may indicate workload imbalance or support quality issues that require further investigation. </t>
  </si>
  <si>
    <t xml:space="preserve">Lower Customer satisfaction score can result out of SLA misses. Which will require further assesment. </t>
  </si>
  <si>
    <t xml:space="preserve">Workload imbalance and support quality issues needs to be further investigated to asses the ticket volumes and low Customer ratings. </t>
  </si>
  <si>
    <t xml:space="preserve">Frequent network connectivity issues increase resolution time, resulting in the SLA not being met and lower customer satisfaction score. </t>
  </si>
  <si>
    <t xml:space="preserve">Lower Customer ratings can result  in Lower quality of the services or process inconsistencies which result in reopening of the tickets. </t>
  </si>
  <si>
    <t xml:space="preserve">Agents's workload in assigned regions needs to be evaluated to check if there is sufficient workforce to handle the volume of tickets. Possibilities for additional training maybe be considered for Agents with Lower Customer ratings to improve the quality of the issue resolution. </t>
  </si>
  <si>
    <t xml:space="preserve"> Out of the total 485 tickets that have been rated, agent Sarah has recived the highest average customer rating of 3.6744. James has received the lowest of average customer rating of 2.7797 with highest volume of tickets.</t>
  </si>
  <si>
    <t>Amazon Ltd has generated the most number of tickets.</t>
  </si>
  <si>
    <t>Mechanical issues such as Paper Jams and drivers maybe pushed for remote resolve by sharing troushooting steps from the KBA to lower the resolution time.</t>
  </si>
  <si>
    <t>Higher resolution time impacts the SLA.</t>
  </si>
  <si>
    <t>Hardware &amp; Mechanical takes 14.9 hrs while billing takes 3.4hrs. This means hardware issues takes approximately 4x longer to resolve.</t>
  </si>
  <si>
    <t>Hardware &amp; Mechanical Category takes the highest average resolution time.</t>
  </si>
  <si>
    <t>Network team handles highest workload of 178 tickets representing 35.6% of all support tickets.</t>
  </si>
  <si>
    <t>This indicates that network connectivity issues are the most common challenges experienced by the customers.</t>
  </si>
  <si>
    <t>James handles the highest number of work load and ERA the lowest.</t>
  </si>
  <si>
    <t>Might require additional trained agents to handle the issues at a fast paced level.</t>
  </si>
  <si>
    <t>Based on the assumption, West Region onboarded additional accounts however additional data would be needed to further asses the SLA performance in this region.</t>
  </si>
  <si>
    <t>East region has the highest SLA Performance of 53.03% and lowest being west region with only 41.13% tickets meeting the SLA.</t>
  </si>
  <si>
    <t xml:space="preserve">Connectivity &amp; Software accounted for the highest volume of tickets. </t>
  </si>
  <si>
    <t xml:space="preserve">Amazon Ltd has 98 tickets representing 19.6%  of total support requests. </t>
  </si>
  <si>
    <t xml:space="preserve">A further root cause review with Amazon may be required to asses if there is a need for proactive engagement for this account. </t>
  </si>
  <si>
    <t xml:space="preserve">High volume of tickets may mean it is a priority customer which may require timely resolution of the issue. If not met, may result in SLA misses.  </t>
  </si>
  <si>
    <t xml:space="preserve">Highest Tickets Category </t>
  </si>
  <si>
    <t>Highest Workload Department</t>
  </si>
  <si>
    <t>Lowest Performing Region</t>
  </si>
  <si>
    <t>Highest CSAT Agent</t>
  </si>
  <si>
    <t>Lowest CSAT Agent</t>
  </si>
  <si>
    <t>10.40 Hrs</t>
  </si>
  <si>
    <t xml:space="preserve">Connectivity &amp; Software - 35.60% </t>
  </si>
  <si>
    <t xml:space="preserve">Network team - 178 Tickets </t>
  </si>
  <si>
    <t>West - 41.1% SLA</t>
  </si>
  <si>
    <t>Sarah - 3.67</t>
  </si>
  <si>
    <t>James - 2.78</t>
  </si>
  <si>
    <t xml:space="preserve"> Management should review staffing levels and workload distribution before onboarding additional enterprise customers.</t>
  </si>
  <si>
    <t>Continued SLA degradation in the West region could increase customer dissatisfaction, breach contractual commitments, and result in higher support costs.</t>
  </si>
  <si>
    <t>Star Printers</t>
  </si>
  <si>
    <t>Enterprise Support Operations Dashboard</t>
  </si>
  <si>
    <t>Reporting Period</t>
  </si>
  <si>
    <t>Jan - Mar 2026</t>
  </si>
  <si>
    <t xml:space="preserve">Total Tickets  </t>
  </si>
  <si>
    <t>SLA Compliance</t>
  </si>
  <si>
    <t>Average Time</t>
  </si>
  <si>
    <t>Customer Rating</t>
  </si>
  <si>
    <t>10.4 Hrs</t>
  </si>
  <si>
    <t>Agnets</t>
  </si>
  <si>
    <t>Accounts</t>
  </si>
  <si>
    <t>SLA_Score</t>
  </si>
  <si>
    <t>Average of SLA_Score</t>
  </si>
  <si>
    <t>Temporary Workaround</t>
  </si>
  <si>
    <t>Retained as blank - no response</t>
  </si>
  <si>
    <t>Accepted</t>
  </si>
  <si>
    <t>Created Calculated_SLA field</t>
  </si>
  <si>
    <t xml:space="preserve">Resolved for reporting </t>
  </si>
  <si>
    <t>Data Cleaning Log</t>
  </si>
  <si>
    <t>Post-Cleaning Validation</t>
  </si>
  <si>
    <t>15 accepted - no response</t>
  </si>
  <si>
    <t>Source SLA Mismatches</t>
  </si>
  <si>
    <t>12 documented</t>
  </si>
  <si>
    <t>Subcategory</t>
  </si>
  <si>
    <t>Resolution_Time</t>
  </si>
  <si>
    <t>SLA_Target</t>
  </si>
  <si>
    <t>Customer_rating</t>
  </si>
  <si>
    <t>Resolution_type</t>
  </si>
  <si>
    <t>SLA_score</t>
  </si>
  <si>
    <t>Subcategory_Validation</t>
  </si>
  <si>
    <t>2026-03-21 13:21:00</t>
  </si>
  <si>
    <t>2026-03-17 16:17:00</t>
  </si>
  <si>
    <t>2026-03-25 14:25:00</t>
  </si>
  <si>
    <t>2026-03-22 08:22:00</t>
  </si>
  <si>
    <t>2026-01-27 12:27:00</t>
  </si>
  <si>
    <t>2026-01-17 11:17:00</t>
  </si>
  <si>
    <t>2026-03-17 13:17:00</t>
  </si>
  <si>
    <t>2026-03-20 14:20:00</t>
  </si>
  <si>
    <t>2026-02-09 13:09:00</t>
  </si>
  <si>
    <t>2026-03-09 13:09:00</t>
  </si>
  <si>
    <t>2026-03-05 16:05:00</t>
  </si>
  <si>
    <t>2026-02-11 09:11:00</t>
  </si>
  <si>
    <t>2026-01-31 17:31:00</t>
  </si>
  <si>
    <t>2026-01-22 13:22:00</t>
  </si>
  <si>
    <t>2026-03-25 15:25:00</t>
  </si>
  <si>
    <t>2026-02-15 15:15:00</t>
  </si>
  <si>
    <t>2026-01-06 12:06:00</t>
  </si>
  <si>
    <t>2026-03-13 08:13:00</t>
  </si>
  <si>
    <t>2026-01-07 12:07:00</t>
  </si>
  <si>
    <t>2026-01-17 13:17:00</t>
  </si>
  <si>
    <t>2026-02-21 11:21:00</t>
  </si>
  <si>
    <t>2026-02-12 11:12:00</t>
  </si>
  <si>
    <t>2026-02-21 17:21:00</t>
  </si>
  <si>
    <t>2026-02-16 13:16:00</t>
  </si>
  <si>
    <t>2026-03-25 17:25:00</t>
  </si>
  <si>
    <t>2026-03-18 14:18:00</t>
  </si>
  <si>
    <t>2026-01-14 16:14:00</t>
  </si>
  <si>
    <t>2026-03-03 13:03:00</t>
  </si>
  <si>
    <t>2026-01-20 13:20:00</t>
  </si>
  <si>
    <t>2026-03-11 09:11:00</t>
  </si>
  <si>
    <t>2026-03-13 15:13:00</t>
  </si>
  <si>
    <t>2026-01-11 15:11:00</t>
  </si>
  <si>
    <t>2026-03-26 14:26:00</t>
  </si>
  <si>
    <t>2026-02-12 08:12:00</t>
  </si>
  <si>
    <t>2026-02-06 16:06:00</t>
  </si>
  <si>
    <t>2026-03-15 08:15:00</t>
  </si>
  <si>
    <t>2026-03-04 13:04:00</t>
  </si>
  <si>
    <t>2026-02-27 08:27:00</t>
  </si>
  <si>
    <t>2026-01-27 14:27:00</t>
  </si>
  <si>
    <t>2026-02-27 09:27:00</t>
  </si>
  <si>
    <t>2026-03-21 08:21:00</t>
  </si>
  <si>
    <t>2026-01-17 09:17:00</t>
  </si>
  <si>
    <t>2026-01-12 11:12:00</t>
  </si>
  <si>
    <t>2026-03-05 17:05:00</t>
  </si>
  <si>
    <t>2026-03-30 13:30:00</t>
  </si>
  <si>
    <t>2026-02-20 14:20:00</t>
  </si>
  <si>
    <t>2026-03-02 10:02:00</t>
  </si>
  <si>
    <t>2026-03-27 11:27:00</t>
  </si>
  <si>
    <t>2026-01-19 16:19:00</t>
  </si>
  <si>
    <t>2026-03-26 10:26:00</t>
  </si>
  <si>
    <t>2026-03-05 08:05:00</t>
  </si>
  <si>
    <t>2026-02-10 14:10:00</t>
  </si>
  <si>
    <t>2026-01-09 14:09:00</t>
  </si>
  <si>
    <t>2026-02-17 11:17:00</t>
  </si>
  <si>
    <t>2026-01-16 15:16:00</t>
  </si>
  <si>
    <t>2026-03-24 10:24:00</t>
  </si>
  <si>
    <t>2026-03-06 12:06:00</t>
  </si>
  <si>
    <t>2026-03-18 09:18:00</t>
  </si>
  <si>
    <t>2026-01-20 08:20:00</t>
  </si>
  <si>
    <t>2026-01-19 09:19:00</t>
  </si>
  <si>
    <t>2026-02-01 08:01:00</t>
  </si>
  <si>
    <t>2026-02-27 14:27:00</t>
  </si>
  <si>
    <t>2026-02-28 08:28:00</t>
  </si>
  <si>
    <t>2026-03-08 10:08:00</t>
  </si>
  <si>
    <t>2026-03-09 15:09:00</t>
  </si>
  <si>
    <t>2026-03-12 17:12:00</t>
  </si>
  <si>
    <t>2026-03-27 14:27:00</t>
  </si>
  <si>
    <t>2026-03-08 15:08:00</t>
  </si>
  <si>
    <t>2026-02-08 16:08:00</t>
  </si>
  <si>
    <t>2026-01-18 14:18:00</t>
  </si>
  <si>
    <t>2026-02-22 15:22:00</t>
  </si>
  <si>
    <t>2026-01-23 08:23:00</t>
  </si>
  <si>
    <t>2026-03-18 17:18:00</t>
  </si>
  <si>
    <t>2026-01-03 17:03:00</t>
  </si>
  <si>
    <t>2026-02-11 08:11:00</t>
  </si>
  <si>
    <t>2026-03-25 09:25:00</t>
  </si>
  <si>
    <t>2026-03-24 12:24:00</t>
  </si>
  <si>
    <t>2026-03-03 11:03:00</t>
  </si>
  <si>
    <t>2026-03-21 17:21:00</t>
  </si>
  <si>
    <t>2026-03-01 08:01:00</t>
  </si>
  <si>
    <t>2026-03-17 08:17:00</t>
  </si>
  <si>
    <t>2026-02-28 11:28:00</t>
  </si>
  <si>
    <t>2026-02-22 09:22:00</t>
  </si>
  <si>
    <t>2026-03-31 10:31:00</t>
  </si>
  <si>
    <t>2026-01-13 16:13:00</t>
  </si>
  <si>
    <t>2026-01-18 15:18:00</t>
  </si>
  <si>
    <t>2026-01-11 09:11:00</t>
  </si>
  <si>
    <t>2026-01-10 09:10:00</t>
  </si>
  <si>
    <t>2026-01-14 13:14:00</t>
  </si>
  <si>
    <t>2026-03-01 13:01:00</t>
  </si>
  <si>
    <t>2026-02-13 15:13:00</t>
  </si>
  <si>
    <t>2026-01-21 12:21:00</t>
  </si>
  <si>
    <t>2026-02-26 13:26:00</t>
  </si>
  <si>
    <t>2026-01-19 08:19:00</t>
  </si>
  <si>
    <t>2026-03-13 10:13:00</t>
  </si>
  <si>
    <t>2026-03-11 15:11:00</t>
  </si>
  <si>
    <t>2026-01-17 08:17:00</t>
  </si>
  <si>
    <t>2026-01-31 08:31:00</t>
  </si>
  <si>
    <t>2026-03-12 14:12:00</t>
  </si>
  <si>
    <t>2026-03-06 17:06:00</t>
  </si>
  <si>
    <t>2026-03-30 14:30:00</t>
  </si>
  <si>
    <t>2026-01-27 09:27:00</t>
  </si>
  <si>
    <t>2026-03-10 13:10:00</t>
  </si>
  <si>
    <t>2026-02-01 13:01:00</t>
  </si>
  <si>
    <t>2026-02-13 11:13:00</t>
  </si>
  <si>
    <t>2026-01-07 11:07:00</t>
  </si>
  <si>
    <t>2026-01-04 17:04:00</t>
  </si>
  <si>
    <t>2026-01-21 14:21:00</t>
  </si>
  <si>
    <t>2026-01-22 10:22:00</t>
  </si>
  <si>
    <t>2026-02-07 17:07:00</t>
  </si>
  <si>
    <t>2026-01-11 14:11:00</t>
  </si>
  <si>
    <t>2026-03-01 09:01:00</t>
  </si>
  <si>
    <t>2026-02-03 16:03:00</t>
  </si>
  <si>
    <t>2026-01-10 11:10:00</t>
  </si>
  <si>
    <t>2026-02-03 17:03:00</t>
  </si>
  <si>
    <t>2026-02-04 13:04:00</t>
  </si>
  <si>
    <t>2026-03-09 09:09:00</t>
  </si>
  <si>
    <t>2026-03-04 09:04:00</t>
  </si>
  <si>
    <t>2026-01-23 14:23:00</t>
  </si>
  <si>
    <t>2026-03-17 15:17:00</t>
  </si>
  <si>
    <t>2026-02-28 09:28:00</t>
  </si>
  <si>
    <t>2026-01-28 13:28:00</t>
  </si>
  <si>
    <t>2026-02-25 15:25:00</t>
  </si>
  <si>
    <t>2026-02-02 14:02:00</t>
  </si>
  <si>
    <t>2026-01-21 17:21:00</t>
  </si>
  <si>
    <t>2026-03-21 10:21:00</t>
  </si>
  <si>
    <t>2026-01-29 17:29:00</t>
  </si>
  <si>
    <t>2026-03-03 09:03:00</t>
  </si>
  <si>
    <t>2026-01-24 08:24:00</t>
  </si>
  <si>
    <t>2026-02-19 08:19:00</t>
  </si>
  <si>
    <t>2026-02-12 12:12:00</t>
  </si>
  <si>
    <t>2026-03-29 13:29:00</t>
  </si>
  <si>
    <t>2026-03-10 15:10:00</t>
  </si>
  <si>
    <t>2026-03-13 13:13:00</t>
  </si>
  <si>
    <t>2026-02-26 16:26:00</t>
  </si>
  <si>
    <t>2026-02-16 11:16:00</t>
  </si>
  <si>
    <t>2026-03-24 16:24:00</t>
  </si>
  <si>
    <t>2026-03-15 13:15:00</t>
  </si>
  <si>
    <t>2026-01-19 13:19:00</t>
  </si>
  <si>
    <t>2026-02-10 15:10:00</t>
  </si>
  <si>
    <t>2026-01-13 08:13:00</t>
  </si>
  <si>
    <t>2026-03-09 17:09:00</t>
  </si>
  <si>
    <t>2026-01-03 13:03:00</t>
  </si>
  <si>
    <t>2026-03-15 15:15:00</t>
  </si>
  <si>
    <t>2026-02-25 09:25:00</t>
  </si>
  <si>
    <t>2026-03-24 08:24:00</t>
  </si>
  <si>
    <t>2026-02-16 17:16:00</t>
  </si>
  <si>
    <t>2026-02-07 12:07:00</t>
  </si>
  <si>
    <t>2026-03-23 16:23:00</t>
  </si>
  <si>
    <t>2026-01-08 10:08:00</t>
  </si>
  <si>
    <t>2026-02-01 15:01:00</t>
  </si>
  <si>
    <t>2026-01-25 17:25:00</t>
  </si>
  <si>
    <t>2026-02-05 09:05:00</t>
  </si>
  <si>
    <t>2026-02-02 10:02:00</t>
  </si>
  <si>
    <t>2026-02-23 08:23:00</t>
  </si>
  <si>
    <t>2026-03-09 12:09:00</t>
  </si>
  <si>
    <t>2026-01-14 12:14:00</t>
  </si>
  <si>
    <t>2026-02-04 17:04:00</t>
  </si>
  <si>
    <t>2026-02-11 12:11:00</t>
  </si>
  <si>
    <t>2026-03-14 12:14:00</t>
  </si>
  <si>
    <t>2026-03-21 12:21:00</t>
  </si>
  <si>
    <t>2026-03-03 10:03:00</t>
  </si>
  <si>
    <t>2026-03-16 09:16:00</t>
  </si>
  <si>
    <t>2026-02-12 17:12:00</t>
  </si>
  <si>
    <t>2026-01-26 11:26:00</t>
  </si>
  <si>
    <t>2026-02-24 15:24:00</t>
  </si>
  <si>
    <t>2026-01-07 09:07:00</t>
  </si>
  <si>
    <t>2026-02-19 09:19:00</t>
  </si>
  <si>
    <t>2026-02-15 08:15:00</t>
  </si>
  <si>
    <t>2026-03-25 13:25:00</t>
  </si>
  <si>
    <t>2026-02-23 17:23:00</t>
  </si>
  <si>
    <t>2026-02-21 08:21:00</t>
  </si>
  <si>
    <t>2026-03-20 15:20:00</t>
  </si>
  <si>
    <t>2026-03-16 16:16:00</t>
  </si>
  <si>
    <t>2026-03-29 10:29:00</t>
  </si>
  <si>
    <t>2026-03-07 13:07:00</t>
  </si>
  <si>
    <t>2026-01-26 14:26:00</t>
  </si>
  <si>
    <t>2026-01-29 12:29:00</t>
  </si>
  <si>
    <t>2026-02-08 08:08:00</t>
  </si>
  <si>
    <t>2026-02-27 11:27:00</t>
  </si>
  <si>
    <t>2026-02-12 15:12:00</t>
  </si>
  <si>
    <t>2026-03-30 15:30:00</t>
  </si>
  <si>
    <t>2026-01-29 15:29:00</t>
  </si>
  <si>
    <t>2026-02-20 17:20:00</t>
  </si>
  <si>
    <t>2026-02-16 12:16:00</t>
  </si>
  <si>
    <t>2026-02-15 09:15:00</t>
  </si>
  <si>
    <t>2026-03-17 17:17:00</t>
  </si>
  <si>
    <t>2026-02-14 14:14:00</t>
  </si>
  <si>
    <t>2026-03-16 14:16:00</t>
  </si>
  <si>
    <t>2026-02-05 10:05:00</t>
  </si>
  <si>
    <t>2026-03-12 15:12:00</t>
  </si>
  <si>
    <t>2026-03-05 13:05:00</t>
  </si>
  <si>
    <t>2026-03-22 14:22:00</t>
  </si>
  <si>
    <t>2026-01-25 11:25:00</t>
  </si>
  <si>
    <t>2026-03-20 10:20:00</t>
  </si>
  <si>
    <t>2026-03-29 12:29:00</t>
  </si>
  <si>
    <t>2026-03-17 11:17:00</t>
  </si>
  <si>
    <t>2026-01-21 13:21:00</t>
  </si>
  <si>
    <t>2026-01-02 14:02:00</t>
  </si>
  <si>
    <t>2026-03-26 16:26:00</t>
  </si>
  <si>
    <t>2026-03-26 08:26:00</t>
  </si>
  <si>
    <t>2026-02-21 10:21:00</t>
  </si>
  <si>
    <t>2026-02-02 16:02:00</t>
  </si>
  <si>
    <t>2026-03-02 16:02:00</t>
  </si>
  <si>
    <t>2026-02-07 11:07:00</t>
  </si>
  <si>
    <t>2026-01-31 12:31:00</t>
  </si>
  <si>
    <t>2026-03-20 08:20:00</t>
  </si>
  <si>
    <t>2026-03-28 17:28:00</t>
  </si>
  <si>
    <t>2026-01-01 14:01:00</t>
  </si>
  <si>
    <t>2026-03-12 16:12:00</t>
  </si>
  <si>
    <t>2026-02-13 16:13:00</t>
  </si>
  <si>
    <t>2026-02-14 09:14:00</t>
  </si>
  <si>
    <t>2026-03-08 08:08:00</t>
  </si>
  <si>
    <t>2026-03-16 11:16:00</t>
  </si>
  <si>
    <t>2026-02-19 11:19:00</t>
  </si>
  <si>
    <t>2026-03-09 14:09:00</t>
  </si>
  <si>
    <t>2026-01-30 09:30:00</t>
  </si>
  <si>
    <t>2026-02-03 08:03:00</t>
  </si>
  <si>
    <t>2026-03-28 14:28:00</t>
  </si>
  <si>
    <t>2026-03-25 08:25:00</t>
  </si>
  <si>
    <t>2026-03-17 12:17:00</t>
  </si>
  <si>
    <t>2026-03-10 14:10:00</t>
  </si>
  <si>
    <t>2026-03-15 10:15:00</t>
  </si>
  <si>
    <t>2026-03-28 11:28:00</t>
  </si>
  <si>
    <t>2026-02-08 11:08:00</t>
  </si>
  <si>
    <t>2026-02-14 16:14:00</t>
  </si>
  <si>
    <t>2026-01-01 13:01:00</t>
  </si>
  <si>
    <t>2026-03-04 08:04:00</t>
  </si>
  <si>
    <t>2026-03-17 09:17:00</t>
  </si>
  <si>
    <t>2026-02-02 12:02:00</t>
  </si>
  <si>
    <t>2026-03-09 16:09:00</t>
  </si>
  <si>
    <t>2026-03-08 09:08:00</t>
  </si>
  <si>
    <t>2026-01-13 12:13:00</t>
  </si>
  <si>
    <t>2026-03-13 12:13:00</t>
  </si>
  <si>
    <t>2026-02-15 14:15:00</t>
  </si>
  <si>
    <t>2026-03-11 11:11:00</t>
  </si>
  <si>
    <t>2026-01-15 15:15:00</t>
  </si>
  <si>
    <t>2026-03-04 15:04:00</t>
  </si>
  <si>
    <t>2026-01-27 13:27:00</t>
  </si>
  <si>
    <t>2026-01-24 14:24:00</t>
  </si>
  <si>
    <t>2026-03-23 10:23:00</t>
  </si>
  <si>
    <t>2026-02-09 15:09:00</t>
  </si>
  <si>
    <t>2026-01-28 10:28:00</t>
  </si>
  <si>
    <t>2026-02-06 11:06:00</t>
  </si>
  <si>
    <t>2026-02-25 16:25:00</t>
  </si>
  <si>
    <t>2026-03-01 17:01:00</t>
  </si>
  <si>
    <t>2026-02-12 09:12:00</t>
  </si>
  <si>
    <t>2026-02-05 14:05:00</t>
  </si>
  <si>
    <t>2026-03-07 12:07:00</t>
  </si>
  <si>
    <t>2026-03-14 15:14:00</t>
  </si>
  <si>
    <t>2026-02-05 12:05:00</t>
  </si>
  <si>
    <t>2026-02-18 09:18:00</t>
  </si>
  <si>
    <t>2026-01-03 08:03:00</t>
  </si>
  <si>
    <t>2026-03-14 08:14:00</t>
  </si>
  <si>
    <t>2026-03-19 11:19:00</t>
  </si>
  <si>
    <t>2026-02-21 12:21:00</t>
  </si>
  <si>
    <t>2026-02-20 11:20:00</t>
  </si>
  <si>
    <t>2026-02-17 10:17:00</t>
  </si>
  <si>
    <t>2026-02-12 10:12:00</t>
  </si>
  <si>
    <t>2026-01-09 10:09:00</t>
  </si>
  <si>
    <t>2026-02-23 12:23:00</t>
  </si>
  <si>
    <t>2026-02-09 16:09:00</t>
  </si>
  <si>
    <t>2026-03-27 16:27:00</t>
  </si>
  <si>
    <t>2026-03-12 10:12:00</t>
  </si>
  <si>
    <t>2026-03-23 15:23:00</t>
  </si>
  <si>
    <t>2026-01-22 14:22:00</t>
  </si>
  <si>
    <t>2026-01-14 10:14:00</t>
  </si>
  <si>
    <t>2026-03-28 15:28:00</t>
  </si>
  <si>
    <t>2026-03-19 16:19:00</t>
  </si>
  <si>
    <t>2026-03-23 09:23:00</t>
  </si>
  <si>
    <t>2026-03-23 12:23:00</t>
  </si>
  <si>
    <t>2026-03-13 11:13:00</t>
  </si>
  <si>
    <t>2026-03-19 15:19:00</t>
  </si>
  <si>
    <t>2026-03-11 16:11:00</t>
  </si>
  <si>
    <t>2026-03-09 08:09:00</t>
  </si>
  <si>
    <t>2026-03-21 14:21:00</t>
  </si>
  <si>
    <t>2026-02-02 08:02:00</t>
  </si>
  <si>
    <t>2026-01-29 11:29:00</t>
  </si>
  <si>
    <t>2026-01-30 16:30:00</t>
  </si>
  <si>
    <t>2026-03-29 14:29:00</t>
  </si>
  <si>
    <t>2026-01-08 15:08:00</t>
  </si>
  <si>
    <t>2026-03-04 14:04:00</t>
  </si>
  <si>
    <t>2026-01-16 08:16:00</t>
  </si>
  <si>
    <t>2026-03-07 08:07:00</t>
  </si>
  <si>
    <t>2026-03-16 08:16:00</t>
  </si>
  <si>
    <t>2026-02-02 11:02:00</t>
  </si>
  <si>
    <t>2026-03-19 09:19:00</t>
  </si>
  <si>
    <t>2026-03-14 11:14:00</t>
  </si>
  <si>
    <t>2026-02-20 16:20:00</t>
  </si>
  <si>
    <t>2026-03-29 09:29:00</t>
  </si>
  <si>
    <t>2026-01-19 10:19:00</t>
  </si>
  <si>
    <t>2026-03-15 14:15:00</t>
  </si>
  <si>
    <t>2026-03-17 14:17:00</t>
  </si>
  <si>
    <t>2026-03-15 12:15:00</t>
  </si>
  <si>
    <t>2026-03-14 14:14:00</t>
  </si>
  <si>
    <t>2026-01-24 15:24:00</t>
  </si>
  <si>
    <t>2026-01-14 09:14:00</t>
  </si>
  <si>
    <t>2026-02-18 14:18:00</t>
  </si>
  <si>
    <t>2026-02-10 10:10:00</t>
  </si>
  <si>
    <t>2026-03-11 10:11:00</t>
  </si>
  <si>
    <t>2026-03-03 14:03:00</t>
  </si>
  <si>
    <t>2026-02-21 09:21:00</t>
  </si>
  <si>
    <t>2026-01-04 16:04:00</t>
  </si>
  <si>
    <t>2026-01-03 10:03:00</t>
  </si>
  <si>
    <t>2026-02-28 16:28:00</t>
  </si>
  <si>
    <t>2026-01-02 11:02:00</t>
  </si>
  <si>
    <t>2026-02-17 12:17:00</t>
  </si>
  <si>
    <t>2026-03-22 12:22:00</t>
  </si>
  <si>
    <t>2026-03-15 09:15:00</t>
  </si>
  <si>
    <t>2026-02-08 12:08:00</t>
  </si>
  <si>
    <t>2026-02-24 16:24:00</t>
  </si>
  <si>
    <t>2026-01-13 17:13:00</t>
  </si>
  <si>
    <t>2026-03-25 10:25:00</t>
  </si>
  <si>
    <t>2026-03-02 17:02:00</t>
  </si>
  <si>
    <t>2026-01-23 17:23:00</t>
  </si>
  <si>
    <t>2026-01-07 13:07:00</t>
  </si>
  <si>
    <t>2026-01-25 10:25:00</t>
  </si>
  <si>
    <t>2026-03-02 12:02:00</t>
  </si>
  <si>
    <t>2026-02-11 15:11:00</t>
  </si>
  <si>
    <t>2026-01-26 17:26:00</t>
  </si>
  <si>
    <t>2026-02-18 16:18:00</t>
  </si>
  <si>
    <t>2026-01-26 08:26:00</t>
  </si>
  <si>
    <t>2026-03-21 15:21:00</t>
  </si>
  <si>
    <t>2026-02-06 13:06:00</t>
  </si>
  <si>
    <t>2026-01-15 10:15:00</t>
  </si>
  <si>
    <t>2026-01-18 12:18:00</t>
  </si>
  <si>
    <t>2026-02-10 17:10:00</t>
  </si>
  <si>
    <t>2026-01-04 10:04:00</t>
  </si>
  <si>
    <t>2026-02-20 08:20:00</t>
  </si>
  <si>
    <t>2026-03-20 09:20:00</t>
  </si>
  <si>
    <t>2026-03-22 11:22:00</t>
  </si>
  <si>
    <t>2026-01-09 16:09:00</t>
  </si>
  <si>
    <t>2026-03-27 09:27:00</t>
  </si>
  <si>
    <t>2026-02-04 15:04:00</t>
  </si>
  <si>
    <t>2026-01-15 13:15:00</t>
  </si>
  <si>
    <t>2026-02-20 10:20:00</t>
  </si>
  <si>
    <t>2026-01-11 16:11:00</t>
  </si>
  <si>
    <t>2026-03-14 09:14:00</t>
  </si>
  <si>
    <t>2026-01-23 12:23:00</t>
  </si>
  <si>
    <t>2026-02-16 08:16:00</t>
  </si>
  <si>
    <t>2026-03-09 11:09:00</t>
  </si>
  <si>
    <t>2026-01-09 09:09:00</t>
  </si>
  <si>
    <t>2026-02-27 13:27:00</t>
  </si>
  <si>
    <t>2026-02-19 16:19:00</t>
  </si>
  <si>
    <t>2026-03-05 12:05:00</t>
  </si>
  <si>
    <t>2026-01-05 15:05:00</t>
  </si>
  <si>
    <t>2026-03-16 13:16:00</t>
  </si>
  <si>
    <t>2026-01-05 09:05:00</t>
  </si>
  <si>
    <t>2026-02-28 17:28:00</t>
  </si>
  <si>
    <t>2026-01-26 16:26:00</t>
  </si>
  <si>
    <t>2026-02-19 17:19:00</t>
  </si>
  <si>
    <t>2026-02-26 11:26:00</t>
  </si>
  <si>
    <t>2026-03-07 14:07:00</t>
  </si>
  <si>
    <t>2026-03-22 15:22:00</t>
  </si>
  <si>
    <t>2026-01-07 14:07:00</t>
  </si>
  <si>
    <t>2026-01-24 17:24:00</t>
  </si>
  <si>
    <t>2026-03-05 10:05:00</t>
  </si>
  <si>
    <t>2026-03-30 11:30:00</t>
  </si>
  <si>
    <t>2026-02-13 08:13:00</t>
  </si>
  <si>
    <t>2026-02-04 14:04:00</t>
  </si>
  <si>
    <t>2026-02-13 12:13:00</t>
  </si>
  <si>
    <t>2026-03-30 17:30:00</t>
  </si>
  <si>
    <t>2026-03-27 12:27:00</t>
  </si>
  <si>
    <t>2026-02-02 17:02:00</t>
  </si>
  <si>
    <t>2026-02-21 15:21:00</t>
  </si>
  <si>
    <t>2026-01-13 11:13:00</t>
  </si>
  <si>
    <t>2026-02-06 15:06:00</t>
  </si>
  <si>
    <t>2026-03-18 07:18:00</t>
  </si>
  <si>
    <t>2026-03-21 18:21:00</t>
  </si>
  <si>
    <t>2026-03-25 18:25:00</t>
  </si>
  <si>
    <t>2026-01-27 22:27:00</t>
  </si>
  <si>
    <t>2026-01-17 23:17:00</t>
  </si>
  <si>
    <t>2026-03-21 03:21:00</t>
  </si>
  <si>
    <t>2026-03-17 23:17:00</t>
  </si>
  <si>
    <t>2026-02-10 04:10:00</t>
  </si>
  <si>
    <t>2026-03-10 03:10:00</t>
  </si>
  <si>
    <t>2026-03-06 05:06:00</t>
  </si>
  <si>
    <t>2026-02-11 22:11:00</t>
  </si>
  <si>
    <t>2026-02-01 02:01:00</t>
  </si>
  <si>
    <t>2026-01-22 17:22:00</t>
  </si>
  <si>
    <t>2026-03-26 00:26:00</t>
  </si>
  <si>
    <t>2026-02-15 20:15:00</t>
  </si>
  <si>
    <t>2026-01-06 21:06:00</t>
  </si>
  <si>
    <t>2026-03-13 14:13:00</t>
  </si>
  <si>
    <t>2026-01-07 17:07:00</t>
  </si>
  <si>
    <t>2026-01-17 22:17:00</t>
  </si>
  <si>
    <t>2026-02-21 18:21:00</t>
  </si>
  <si>
    <t>2026-02-12 20:12:00</t>
  </si>
  <si>
    <t>2026-02-22 01:22:00</t>
  </si>
  <si>
    <t>2026-02-17 03:17:00</t>
  </si>
  <si>
    <t>2026-03-26 02:26:00</t>
  </si>
  <si>
    <t>2026-03-18 21:18:00</t>
  </si>
  <si>
    <t>2026-01-15 01:15:00</t>
  </si>
  <si>
    <t>2026-03-04 02:04:00</t>
  </si>
  <si>
    <t>2026-01-21 05:21:00</t>
  </si>
  <si>
    <t>2026-03-11 14:11:00</t>
  </si>
  <si>
    <t>2026-01-12 02:12:00</t>
  </si>
  <si>
    <t>2026-03-26 20:26:00</t>
  </si>
  <si>
    <t>2026-02-07 01:07:00</t>
  </si>
  <si>
    <t>2026-03-15 17:15:00</t>
  </si>
  <si>
    <t>2026-03-04 17:04:00</t>
  </si>
  <si>
    <t>2026-02-27 17:27:00</t>
  </si>
  <si>
    <t>2026-01-27 23:27:00</t>
  </si>
  <si>
    <t>2026-02-27 18:27:00</t>
  </si>
  <si>
    <t>2026-03-21 20:21:00</t>
  </si>
  <si>
    <t>2026-01-17 19:17:00</t>
  </si>
  <si>
    <t>2026-01-12 16:12:00</t>
  </si>
  <si>
    <t>2026-03-06 14:06:00</t>
  </si>
  <si>
    <t>2026-03-31 11:31:00</t>
  </si>
  <si>
    <t>2026-02-20 20:20:00</t>
  </si>
  <si>
    <t>2026-03-02 20:02:00</t>
  </si>
  <si>
    <t>2026-03-27 20:27:00</t>
  </si>
  <si>
    <t>2026-01-20 05:20:00</t>
  </si>
  <si>
    <t>2026-02-27 16:27:00</t>
  </si>
  <si>
    <t>2026-03-04 20:04:00</t>
  </si>
  <si>
    <t>2026-03-26 22:26:00</t>
  </si>
  <si>
    <t>2026-03-05 15:05:00</t>
  </si>
  <si>
    <t>2026-01-09 23:09:00</t>
  </si>
  <si>
    <t>2026-02-17 19:17:00</t>
  </si>
  <si>
    <t>2026-01-17 01:17:00</t>
  </si>
  <si>
    <t>2026-03-25 01:25:00</t>
  </si>
  <si>
    <t>2026-03-07 06:07:00</t>
  </si>
  <si>
    <t>2026-03-18 12:18:00</t>
  </si>
  <si>
    <t>2026-01-20 20:20:00</t>
  </si>
  <si>
    <t>2026-01-19 21:19:00</t>
  </si>
  <si>
    <t>2026-02-01 12:01:00</t>
  </si>
  <si>
    <t>2026-02-28 23:28:00</t>
  </si>
  <si>
    <t>2026-03-08 18:08:00</t>
  </si>
  <si>
    <t>2026-03-10 00:10:00</t>
  </si>
  <si>
    <t>2026-03-13 05:13:00</t>
  </si>
  <si>
    <t>2026-03-24 15:24:00</t>
  </si>
  <si>
    <t>2026-03-27 19:27:00</t>
  </si>
  <si>
    <t>2026-03-08 21:08:00</t>
  </si>
  <si>
    <t>2026-02-09 04:09:00</t>
  </si>
  <si>
    <t>2026-03-21 22:21:00</t>
  </si>
  <si>
    <t>2026-01-18 21:18:00</t>
  </si>
  <si>
    <t>2026-02-23 00:23:00</t>
  </si>
  <si>
    <t>2026-01-23 21:23:00</t>
  </si>
  <si>
    <t>2026-01-03 23:03:00</t>
  </si>
  <si>
    <t>2026-02-11 13:11:00</t>
  </si>
  <si>
    <t>2026-03-24 17:24:00</t>
  </si>
  <si>
    <t>2026-03-03 23:03:00</t>
  </si>
  <si>
    <t>2026-03-22 01:22:00</t>
  </si>
  <si>
    <t>2026-03-01 20:01:00</t>
  </si>
  <si>
    <t>2026-03-17 18:17:00</t>
  </si>
  <si>
    <t>2026-03-01 00:01:00</t>
  </si>
  <si>
    <t>2026-02-22 17:22:00</t>
  </si>
  <si>
    <t>2026-03-20 20:20:00</t>
  </si>
  <si>
    <t>2026-03-31 23:31:00</t>
  </si>
  <si>
    <t>2026-01-14 05:14:00</t>
  </si>
  <si>
    <t>2026-01-19 01:19:00</t>
  </si>
  <si>
    <t>2026-01-12 00:12:00</t>
  </si>
  <si>
    <t>2026-01-11 02:11:00</t>
  </si>
  <si>
    <t>2026-01-14 21:14:00</t>
  </si>
  <si>
    <t>2026-03-01 22:01:00</t>
  </si>
  <si>
    <t>2026-02-13 23:13:00</t>
  </si>
  <si>
    <t>2026-02-26 22:26:00</t>
  </si>
  <si>
    <t>2026-03-05 01:05:00</t>
  </si>
  <si>
    <t>2026-01-19 14:19:00</t>
  </si>
  <si>
    <t>2026-03-26 06:26:00</t>
  </si>
  <si>
    <t>2026-03-12 01:12:00</t>
  </si>
  <si>
    <t>2026-02-01 01:01:00</t>
  </si>
  <si>
    <t>2026-02-17 21:17:00</t>
  </si>
  <si>
    <t>2026-03-12 23:12:00</t>
  </si>
  <si>
    <t>2026-03-13 20:13:00</t>
  </si>
  <si>
    <t>2026-03-07 02:07:00</t>
  </si>
  <si>
    <t>2026-03-30 23:30:00</t>
  </si>
  <si>
    <t>2026-03-10 21:10:00</t>
  </si>
  <si>
    <t>2026-02-02 00:02:00</t>
  </si>
  <si>
    <t>2026-02-14 00:14:00</t>
  </si>
  <si>
    <t>2026-01-08 02:08:00</t>
  </si>
  <si>
    <t>2026-01-05 13:05:00</t>
  </si>
  <si>
    <t>2026-01-22 03:22:00</t>
  </si>
  <si>
    <t>2026-01-23 06:23:00</t>
  </si>
  <si>
    <t>2026-02-08 10:08:00</t>
  </si>
  <si>
    <t>2026-01-11 19:11:00</t>
  </si>
  <si>
    <t>2026-03-01 21:01:00</t>
  </si>
  <si>
    <t>2026-02-04 04:04:00</t>
  </si>
  <si>
    <t>2026-01-10 20:10:00</t>
  </si>
  <si>
    <t>2026-02-03 22:03:00</t>
  </si>
  <si>
    <t>2026-03-18 19:18:00</t>
  </si>
  <si>
    <t>2026-02-04 22:04:00</t>
  </si>
  <si>
    <t>2026-03-10 01:10:00</t>
  </si>
  <si>
    <t>2026-01-23 20:23:00</t>
  </si>
  <si>
    <t>2026-03-18 00:18:00</t>
  </si>
  <si>
    <t>2026-03-05 03:05:00</t>
  </si>
  <si>
    <t>2026-02-28 21:28:00</t>
  </si>
  <si>
    <t>2026-01-28 23:28:00</t>
  </si>
  <si>
    <t>2026-02-26 03:26:00</t>
  </si>
  <si>
    <t>2026-02-02 22:02:00</t>
  </si>
  <si>
    <t>2026-01-22 02:22:00</t>
  </si>
  <si>
    <t>2026-01-30 12:30:00</t>
  </si>
  <si>
    <t>2026-03-04 00:04:00</t>
  </si>
  <si>
    <t>2026-03-21 19:21:00</t>
  </si>
  <si>
    <t>2026-03-27 17:27:00</t>
  </si>
  <si>
    <t>2026-01-25 07:25:00</t>
  </si>
  <si>
    <t>2026-02-19 13:19:00</t>
  </si>
  <si>
    <t>2026-02-13 06:13:00</t>
  </si>
  <si>
    <t>2026-03-30 03:30:00</t>
  </si>
  <si>
    <t>2026-03-10 22:10:00</t>
  </si>
  <si>
    <t>2026-03-13 22:13:00</t>
  </si>
  <si>
    <t>2026-02-27 01:27:00</t>
  </si>
  <si>
    <t>2026-02-16 21:16:00</t>
  </si>
  <si>
    <t>2026-03-25 06:25:00</t>
  </si>
  <si>
    <t>2026-03-16 01:16:00</t>
  </si>
  <si>
    <t>2026-03-09 00:09:00</t>
  </si>
  <si>
    <t>2026-01-20 03:20:00</t>
  </si>
  <si>
    <t>2026-02-10 20:10:00</t>
  </si>
  <si>
    <t>2026-01-14 01:14:00</t>
  </si>
  <si>
    <t>2026-03-10 07:10:00</t>
  </si>
  <si>
    <t>2026-03-14 07:14:00</t>
  </si>
  <si>
    <t>2026-01-14 23:14:00</t>
  </si>
  <si>
    <t>2026-01-03 18:03:00</t>
  </si>
  <si>
    <t>2026-03-10 11:10:00</t>
  </si>
  <si>
    <t>2026-02-25 21:25:00</t>
  </si>
  <si>
    <t>2026-03-24 18:24:00</t>
  </si>
  <si>
    <t>2026-02-17 00:17:00</t>
  </si>
  <si>
    <t>2026-02-07 18:07:00</t>
  </si>
  <si>
    <t>2026-03-24 03:24:00</t>
  </si>
  <si>
    <t>2026-03-24 02:24:00</t>
  </si>
  <si>
    <t>2026-03-25 19:25:00</t>
  </si>
  <si>
    <t>2026-01-08 16:08:00</t>
  </si>
  <si>
    <t>2026-01-26 05:26:00</t>
  </si>
  <si>
    <t>2026-02-05 15:05:00</t>
  </si>
  <si>
    <t>2026-03-23 19:23:00</t>
  </si>
  <si>
    <t>2026-02-23 23:23:00</t>
  </si>
  <si>
    <t>2026-03-09 19:09:00</t>
  </si>
  <si>
    <t>2026-02-04 23:04:00</t>
  </si>
  <si>
    <t>2026-03-15 00:15:00</t>
  </si>
  <si>
    <t>2026-03-22 07:22:00</t>
  </si>
  <si>
    <t>2026-03-10 04:10:00</t>
  </si>
  <si>
    <t>2026-03-16 20:16:00</t>
  </si>
  <si>
    <t>2026-01-06 19:06:00</t>
  </si>
  <si>
    <t>2026-02-13 01:13:00</t>
  </si>
  <si>
    <t>2026-02-25 01:25:00</t>
  </si>
  <si>
    <t>2026-02-19 18:19:00</t>
  </si>
  <si>
    <t>2026-03-25 16:25:00</t>
  </si>
  <si>
    <t>2026-02-24 05:24:00</t>
  </si>
  <si>
    <t>2026-03-21 02:21:00</t>
  </si>
  <si>
    <t>2026-03-16 23:16:00</t>
  </si>
  <si>
    <t>2026-03-29 15:29:00</t>
  </si>
  <si>
    <t>2026-03-08 02:08:00</t>
  </si>
  <si>
    <t>2026-01-30 00:30:00</t>
  </si>
  <si>
    <t>2026-03-26 03:26:00</t>
  </si>
  <si>
    <t>2026-02-08 23:08:00</t>
  </si>
  <si>
    <t>2026-02-12 23:12:00</t>
  </si>
  <si>
    <t>2026-03-31 00:31:00</t>
  </si>
  <si>
    <t>2026-01-30 02:30:00</t>
  </si>
  <si>
    <t>2026-03-28 01:28:00</t>
  </si>
  <si>
    <t>2026-02-20 23:20:00</t>
  </si>
  <si>
    <t>2026-02-17 01:17:00</t>
  </si>
  <si>
    <t>2026-02-15 22:15:00</t>
  </si>
  <si>
    <t>2026-03-18 06:18:00</t>
  </si>
  <si>
    <t>2026-02-05 04:05:00</t>
  </si>
  <si>
    <t>2026-02-14 17:14:00</t>
  </si>
  <si>
    <t>2026-03-17 02:17:00</t>
  </si>
  <si>
    <t>2026-01-24 16:24:00</t>
  </si>
  <si>
    <t>2026-03-13 00:13:00</t>
  </si>
  <si>
    <t>2026-03-05 18:05:00</t>
  </si>
  <si>
    <t>2026-03-22 16:22:00</t>
  </si>
  <si>
    <t>2026-03-18 04:18:00</t>
  </si>
  <si>
    <t>2026-01-25 18:25:00</t>
  </si>
  <si>
    <t>2026-03-20 23:20:00</t>
  </si>
  <si>
    <t>2026-03-09 06:09:00</t>
  </si>
  <si>
    <t>2026-01-30 01:30:00</t>
  </si>
  <si>
    <t>2026-03-30 02:30:00</t>
  </si>
  <si>
    <t>2026-02-14 01:14:00</t>
  </si>
  <si>
    <t>2026-03-17 20:17:00</t>
  </si>
  <si>
    <t>2026-02-07 02:07:00</t>
  </si>
  <si>
    <t>2026-03-19 05:19:00</t>
  </si>
  <si>
    <t>2026-01-03 02:03:00</t>
  </si>
  <si>
    <t>2026-03-09 21:09:00</t>
  </si>
  <si>
    <t>2026-04-01 00:01:00</t>
  </si>
  <si>
    <t>2026-03-27 05:27:00</t>
  </si>
  <si>
    <t>2026-03-27 00:27:00</t>
  </si>
  <si>
    <t>2026-02-21 20:21:00</t>
  </si>
  <si>
    <t>2026-02-03 04:03:00</t>
  </si>
  <si>
    <t>2026-03-03 06:03:00</t>
  </si>
  <si>
    <t>2026-02-08 01:08:00</t>
  </si>
  <si>
    <t>2026-02-01 04:01:00</t>
  </si>
  <si>
    <t>2026-01-20 15:20:00</t>
  </si>
  <si>
    <t>2026-03-21 01:21:00</t>
  </si>
  <si>
    <t>2026-03-29 03:29:00</t>
  </si>
  <si>
    <t>2026-03-03 00:03:00</t>
  </si>
  <si>
    <t>2026-01-02 04:02:00</t>
  </si>
  <si>
    <t>2026-01-03 22:03:00</t>
  </si>
  <si>
    <t>2026-02-13 22:13:00</t>
  </si>
  <si>
    <t>2026-03-08 14:08:00</t>
  </si>
  <si>
    <t>2026-03-18 03:18:00</t>
  </si>
  <si>
    <t>2026-03-27 21:27:00</t>
  </si>
  <si>
    <t>2026-01-31 15:31:00</t>
  </si>
  <si>
    <t>2026-03-17 00:17:00</t>
  </si>
  <si>
    <t>2026-03-13 19:13:00</t>
  </si>
  <si>
    <t>2026-02-19 22:19:00</t>
  </si>
  <si>
    <t>2026-01-30 17:30:00</t>
  </si>
  <si>
    <t>2026-02-14 21:14:00</t>
  </si>
  <si>
    <t>2026-02-04 21:04:00</t>
  </si>
  <si>
    <t>2026-02-04 02:04:00</t>
  </si>
  <si>
    <t>2026-01-21 22:21:00</t>
  </si>
  <si>
    <t>2026-03-10 23:10:00</t>
  </si>
  <si>
    <t>2026-03-15 19:15:00</t>
  </si>
  <si>
    <t>2026-02-22 04:22:00</t>
  </si>
  <si>
    <t>2026-02-24 09:24:00</t>
  </si>
  <si>
    <t>2026-03-28 19:28:00</t>
  </si>
  <si>
    <t>2026-03-29 00:29:00</t>
  </si>
  <si>
    <t>2026-02-09 07:09:00</t>
  </si>
  <si>
    <t>2026-02-14 22:14:00</t>
  </si>
  <si>
    <t>2026-01-01 23:01:00</t>
  </si>
  <si>
    <t>2026-03-11 17:11:00</t>
  </si>
  <si>
    <t>2026-03-04 16:04:00</t>
  </si>
  <si>
    <t>2026-02-02 15:02:00</t>
  </si>
  <si>
    <t>2026-03-10 02:10:00</t>
  </si>
  <si>
    <t>2026-03-08 20:08:00</t>
  </si>
  <si>
    <t>2026-02-27 02:27:00</t>
  </si>
  <si>
    <t>2026-01-14 00:14:00</t>
  </si>
  <si>
    <t>2026-03-13 21:13:00</t>
  </si>
  <si>
    <t>2026-02-15 21:15:00</t>
  </si>
  <si>
    <t>2026-01-16 10:16:00</t>
  </si>
  <si>
    <t>2026-03-06 01:06:00</t>
  </si>
  <si>
    <t>2026-01-28 07:28:00</t>
  </si>
  <si>
    <t>2026-01-25 05:25:00</t>
  </si>
  <si>
    <t>2026-02-21 13:21:00</t>
  </si>
  <si>
    <t>2026-03-23 21:23:00</t>
  </si>
  <si>
    <t>2026-02-10 02:10:00</t>
  </si>
  <si>
    <t>2026-02-01 19:01:00</t>
  </si>
  <si>
    <t>2026-01-29 01:29:00</t>
  </si>
  <si>
    <t>2026-01-07 15:07:00</t>
  </si>
  <si>
    <t>2026-02-06 22:06:00</t>
  </si>
  <si>
    <t>2026-03-02 04:02:00</t>
  </si>
  <si>
    <t>2026-02-12 16:12:00</t>
  </si>
  <si>
    <t>2026-02-06 05:06:00</t>
  </si>
  <si>
    <t>2026-03-08 17:08:00</t>
  </si>
  <si>
    <t>2026-03-24 22:24:00</t>
  </si>
  <si>
    <t>2026-03-07 16:07:00</t>
  </si>
  <si>
    <t>2026-03-15 06:15:00</t>
  </si>
  <si>
    <t>2026-02-16 22:16:00</t>
  </si>
  <si>
    <t>2026-02-05 22:05:00</t>
  </si>
  <si>
    <t>2026-02-18 17:18:00</t>
  </si>
  <si>
    <t>2026-03-14 19:14:00</t>
  </si>
  <si>
    <t>2026-03-20 06:20:00</t>
  </si>
  <si>
    <t>2026-02-05 21:05:00</t>
  </si>
  <si>
    <t>2026-02-21 21:21:00</t>
  </si>
  <si>
    <t>2026-02-20 22:20:00</t>
  </si>
  <si>
    <t>2026-02-17 23:17:00</t>
  </si>
  <si>
    <t>2026-02-03 10:03:00</t>
  </si>
  <si>
    <t>2026-03-26 07:26:00</t>
  </si>
  <si>
    <t>2026-02-23 19:23:00</t>
  </si>
  <si>
    <t>2026-02-10 03:10:00</t>
  </si>
  <si>
    <t>2026-03-28 00:28:00</t>
  </si>
  <si>
    <t>2026-03-12 22:12:00</t>
  </si>
  <si>
    <t>2026-03-23 18:23:00</t>
  </si>
  <si>
    <t>2026-01-22 21:22:00</t>
  </si>
  <si>
    <t>2026-03-07 15:07:00</t>
  </si>
  <si>
    <t>2026-03-03 15:03:00</t>
  </si>
  <si>
    <t>2026-02-15 18:15:00</t>
  </si>
  <si>
    <t>2026-03-19 23:19:00</t>
  </si>
  <si>
    <t>2026-02-11 14:11:00</t>
  </si>
  <si>
    <t>2026-02-08 22:08:00</t>
  </si>
  <si>
    <t>2026-03-13 16:13:00</t>
  </si>
  <si>
    <t>2026-03-20 02:20:00</t>
  </si>
  <si>
    <t>2026-03-14 04:14:00</t>
  </si>
  <si>
    <t>2026-03-12 02:12:00</t>
  </si>
  <si>
    <t>2026-03-29 21:29:00</t>
  </si>
  <si>
    <t>2026-02-19 20:19:00</t>
  </si>
  <si>
    <t>2026-01-21 03:21:00</t>
  </si>
  <si>
    <t>2026-01-29 23:29:00</t>
  </si>
  <si>
    <t>2026-03-11 03:11:00</t>
  </si>
  <si>
    <t>2026-01-31 03:31:00</t>
  </si>
  <si>
    <t>2026-03-29 23:29:00</t>
  </si>
  <si>
    <t>2026-01-17 00:17:00</t>
  </si>
  <si>
    <t>2026-03-07 19:07:00</t>
  </si>
  <si>
    <t>2026-03-19 08:19:00</t>
  </si>
  <si>
    <t>2026-02-03 05:03:00</t>
  </si>
  <si>
    <t>2026-03-19 17:19:00</t>
  </si>
  <si>
    <t>2026-03-14 16:14:00</t>
  </si>
  <si>
    <t>2026-01-19 17:19:00</t>
  </si>
  <si>
    <t>2026-03-15 22:15:00</t>
  </si>
  <si>
    <t>2026-03-15 16:15:00</t>
  </si>
  <si>
    <t>2026-03-15 04:15:00</t>
  </si>
  <si>
    <t>2026-02-27 04:27:00</t>
  </si>
  <si>
    <t>2026-01-24 21:24:00</t>
  </si>
  <si>
    <t>2026-02-19 03:19:00</t>
  </si>
  <si>
    <t>2026-02-10 22:10:00</t>
  </si>
  <si>
    <t>2026-02-22 23:22:00</t>
  </si>
  <si>
    <t>2026-01-20 04:20:00</t>
  </si>
  <si>
    <t>2026-03-03 21:03:00</t>
  </si>
  <si>
    <t>2026-01-05 02:05:00</t>
  </si>
  <si>
    <t>2026-02-07 19:07:00</t>
  </si>
  <si>
    <t>2026-02-06 00:06:00</t>
  </si>
  <si>
    <t>2026-01-04 03:04:00</t>
  </si>
  <si>
    <t>2026-01-02 18:02:00</t>
  </si>
  <si>
    <t>2026-01-04 02:04:00</t>
  </si>
  <si>
    <t>2026-02-18 06:18:00</t>
  </si>
  <si>
    <t>2026-03-22 21:22:00</t>
  </si>
  <si>
    <t>2026-02-09 02:09:00</t>
  </si>
  <si>
    <t>2026-02-25 07:25:00</t>
  </si>
  <si>
    <t>2026-01-13 22:13:00</t>
  </si>
  <si>
    <t>2026-03-30 01:30:00</t>
  </si>
  <si>
    <t>2026-03-02 23:02:00</t>
  </si>
  <si>
    <t>2026-01-24 01:24:00</t>
  </si>
  <si>
    <t>2026-01-08 01:08:00</t>
  </si>
  <si>
    <t>2026-01-25 20:25:00</t>
  </si>
  <si>
    <t>2026-03-02 22:02:00</t>
  </si>
  <si>
    <t>2026-02-28 12:28:00</t>
  </si>
  <si>
    <t>2026-02-11 23:11:00</t>
  </si>
  <si>
    <t>2026-01-27 03:27:00</t>
  </si>
  <si>
    <t>2026-02-18 21:18:00</t>
  </si>
  <si>
    <t>2026-01-26 13:26:00</t>
  </si>
  <si>
    <t>2026-03-07 04:07:00</t>
  </si>
  <si>
    <t>2026-03-22 05:22:00</t>
  </si>
  <si>
    <t>2026-02-07 07:07:00</t>
  </si>
  <si>
    <t>2026-01-15 22:15:00</t>
  </si>
  <si>
    <t>2026-02-11 01:11:00</t>
  </si>
  <si>
    <t>2026-01-04 22:04:00</t>
  </si>
  <si>
    <t>2026-02-20 18:20:00</t>
  </si>
  <si>
    <t>2026-03-20 16:20:00</t>
  </si>
  <si>
    <t>2026-03-22 18:22:00</t>
  </si>
  <si>
    <t>2026-01-10 03:10:00</t>
  </si>
  <si>
    <t>2026-02-04 20:04:00</t>
  </si>
  <si>
    <t>2026-01-16 00:16:00</t>
  </si>
  <si>
    <t>2026-03-17 21:17:00</t>
  </si>
  <si>
    <t>2026-03-14 00:14:00</t>
  </si>
  <si>
    <t>2026-01-15 02:15:00</t>
  </si>
  <si>
    <t>2026-01-12 12:12:00</t>
  </si>
  <si>
    <t>2026-03-14 18:14:00</t>
  </si>
  <si>
    <t>2026-01-23 18:23:00</t>
  </si>
  <si>
    <t>2026-02-17 04:17:00</t>
  </si>
  <si>
    <t>2026-01-01 20:01:00</t>
  </si>
  <si>
    <t>2026-01-10 04:10:00</t>
  </si>
  <si>
    <t>2026-01-19 18:19:00</t>
  </si>
  <si>
    <t>2026-02-27 22:27:00</t>
  </si>
  <si>
    <t>2026-02-19 21:19:00</t>
  </si>
  <si>
    <t>2026-03-06 07:06:00</t>
  </si>
  <si>
    <t>2026-03-05 19:05:00</t>
  </si>
  <si>
    <t>2026-02-27 20:27:00</t>
  </si>
  <si>
    <t>2026-01-05 17:05:00</t>
  </si>
  <si>
    <t>2026-02-13 20:13:00</t>
  </si>
  <si>
    <t>2026-03-17 04:17:00</t>
  </si>
  <si>
    <t>2026-01-05 21:05:00</t>
  </si>
  <si>
    <t>2026-03-01 01:01:00</t>
  </si>
  <si>
    <t>2026-03-10 06:10:00</t>
  </si>
  <si>
    <t>2026-03-29 06:29:00</t>
  </si>
  <si>
    <t>2026-01-27 06:27:00</t>
  </si>
  <si>
    <t>2026-03-09 05:09:00</t>
  </si>
  <si>
    <t>2026-02-20 03:20:00</t>
  </si>
  <si>
    <t>2026-03-08 00:08:00</t>
  </si>
  <si>
    <t>2026-03-22 23:22:00</t>
  </si>
  <si>
    <t>2026-01-15 00:15:00</t>
  </si>
  <si>
    <t>2026-01-07 22:07:00</t>
  </si>
  <si>
    <t>2026-01-23 23:23:00</t>
  </si>
  <si>
    <t>2026-01-25 09:25:00</t>
  </si>
  <si>
    <t>2026-03-30 21:30:00</t>
  </si>
  <si>
    <t>2026-02-13 18:13:00</t>
  </si>
  <si>
    <t>2026-02-05 03:05:00</t>
  </si>
  <si>
    <t>2026-02-13 17:13:00</t>
  </si>
  <si>
    <t>2026-01-20 02:20:00</t>
  </si>
  <si>
    <t>2026-03-31 01:31:00</t>
  </si>
  <si>
    <t>2026-02-03 01:03:00</t>
  </si>
  <si>
    <t>2026-02-22 00:22:00</t>
  </si>
  <si>
    <t>2026-01-13 21:13:00</t>
  </si>
  <si>
    <t>2026-02-06 23:06:00</t>
  </si>
  <si>
    <t>\N</t>
  </si>
  <si>
    <t>Category_Match</t>
  </si>
  <si>
    <t xml:space="preserve">Expected_Category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</si>
</sst>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F800]dddd\,\ mmmm\ dd\,\ yyyy"/>
  </numFmts>
  <fonts count="13">
    <font>
      <sz val="11"/>
      <color theme="1"/>
      <name val="Calibri"/>
      <family val="2"/>
      <scheme val="minor"/>
    </font>
    <font>
      <b/>
      <sz val="11"/>
      <color theme="0"/>
      <name val="Calibri"/>
      <family val="2"/>
      <scheme val="minor"/>
    </font>
    <font>
      <b/>
      <sz val="11"/>
      <color theme="1"/>
      <name val="Calibri"/>
      <family val="2"/>
      <scheme val="minor"/>
    </font>
    <font>
      <sz val="8"/>
      <name val="Calibri"/>
      <family val="2"/>
      <scheme val="minor"/>
    </font>
    <font>
      <i/>
      <sz val="11"/>
      <color theme="1"/>
      <name val="Calibri"/>
      <family val="2"/>
      <scheme val="minor"/>
    </font>
    <font>
      <i/>
      <sz val="10"/>
      <color theme="1"/>
      <name val="Arial Unicode MS"/>
    </font>
    <font>
      <b/>
      <u/>
      <sz val="11"/>
      <color theme="1"/>
      <name val="Calibri"/>
      <family val="2"/>
      <scheme val="minor"/>
    </font>
    <font>
      <u/>
      <sz val="11"/>
      <color theme="1"/>
      <name val="Calibri"/>
      <family val="2"/>
      <scheme val="minor"/>
    </font>
    <font>
      <b/>
      <sz val="20"/>
      <color theme="0"/>
      <name val="Times New Roman"/>
      <family val="1"/>
    </font>
    <font>
      <sz val="11"/>
      <color theme="1"/>
      <name val="Times New Roman"/>
      <family val="1"/>
    </font>
    <font>
      <sz val="16"/>
      <color theme="1"/>
      <name val="Times New Roman"/>
      <family val="1"/>
    </font>
    <font>
      <b/>
      <sz val="16"/>
      <color theme="1"/>
      <name val="Times New Roman"/>
      <family val="1"/>
    </font>
    <font>
      <sz val="26"/>
      <color theme="1"/>
      <name val="Times New Roman"/>
      <family val="1"/>
    </font>
  </fonts>
  <fills count="12">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4" tint="0.59999389629810485"/>
        <bgColor indexed="64"/>
      </patternFill>
    </fill>
  </fills>
  <borders count="13">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top/>
      <bottom style="thick">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9">
    <xf numFmtId="0" fontId="0" fillId="0" borderId="0" xfId="0"/>
    <xf numFmtId="0" fontId="0" fillId="3" borderId="3" xfId="0" applyFill="1" applyBorder="1"/>
    <xf numFmtId="0" fontId="0" fillId="3" borderId="4" xfId="0" applyFill="1" applyBorder="1"/>
    <xf numFmtId="0" fontId="0" fillId="4" borderId="3" xfId="0" applyFill="1" applyBorder="1"/>
    <xf numFmtId="0" fontId="0" fillId="4" borderId="4" xfId="0" applyFill="1" applyBorder="1"/>
    <xf numFmtId="0" fontId="0" fillId="4" borderId="5" xfId="0" applyFill="1" applyBorder="1"/>
    <xf numFmtId="0" fontId="0" fillId="3" borderId="5" xfId="0" applyFill="1" applyBorder="1"/>
    <xf numFmtId="0" fontId="0" fillId="0" borderId="0" xfId="0" applyAlignment="1">
      <alignment wrapText="1"/>
    </xf>
    <xf numFmtId="0" fontId="0" fillId="4" borderId="7" xfId="0" applyFill="1" applyBorder="1"/>
    <xf numFmtId="0" fontId="0" fillId="4" borderId="8" xfId="0" applyFill="1" applyBorder="1"/>
    <xf numFmtId="0" fontId="0" fillId="4" borderId="9" xfId="0" applyFill="1" applyBorder="1"/>
    <xf numFmtId="0" fontId="2" fillId="0" borderId="0" xfId="0" applyFont="1" applyAlignment="1">
      <alignment horizontal="center" vertical="center" wrapText="1"/>
    </xf>
    <xf numFmtId="0" fontId="0" fillId="0" borderId="0" xfId="0" applyAlignment="1">
      <alignment vertical="center" wrapText="1"/>
    </xf>
    <xf numFmtId="0" fontId="1" fillId="2" borderId="1" xfId="0" applyFont="1" applyFill="1" applyBorder="1" applyAlignment="1">
      <alignment wrapText="1"/>
    </xf>
    <xf numFmtId="0" fontId="1" fillId="2" borderId="2" xfId="0" applyFont="1" applyFill="1" applyBorder="1" applyAlignment="1">
      <alignment wrapText="1"/>
    </xf>
    <xf numFmtId="0" fontId="1" fillId="2" borderId="6" xfId="0" applyFont="1" applyFill="1" applyBorder="1" applyAlignment="1">
      <alignment wrapText="1"/>
    </xf>
    <xf numFmtId="0" fontId="2" fillId="0" borderId="0" xfId="0" applyFont="1" applyAlignment="1">
      <alignment vertical="center" wrapText="1"/>
    </xf>
    <xf numFmtId="0" fontId="0" fillId="0" borderId="0" xfId="0" pivotButton="1"/>
    <xf numFmtId="0" fontId="0" fillId="0" borderId="0" xfId="0" applyAlignment="1">
      <alignment horizontal="left"/>
    </xf>
    <xf numFmtId="10" fontId="0" fillId="0" borderId="0" xfId="0" applyNumberFormat="1"/>
    <xf numFmtId="0" fontId="6" fillId="0" borderId="0" xfId="0" applyFont="1"/>
    <xf numFmtId="0" fontId="6" fillId="0" borderId="0" xfId="0" applyFont="1" applyAlignment="1">
      <alignment horizontal="left"/>
    </xf>
    <xf numFmtId="164" fontId="0" fillId="0" borderId="0" xfId="0" applyNumberFormat="1"/>
    <xf numFmtId="0" fontId="7" fillId="0" borderId="0" xfId="0" applyFont="1" applyAlignment="1">
      <alignment horizontal="left"/>
    </xf>
    <xf numFmtId="0" fontId="7" fillId="0" borderId="0" xfId="0" applyFont="1"/>
    <xf numFmtId="0" fontId="2" fillId="0" borderId="0" xfId="0" applyFont="1" applyAlignment="1">
      <alignment horizontal="left" vertical="center" wrapText="1"/>
    </xf>
    <xf numFmtId="0" fontId="0" fillId="0" borderId="0" xfId="0" applyAlignment="1">
      <alignment horizontal="left" vertical="center" wrapText="1"/>
    </xf>
    <xf numFmtId="10" fontId="0" fillId="0" borderId="0" xfId="0" applyNumberFormat="1" applyAlignment="1">
      <alignment horizontal="left" vertical="center" wrapText="1"/>
    </xf>
    <xf numFmtId="0" fontId="9" fillId="0" borderId="0" xfId="0" applyFont="1"/>
    <xf numFmtId="0" fontId="2" fillId="0" borderId="0" xfId="0" applyFont="1" applyAlignment="1">
      <alignment horizontal="right" vertical="center" wrapText="1"/>
    </xf>
    <xf numFmtId="14" fontId="0" fillId="0" borderId="0" xfId="0" applyNumberFormat="1" applyAlignment="1">
      <alignment wrapText="1"/>
    </xf>
    <xf numFmtId="14" fontId="0" fillId="0" borderId="0" xfId="0" applyNumberFormat="1"/>
    <xf numFmtId="165" fontId="0" fillId="0" borderId="0" xfId="0" applyNumberFormat="1"/>
    <xf numFmtId="0" fontId="2" fillId="11" borderId="0" xfId="0" applyFont="1" applyFill="1" applyAlignment="1">
      <alignment horizontal="center"/>
    </xf>
    <xf numFmtId="0" fontId="0" fillId="0" borderId="0" xfId="0" applyAlignment="1">
      <alignment horizontal="left" vertical="top" wrapText="1"/>
    </xf>
    <xf numFmtId="0" fontId="10" fillId="7" borderId="10" xfId="0" applyFont="1" applyFill="1" applyBorder="1" applyAlignment="1">
      <alignment horizontal="center"/>
    </xf>
    <xf numFmtId="0" fontId="10" fillId="7" borderId="11" xfId="0" applyFont="1" applyFill="1" applyBorder="1" applyAlignment="1">
      <alignment horizontal="center"/>
    </xf>
    <xf numFmtId="0" fontId="12" fillId="7" borderId="12" xfId="0" applyFont="1" applyFill="1" applyBorder="1" applyAlignment="1">
      <alignment horizontal="center"/>
    </xf>
    <xf numFmtId="0" fontId="8" fillId="5" borderId="0" xfId="0" applyFont="1" applyFill="1" applyAlignment="1">
      <alignment horizontal="center"/>
    </xf>
    <xf numFmtId="0" fontId="11" fillId="6" borderId="0" xfId="0" applyFont="1" applyFill="1" applyAlignment="1">
      <alignment horizontal="center"/>
    </xf>
    <xf numFmtId="0" fontId="10" fillId="8" borderId="10" xfId="0" applyFont="1" applyFill="1" applyBorder="1" applyAlignment="1">
      <alignment horizontal="center"/>
    </xf>
    <xf numFmtId="0" fontId="10" fillId="8" borderId="11" xfId="0" applyFont="1" applyFill="1" applyBorder="1" applyAlignment="1">
      <alignment horizontal="center"/>
    </xf>
    <xf numFmtId="10" fontId="12" fillId="8" borderId="12" xfId="0" applyNumberFormat="1" applyFont="1" applyFill="1" applyBorder="1" applyAlignment="1">
      <alignment horizontal="center"/>
    </xf>
    <xf numFmtId="0" fontId="10" fillId="9" borderId="10" xfId="0" applyFont="1" applyFill="1" applyBorder="1" applyAlignment="1">
      <alignment horizontal="center"/>
    </xf>
    <xf numFmtId="0" fontId="10" fillId="9" borderId="11" xfId="0" applyFont="1" applyFill="1" applyBorder="1" applyAlignment="1">
      <alignment horizontal="center"/>
    </xf>
    <xf numFmtId="0" fontId="12" fillId="9" borderId="12" xfId="0" applyFont="1" applyFill="1" applyBorder="1" applyAlignment="1">
      <alignment horizontal="center"/>
    </xf>
    <xf numFmtId="0" fontId="10" fillId="10" borderId="10" xfId="0" applyFont="1" applyFill="1" applyBorder="1" applyAlignment="1">
      <alignment horizontal="center"/>
    </xf>
    <xf numFmtId="0" fontId="10" fillId="10" borderId="11" xfId="0" applyFont="1" applyFill="1" applyBorder="1" applyAlignment="1">
      <alignment horizontal="center"/>
    </xf>
    <xf numFmtId="0" fontId="12" fillId="10" borderId="12" xfId="0" applyFont="1" applyFill="1" applyBorder="1" applyAlignment="1">
      <alignment horizontal="center"/>
    </xf>
  </cellXfs>
  <cellStyles count="1">
    <cellStyle name="Normal" xfId="0" builtinId="0"/>
  </cellStyles>
  <dxfs count="56">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165" formatCode="[$-F800]dddd\,\ mmmm\ dd\,\ yyyy"/>
    </dxf>
    <dxf>
      <numFmt numFmtId="19" formatCode="mm/dd/yy"/>
    </dxf>
    <dxf>
      <alignment horizontal="general" vertical="bottom" textRotation="0" wrapText="1" indent="0" justifyLastLine="0" shrinkToFit="0" readingOrder="0"/>
    </dxf>
    <dxf>
      <alignment horizontal="left" vertical="bottom" textRotation="0" wrapText="0" indent="0" justifyLastLine="0" shrinkToFit="0" readingOrder="0"/>
    </dxf>
    <dxf>
      <alignment horizontal="general" vertical="center" textRotation="0" wrapText="1" indent="0" justifyLastLine="0" shrinkToFit="0" readingOrder="0"/>
    </dxf>
    <dxf>
      <numFmt numFmtId="164" formatCode="0.0000"/>
    </dxf>
    <dxf>
      <numFmt numFmtId="166" formatCode="0.00000000"/>
    </dxf>
    <dxf>
      <numFmt numFmtId="166" formatCode="0.00000000"/>
    </dxf>
    <dxf>
      <numFmt numFmtId="164" formatCode="0.0000"/>
    </dxf>
    <dxf>
      <numFmt numFmtId="167" formatCode="0.000000000"/>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style="thin">
          <color theme="0"/>
        </right>
        <top style="thin">
          <color theme="0"/>
        </top>
        <bottom style="thin">
          <color theme="0"/>
        </bottom>
        <vertical/>
        <horizontal/>
      </border>
    </dxf>
    <dxf>
      <border outline="0">
        <top style="thin">
          <color theme="0"/>
        </top>
      </border>
    </dxf>
    <dxf>
      <border outline="0">
        <right style="thin">
          <color theme="0"/>
        </right>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general" vertical="bottom" textRotation="0" wrapText="1" indent="0" justifyLastLine="0" shrinkToFit="0" readingOrder="0"/>
      <border diagonalUp="0" diagonalDown="0" outline="0">
        <left style="thin">
          <color theme="0"/>
        </left>
        <right style="thin">
          <color theme="0"/>
        </right>
        <top/>
        <bottom/>
      </border>
    </dxf>
    <dxf>
      <numFmt numFmtId="0" formatCode="General"/>
    </dxf>
    <dxf>
      <numFmt numFmtId="0" formatCode="General"/>
    </dxf>
    <dxf>
      <numFmt numFmtId="0" formatCode="General"/>
    </dxf>
    <dxf>
      <numFmt numFmtId="0" formatCode="General"/>
    </dxf>
    <dxf>
      <numFmt numFmtId="165" formatCode="[$-F800]dddd\,\ mmmm\ dd\,\ yyyy"/>
    </dxf>
    <dxf>
      <numFmt numFmtId="19" formatCode="mm/dd/yy"/>
    </dxf>
    <dxf>
      <alignment horizontal="general"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[Star_Printers_Support_Operational_Analysis_SQL.xlsx]Pivot!PivotTable1</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Tickets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Pivot!$A$4:$A$9</c:f>
              <c:strCache>
                <c:ptCount val="5"/>
                <c:pt idx="0">
                  <c:v>Connectivity &amp; Software</c:v>
                </c:pt>
                <c:pt idx="1">
                  <c:v>Hardware &amp; Mechanical</c:v>
                </c:pt>
                <c:pt idx="2">
                  <c:v>Print Quality</c:v>
                </c:pt>
                <c:pt idx="3">
                  <c:v>Supplies &amp; Logistics</c:v>
                </c:pt>
                <c:pt idx="4">
                  <c:v>Contract &amp; Billing</c:v>
                </c:pt>
              </c:strCache>
            </c:strRef>
          </c:cat>
          <c:val>
            <c:numRef>
              <c:f>Pivot!$B$4:$B$9</c:f>
              <c:numCache>
                <c:formatCode>General</c:formatCode>
                <c:ptCount val="5"/>
                <c:pt idx="0">
                  <c:v>178</c:v>
                </c:pt>
                <c:pt idx="1">
                  <c:v>127</c:v>
                </c:pt>
                <c:pt idx="2">
                  <c:v>107</c:v>
                </c:pt>
                <c:pt idx="3">
                  <c:v>57</c:v>
                </c:pt>
                <c:pt idx="4">
                  <c:v>31</c:v>
                </c:pt>
              </c:numCache>
            </c:numRef>
          </c:val>
          <c:extLst>
            <c:ext xmlns:c16="http://schemas.microsoft.com/office/drawing/2014/chart" uri="{C3380CC4-5D6E-409C-BE32-E72D297353CC}">
              <c16:uniqueId val="{00000000-5A89-44EE-90CF-D3C228ACCCE8}"/>
            </c:ext>
          </c:extLst>
        </c:ser>
        <c:dLbls>
          <c:dLblPos val="outEnd"/>
          <c:showLegendKey val="0"/>
          <c:showVal val="1"/>
          <c:showCatName val="0"/>
          <c:showSerName val="0"/>
          <c:showPercent val="0"/>
          <c:showBubbleSize val="0"/>
        </c:dLbls>
        <c:gapWidth val="115"/>
        <c:overlap val="-20"/>
        <c:axId val="714481328"/>
        <c:axId val="1131247536"/>
      </c:barChart>
      <c:catAx>
        <c:axId val="7144813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247536"/>
        <c:crosses val="autoZero"/>
        <c:auto val="1"/>
        <c:lblAlgn val="ctr"/>
        <c:lblOffset val="100"/>
        <c:noMultiLvlLbl val="0"/>
      </c:catAx>
      <c:valAx>
        <c:axId val="1131247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48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[Star_Printers_Support_Operational_Analysis_SQL.xlsx]Pivot!PivotTable5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SLA Performance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Pivot!$L$3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Pivot!$K$4:$K$8</c:f>
              <c:strCache>
                <c:ptCount val="4"/>
                <c:pt idx="0">
                  <c:v>East</c:v>
                </c:pt>
                <c:pt idx="1">
                  <c:v>South</c:v>
                </c:pt>
                <c:pt idx="2">
                  <c:v>North</c:v>
                </c:pt>
                <c:pt idx="3">
                  <c:v>West</c:v>
                </c:pt>
              </c:strCache>
            </c:strRef>
          </c:cat>
          <c:val>
            <c:numRef>
              <c:f>Pivot!$L$4:$L$8</c:f>
              <c:numCache>
                <c:formatCode>0.00%</c:formatCode>
                <c:ptCount val="4"/>
                <c:pt idx="0">
                  <c:v>0.53030303030303028</c:v>
                </c:pt>
                <c:pt idx="1">
                  <c:v>0.52293577981651373</c:v>
                </c:pt>
                <c:pt idx="2">
                  <c:v>0.44915254237288138</c:v>
                </c:pt>
                <c:pt idx="3">
                  <c:v>0.41134751773049644</c:v>
                </c:pt>
              </c:numCache>
            </c:numRef>
          </c:val>
          <c:extLst>
            <c:ext xmlns:c16="http://schemas.microsoft.com/office/drawing/2014/chart" uri="{C3380CC4-5D6E-409C-BE32-E72D297353CC}">
              <c16:uniqueId val="{00000000-9962-464F-9640-7B967E8FA944}"/>
            </c:ext>
          </c:extLst>
        </c:ser>
        <c:dLbls>
          <c:dLblPos val="outEnd"/>
          <c:showLegendKey val="0"/>
          <c:showVal val="1"/>
          <c:showCatName val="0"/>
          <c:showSerName val="0"/>
          <c:showPercent val="0"/>
          <c:showBubbleSize val="0"/>
        </c:dLbls>
        <c:gapWidth val="115"/>
        <c:overlap val="-20"/>
        <c:axId val="1759475632"/>
        <c:axId val="734093648"/>
      </c:barChart>
      <c:catAx>
        <c:axId val="17594756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093648"/>
        <c:crosses val="autoZero"/>
        <c:auto val="1"/>
        <c:lblAlgn val="ctr"/>
        <c:lblOffset val="100"/>
        <c:noMultiLvlLbl val="0"/>
      </c:catAx>
      <c:valAx>
        <c:axId val="7340936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47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[Star_Printers_Support_Operational_Analysis_SQL.xlsx]Pivot!PivotTable6</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Tickets</a:t>
            </a:r>
            <a:r>
              <a:rPr lang="en-US" baseline="0"/>
              <a:t> by Deparment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74509186351705"/>
          <c:y val="0.25138327372946623"/>
          <c:w val="0.75534824146981627"/>
          <c:h val="0.61380058182756247"/>
        </c:manualLayout>
      </c:layout>
      <c:barChart>
        <c:barDir val="bar"/>
        <c:grouping val="clustered"/>
        <c:varyColors val="0"/>
        <c:ser>
          <c:idx val="0"/>
          <c:order val="0"/>
          <c:tx>
            <c:strRef>
              <c:f>Pivot!$F$27</c:f>
              <c:strCache>
                <c:ptCount val="1"/>
                <c:pt idx="0">
                  <c:v>Total</c:v>
                </c:pt>
              </c:strCache>
            </c:strRef>
          </c:tx>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Pivot!$E$28:$E$34</c:f>
              <c:strCache>
                <c:ptCount val="6"/>
                <c:pt idx="0">
                  <c:v>Network Team</c:v>
                </c:pt>
                <c:pt idx="1">
                  <c:v>Hardware Team</c:v>
                </c:pt>
                <c:pt idx="2">
                  <c:v>Field Support</c:v>
                </c:pt>
                <c:pt idx="3">
                  <c:v>Remote Support</c:v>
                </c:pt>
                <c:pt idx="4">
                  <c:v>Logistics Team</c:v>
                </c:pt>
                <c:pt idx="5">
                  <c:v>Billing Team</c:v>
                </c:pt>
              </c:strCache>
            </c:strRef>
          </c:cat>
          <c:val>
            <c:numRef>
              <c:f>Pivot!$F$28:$F$34</c:f>
              <c:numCache>
                <c:formatCode>General</c:formatCode>
                <c:ptCount val="6"/>
                <c:pt idx="0">
                  <c:v>178</c:v>
                </c:pt>
                <c:pt idx="1">
                  <c:v>86</c:v>
                </c:pt>
                <c:pt idx="2">
                  <c:v>74</c:v>
                </c:pt>
                <c:pt idx="3">
                  <c:v>74</c:v>
                </c:pt>
                <c:pt idx="4">
                  <c:v>57</c:v>
                </c:pt>
                <c:pt idx="5">
                  <c:v>31</c:v>
                </c:pt>
              </c:numCache>
            </c:numRef>
          </c:val>
          <c:extLst>
            <c:ext xmlns:c16="http://schemas.microsoft.com/office/drawing/2014/chart" uri="{C3380CC4-5D6E-409C-BE32-E72D297353CC}">
              <c16:uniqueId val="{00000000-5D5B-4BD6-8402-E78AEE7EE540}"/>
            </c:ext>
          </c:extLst>
        </c:ser>
        <c:dLbls>
          <c:dLblPos val="outEnd"/>
          <c:showLegendKey val="0"/>
          <c:showVal val="1"/>
          <c:showCatName val="0"/>
          <c:showSerName val="0"/>
          <c:showPercent val="0"/>
          <c:showBubbleSize val="0"/>
        </c:dLbls>
        <c:gapWidth val="115"/>
        <c:overlap val="-20"/>
        <c:axId val="1505880000"/>
        <c:axId val="734083088"/>
      </c:barChart>
      <c:catAx>
        <c:axId val="15058800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083088"/>
        <c:crosses val="autoZero"/>
        <c:auto val="1"/>
        <c:lblAlgn val="ctr"/>
        <c:lblOffset val="100"/>
        <c:noMultiLvlLbl val="0"/>
      </c:catAx>
      <c:valAx>
        <c:axId val="734083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88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[Star_Printers_Support_Operational_Analysis_SQL.xlsx]Pivot!PivotTable7</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 by Resolution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Pivot!$L$27</c:f>
              <c:strCache>
                <c:ptCount val="1"/>
                <c:pt idx="0">
                  <c:v>Total</c:v>
                </c:pt>
              </c:strCache>
            </c:strRef>
          </c:tx>
          <c:spPr>
            <a:solidFill>
              <a:schemeClr val="accent4">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Pivot!$K$28:$K$33</c:f>
              <c:strCache>
                <c:ptCount val="5"/>
                <c:pt idx="0">
                  <c:v>Hardware &amp; Mechanical</c:v>
                </c:pt>
                <c:pt idx="1">
                  <c:v>Connectivity &amp; Software</c:v>
                </c:pt>
                <c:pt idx="2">
                  <c:v>Print Quality</c:v>
                </c:pt>
                <c:pt idx="3">
                  <c:v>Supplies &amp; Logistics</c:v>
                </c:pt>
                <c:pt idx="4">
                  <c:v>Contract &amp; Billing</c:v>
                </c:pt>
              </c:strCache>
            </c:strRef>
          </c:cat>
          <c:val>
            <c:numRef>
              <c:f>Pivot!$L$28:$L$33</c:f>
              <c:numCache>
                <c:formatCode>0.0000</c:formatCode>
                <c:ptCount val="5"/>
                <c:pt idx="0">
                  <c:v>14.905511811023619</c:v>
                </c:pt>
                <c:pt idx="1">
                  <c:v>10.744943820224723</c:v>
                </c:pt>
                <c:pt idx="2">
                  <c:v>8.5271028037383161</c:v>
                </c:pt>
                <c:pt idx="3">
                  <c:v>6.6736842105263188</c:v>
                </c:pt>
                <c:pt idx="4">
                  <c:v>3.3999999999999995</c:v>
                </c:pt>
              </c:numCache>
            </c:numRef>
          </c:val>
          <c:extLst>
            <c:ext xmlns:c16="http://schemas.microsoft.com/office/drawing/2014/chart" uri="{C3380CC4-5D6E-409C-BE32-E72D297353CC}">
              <c16:uniqueId val="{00000000-F512-47FF-95E8-53EFF284E483}"/>
            </c:ext>
          </c:extLst>
        </c:ser>
        <c:dLbls>
          <c:dLblPos val="outEnd"/>
          <c:showLegendKey val="0"/>
          <c:showVal val="1"/>
          <c:showCatName val="0"/>
          <c:showSerName val="0"/>
          <c:showPercent val="0"/>
          <c:showBubbleSize val="0"/>
        </c:dLbls>
        <c:gapWidth val="100"/>
        <c:overlap val="-24"/>
        <c:axId val="1505831744"/>
        <c:axId val="734124368"/>
      </c:barChart>
      <c:catAx>
        <c:axId val="1505831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124368"/>
        <c:crosses val="autoZero"/>
        <c:auto val="1"/>
        <c:lblAlgn val="ctr"/>
        <c:lblOffset val="100"/>
        <c:noMultiLvlLbl val="0"/>
      </c:catAx>
      <c:valAx>
        <c:axId val="734124368"/>
        <c:scaling>
          <c:orientation val="minMax"/>
        </c:scaling>
        <c:delete val="0"/>
        <c:axPos val="l"/>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83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[Star_Printers_Support_Operational_Analysis_SQL.xlsx]Pivot!PivotTable9</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a:t>
            </a:r>
            <a:r>
              <a:rPr lang="en-US" baseline="0"/>
              <a:t> 5 Customers by Ticket Volume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59489077809497"/>
          <c:y val="0.19814536340852129"/>
          <c:w val="0.63994750656167976"/>
          <c:h val="0.67554753024293002"/>
        </c:manualLayout>
      </c:layout>
      <c:barChart>
        <c:barDir val="bar"/>
        <c:grouping val="clustered"/>
        <c:varyColors val="0"/>
        <c:ser>
          <c:idx val="0"/>
          <c:order val="0"/>
          <c:tx>
            <c:strRef>
              <c:f>Pivot!$F$54</c:f>
              <c:strCache>
                <c:ptCount val="1"/>
                <c:pt idx="0">
                  <c:v>Total</c:v>
                </c:pt>
              </c:strCache>
            </c:strRef>
          </c:tx>
          <c:spPr>
            <a:solidFill>
              <a:schemeClr val="accent5">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Pivot!$E$55:$E$65</c:f>
              <c:strCache>
                <c:ptCount val="10"/>
                <c:pt idx="0">
                  <c:v>Amazon Ltd</c:v>
                </c:pt>
                <c:pt idx="1">
                  <c:v>Reliance Ltd</c:v>
                </c:pt>
                <c:pt idx="2">
                  <c:v>HDFC Bank Ltd</c:v>
                </c:pt>
                <c:pt idx="3">
                  <c:v>ICICI Bank Ltd</c:v>
                </c:pt>
                <c:pt idx="4">
                  <c:v>Bajaj Finance Ltd</c:v>
                </c:pt>
                <c:pt idx="5">
                  <c:v>Bharti Airtel Ltd</c:v>
                </c:pt>
                <c:pt idx="6">
                  <c:v>Tata Consultancy Services Ltd</c:v>
                </c:pt>
                <c:pt idx="7">
                  <c:v>United Overseas Bank</c:v>
                </c:pt>
                <c:pt idx="8">
                  <c:v>Hindustan Unilever Ltd</c:v>
                </c:pt>
                <c:pt idx="9">
                  <c:v>LIC Corp Ltd</c:v>
                </c:pt>
              </c:strCache>
            </c:strRef>
          </c:cat>
          <c:val>
            <c:numRef>
              <c:f>Pivot!$F$55:$F$65</c:f>
              <c:numCache>
                <c:formatCode>General</c:formatCode>
                <c:ptCount val="10"/>
                <c:pt idx="0">
                  <c:v>98</c:v>
                </c:pt>
                <c:pt idx="1">
                  <c:v>68</c:v>
                </c:pt>
                <c:pt idx="2">
                  <c:v>63</c:v>
                </c:pt>
                <c:pt idx="3">
                  <c:v>50</c:v>
                </c:pt>
                <c:pt idx="4">
                  <c:v>46</c:v>
                </c:pt>
                <c:pt idx="5">
                  <c:v>45</c:v>
                </c:pt>
                <c:pt idx="6">
                  <c:v>39</c:v>
                </c:pt>
                <c:pt idx="7">
                  <c:v>38</c:v>
                </c:pt>
                <c:pt idx="8">
                  <c:v>27</c:v>
                </c:pt>
                <c:pt idx="9">
                  <c:v>26</c:v>
                </c:pt>
              </c:numCache>
            </c:numRef>
          </c:val>
          <c:extLst>
            <c:ext xmlns:c16="http://schemas.microsoft.com/office/drawing/2014/chart" uri="{C3380CC4-5D6E-409C-BE32-E72D297353CC}">
              <c16:uniqueId val="{00000000-7F99-4FD2-AD63-090C0B27CFF1}"/>
            </c:ext>
          </c:extLst>
        </c:ser>
        <c:dLbls>
          <c:dLblPos val="outEnd"/>
          <c:showLegendKey val="0"/>
          <c:showVal val="1"/>
          <c:showCatName val="0"/>
          <c:showSerName val="0"/>
          <c:showPercent val="0"/>
          <c:showBubbleSize val="0"/>
        </c:dLbls>
        <c:gapWidth val="115"/>
        <c:overlap val="-20"/>
        <c:axId val="1505818288"/>
        <c:axId val="1639782224"/>
      </c:barChart>
      <c:catAx>
        <c:axId val="15058182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782224"/>
        <c:crosses val="autoZero"/>
        <c:auto val="1"/>
        <c:lblAlgn val="ctr"/>
        <c:lblOffset val="100"/>
        <c:noMultiLvlLbl val="0"/>
      </c:catAx>
      <c:valAx>
        <c:axId val="1639782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81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[Star_Printers_Support_Operational_Analysis_SQL.xlsx]Pivot!PivotTable8</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Average</a:t>
            </a:r>
            <a:r>
              <a:rPr lang="en-US" baseline="0"/>
              <a:t> Customer Rating by Agent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Pivot!$B$54</c:f>
              <c:strCache>
                <c:ptCount val="1"/>
                <c:pt idx="0">
                  <c:v>Total</c:v>
                </c:pt>
              </c:strCache>
            </c:strRef>
          </c:tx>
          <c:spPr>
            <a:solidFill>
              <a:schemeClr val="accent2">
                <a:lumMod val="60000"/>
                <a:lumOff val="4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Pivot!$A$55:$A$65</c:f>
              <c:strCache>
                <c:ptCount val="10"/>
                <c:pt idx="0">
                  <c:v>Sarah</c:v>
                </c:pt>
                <c:pt idx="1">
                  <c:v>Emma</c:v>
                </c:pt>
                <c:pt idx="2">
                  <c:v>Era</c:v>
                </c:pt>
                <c:pt idx="3">
                  <c:v>Judy</c:v>
                </c:pt>
                <c:pt idx="4">
                  <c:v>Tina</c:v>
                </c:pt>
                <c:pt idx="5">
                  <c:v>Jack</c:v>
                </c:pt>
                <c:pt idx="6">
                  <c:v>Tony</c:v>
                </c:pt>
                <c:pt idx="7">
                  <c:v>Mary</c:v>
                </c:pt>
                <c:pt idx="8">
                  <c:v>Michael</c:v>
                </c:pt>
                <c:pt idx="9">
                  <c:v>James</c:v>
                </c:pt>
              </c:strCache>
            </c:strRef>
          </c:cat>
          <c:val>
            <c:numRef>
              <c:f>Pivot!$B$55:$B$65</c:f>
              <c:numCache>
                <c:formatCode>0.0000</c:formatCode>
                <c:ptCount val="10"/>
                <c:pt idx="0">
                  <c:v>3.6744186046511627</c:v>
                </c:pt>
                <c:pt idx="1">
                  <c:v>3.2926829268292681</c:v>
                </c:pt>
                <c:pt idx="2">
                  <c:v>3.25</c:v>
                </c:pt>
                <c:pt idx="3">
                  <c:v>3.2241379310344827</c:v>
                </c:pt>
                <c:pt idx="4">
                  <c:v>3.1632653061224492</c:v>
                </c:pt>
                <c:pt idx="5">
                  <c:v>3.1219512195121952</c:v>
                </c:pt>
                <c:pt idx="6">
                  <c:v>3.1111111111111112</c:v>
                </c:pt>
                <c:pt idx="7">
                  <c:v>3.0192307692307692</c:v>
                </c:pt>
                <c:pt idx="8">
                  <c:v>2.9583333333333335</c:v>
                </c:pt>
                <c:pt idx="9">
                  <c:v>2.7796610169491527</c:v>
                </c:pt>
              </c:numCache>
            </c:numRef>
          </c:val>
          <c:extLst>
            <c:ext xmlns:c16="http://schemas.microsoft.com/office/drawing/2014/chart" uri="{C3380CC4-5D6E-409C-BE32-E72D297353CC}">
              <c16:uniqueId val="{00000000-D68D-49D3-9891-A69BC42A70F1}"/>
            </c:ext>
          </c:extLst>
        </c:ser>
        <c:dLbls>
          <c:dLblPos val="outEnd"/>
          <c:showLegendKey val="0"/>
          <c:showVal val="1"/>
          <c:showCatName val="0"/>
          <c:showSerName val="0"/>
          <c:showPercent val="0"/>
          <c:showBubbleSize val="0"/>
        </c:dLbls>
        <c:gapWidth val="100"/>
        <c:overlap val="-24"/>
        <c:axId val="1501483984"/>
        <c:axId val="1639763024"/>
      </c:barChart>
      <c:catAx>
        <c:axId val="15014839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763024"/>
        <c:crosses val="autoZero"/>
        <c:auto val="1"/>
        <c:lblAlgn val="ctr"/>
        <c:lblOffset val="100"/>
        <c:noMultiLvlLbl val="0"/>
      </c:catAx>
      <c:valAx>
        <c:axId val="1639763024"/>
        <c:scaling>
          <c:orientation val="minMax"/>
        </c:scaling>
        <c:delete val="0"/>
        <c:axPos val="l"/>
        <c:numFmt formatCode="0.00" sourceLinked="0"/>
        <c:majorTickMark val="none"/>
        <c:minorTickMark val="none"/>
        <c:tickLblPos val="nextTo"/>
        <c:spPr>
          <a:noFill/>
          <a:ln>
            <a:solidFill>
              <a:schemeClr val="accent1">
                <a:alpha val="93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48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8</xdr:row>
      <xdr:rowOff>1</xdr:rowOff>
    </xdr:from>
    <xdr:to>
      <xdr:col>2</xdr:col>
      <xdr:colOff>596900</xdr:colOff>
      <xdr:row>17</xdr:row>
      <xdr:rowOff>123825</xdr:rowOff>
    </xdr:to>
    <mc:AlternateContent xmlns:mc="http://schemas.openxmlformats.org/markup-compatibility/2006" xmlns:a14="http://schemas.microsoft.com/office/drawing/2010/main">
      <mc:Choice Requires="a14">
        <xdr:graphicFrame macro="">
          <xdr:nvGraphicFramePr>
            <xdr:cNvPr id="2" name="Account">
              <a:extLst>
                <a:ext uri="{FF2B5EF4-FFF2-40B4-BE49-F238E27FC236}">
                  <a16:creationId xmlns:a16="http://schemas.microsoft.com/office/drawing/2014/main" id="{700451F4-3A12-4868-BE77-FC9AA4B4FE8F}"/>
                </a:ext>
              </a:extLst>
            </xdr:cNvPr>
            <xdr:cNvGraphicFramePr/>
          </xdr:nvGraphicFramePr>
          <xdr:xfrm>
            <a:off x="0" y="0"/>
            <a:ext cx="0" cy="0"/>
          </xdr:xfrm>
          <a:graphic>
            <a:graphicData uri="http://schemas.microsoft.com/office/drawing/2010/slicer">
              <sle:slicer xmlns:sle="http://schemas.microsoft.com/office/drawing/2010/slicer" name="Account"/>
            </a:graphicData>
          </a:graphic>
        </xdr:graphicFrame>
      </mc:Choice>
      <mc:Fallback xmlns="">
        <xdr:sp macro="" textlink="">
          <xdr:nvSpPr>
            <xdr:cNvPr id="0" name=""/>
            <xdr:cNvSpPr>
              <a:spLocks noTextEdit="1"/>
            </xdr:cNvSpPr>
          </xdr:nvSpPr>
          <xdr:spPr>
            <a:xfrm>
              <a:off x="1" y="1920877"/>
              <a:ext cx="1806574" cy="16001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136524</xdr:colOff>
      <xdr:row>8</xdr:row>
      <xdr:rowOff>22223</xdr:rowOff>
    </xdr:from>
    <xdr:to>
      <xdr:col>6</xdr:col>
      <xdr:colOff>123825</xdr:colOff>
      <xdr:row>17</xdr:row>
      <xdr:rowOff>123824</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FE4CB9F-AF30-49EF-8953-F1E3E38AC7C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46274" y="1943099"/>
              <a:ext cx="1793876" cy="1546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282575</xdr:colOff>
      <xdr:row>8</xdr:row>
      <xdr:rowOff>1</xdr:rowOff>
    </xdr:from>
    <xdr:to>
      <xdr:col>9</xdr:col>
      <xdr:colOff>260350</xdr:colOff>
      <xdr:row>17</xdr:row>
      <xdr:rowOff>139700</xdr:rowOff>
    </xdr:to>
    <mc:AlternateContent xmlns:mc="http://schemas.openxmlformats.org/markup-compatibility/2006" xmlns:a14="http://schemas.microsoft.com/office/drawing/2010/main">
      <mc:Choice Requires="a14">
        <xdr:graphicFrame macro="">
          <xdr:nvGraphicFramePr>
            <xdr:cNvPr id="4" name="Agent">
              <a:extLst>
                <a:ext uri="{FF2B5EF4-FFF2-40B4-BE49-F238E27FC236}">
                  <a16:creationId xmlns:a16="http://schemas.microsoft.com/office/drawing/2014/main" id="{9F9C35EC-19FD-45D4-A40F-3C80A00D4F24}"/>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3902075" y="1920876"/>
              <a:ext cx="1790700" cy="1571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422274</xdr:colOff>
      <xdr:row>8</xdr:row>
      <xdr:rowOff>15875</xdr:rowOff>
    </xdr:from>
    <xdr:to>
      <xdr:col>12</xdr:col>
      <xdr:colOff>504825</xdr:colOff>
      <xdr:row>17</xdr:row>
      <xdr:rowOff>139700</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5A4E99E2-E0FA-4F0D-A7EB-4131D79B418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851524" y="1936750"/>
              <a:ext cx="1889126" cy="15557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50798</xdr:colOff>
      <xdr:row>8</xdr:row>
      <xdr:rowOff>9524</xdr:rowOff>
    </xdr:from>
    <xdr:to>
      <xdr:col>15</xdr:col>
      <xdr:colOff>603249</xdr:colOff>
      <xdr:row>17</xdr:row>
      <xdr:rowOff>123825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10ECFEB-1107-4BF4-95F3-EBBA9CC32B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93048" y="1930399"/>
              <a:ext cx="1755776" cy="15621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20</xdr:row>
      <xdr:rowOff>9527</xdr:rowOff>
    </xdr:from>
    <xdr:to>
      <xdr:col>7</xdr:col>
      <xdr:colOff>514350</xdr:colOff>
      <xdr:row>30</xdr:row>
      <xdr:rowOff>171450</xdr:rowOff>
    </xdr:to>
    <xdr:graphicFrame macro="">
      <xdr:nvGraphicFramePr>
        <xdr:cNvPr id="7" name="Chart 6">
          <a:extLst>
            <a:ext uri="{FF2B5EF4-FFF2-40B4-BE49-F238E27FC236}">
              <a16:creationId xmlns:a16="http://schemas.microsoft.com/office/drawing/2014/main" id="{10BC0DBC-7390-4E32-900C-BC2AB6632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190500</xdr:colOff>
      <xdr:row>20</xdr:row>
      <xdr:rowOff>0</xdr:rowOff>
    </xdr:from>
    <xdr:to>
      <xdr:col>15</xdr:col>
      <xdr:colOff>600075</xdr:colOff>
      <xdr:row>30</xdr:row>
      <xdr:rowOff>171450</xdr:rowOff>
    </xdr:to>
    <xdr:graphicFrame macro="">
      <xdr:nvGraphicFramePr>
        <xdr:cNvPr id="8" name="Chart 7">
          <a:extLst>
            <a:ext uri="{FF2B5EF4-FFF2-40B4-BE49-F238E27FC236}">
              <a16:creationId xmlns:a16="http://schemas.microsoft.com/office/drawing/2014/main" id="{23CA5023-A0B1-4B31-9507-8DA0A7207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1</xdr:rowOff>
    </xdr:from>
    <xdr:to>
      <xdr:col>7</xdr:col>
      <xdr:colOff>495300</xdr:colOff>
      <xdr:row>45</xdr:row>
      <xdr:rowOff>6350</xdr:rowOff>
    </xdr:to>
    <xdr:graphicFrame macro="">
      <xdr:nvGraphicFramePr>
        <xdr:cNvPr id="9" name="Chart 8">
          <a:extLst>
            <a:ext uri="{FF2B5EF4-FFF2-40B4-BE49-F238E27FC236}">
              <a16:creationId xmlns:a16="http://schemas.microsoft.com/office/drawing/2014/main" id="{D74D778F-5131-4217-871B-A1AD531E02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171450</xdr:colOff>
      <xdr:row>33</xdr:row>
      <xdr:rowOff>1</xdr:rowOff>
    </xdr:from>
    <xdr:to>
      <xdr:col>16</xdr:col>
      <xdr:colOff>0</xdr:colOff>
      <xdr:row>45</xdr:row>
      <xdr:rowOff>9526</xdr:rowOff>
    </xdr:to>
    <xdr:graphicFrame macro="">
      <xdr:nvGraphicFramePr>
        <xdr:cNvPr id="10" name="Chart 9">
          <a:extLst>
            <a:ext uri="{FF2B5EF4-FFF2-40B4-BE49-F238E27FC236}">
              <a16:creationId xmlns:a16="http://schemas.microsoft.com/office/drawing/2014/main" id="{0F46B1B2-5226-41F6-870A-1BA87B09E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47</xdr:row>
      <xdr:rowOff>0</xdr:rowOff>
    </xdr:from>
    <xdr:to>
      <xdr:col>7</xdr:col>
      <xdr:colOff>514351</xdr:colOff>
      <xdr:row>61</xdr:row>
      <xdr:rowOff>0</xdr:rowOff>
    </xdr:to>
    <xdr:graphicFrame macro="">
      <xdr:nvGraphicFramePr>
        <xdr:cNvPr id="11" name="Chart 10">
          <a:extLst>
            <a:ext uri="{FF2B5EF4-FFF2-40B4-BE49-F238E27FC236}">
              <a16:creationId xmlns:a16="http://schemas.microsoft.com/office/drawing/2014/main" id="{753D2EF1-0C92-45D0-A546-35639EAE1B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197907</xdr:colOff>
      <xdr:row>46</xdr:row>
      <xdr:rowOff>169333</xdr:rowOff>
    </xdr:from>
    <xdr:to>
      <xdr:col>16</xdr:col>
      <xdr:colOff>21167</xdr:colOff>
      <xdr:row>60</xdr:row>
      <xdr:rowOff>151341</xdr:rowOff>
    </xdr:to>
    <xdr:graphicFrame macro="">
      <xdr:nvGraphicFramePr>
        <xdr:cNvPr id="12" name="Chart 11">
          <a:extLst>
            <a:ext uri="{FF2B5EF4-FFF2-40B4-BE49-F238E27FC236}">
              <a16:creationId xmlns:a16="http://schemas.microsoft.com/office/drawing/2014/main" id="{9F8A7678-7117-4418-B17E-351741252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76200</xdr:colOff>
      <xdr:row>62</xdr:row>
      <xdr:rowOff>0</xdr:rowOff>
    </xdr:from>
    <xdr:ext cx="9667875" cy="1533881"/>
    <xdr:sp macro="" textlink="">
      <xdr:nvSpPr>
        <xdr:cNvPr id="14" name="TextBox 13">
          <a:extLst>
            <a:ext uri="{FF2B5EF4-FFF2-40B4-BE49-F238E27FC236}">
              <a16:creationId xmlns:a16="http://schemas.microsoft.com/office/drawing/2014/main" id="{FDC65500-1456-D094-50FF-6F2636D1393C}"/>
            </a:ext>
          </a:extLst>
        </xdr:cNvPr>
        <xdr:cNvSpPr txBox="1"/>
      </xdr:nvSpPr>
      <xdr:spPr>
        <a:xfrm>
          <a:off x="76200" y="10601324"/>
          <a:ext cx="9667875" cy="15338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u="sng"/>
            <a:t>Key Insights and Recommendations :-</a:t>
          </a:r>
        </a:p>
        <a:p>
          <a:endParaRPr lang="en-IN" sz="1600" b="1" u="sng">
            <a:latin typeface="Times New Roman" panose="02020603050405020304" pitchFamily="18" charset="0"/>
            <a:cs typeface="Times New Roman" panose="02020603050405020304" pitchFamily="18" charset="0"/>
          </a:endParaRPr>
        </a:p>
        <a:p>
          <a:pPr lvl="0"/>
          <a:r>
            <a:rPr lang="en-IN"/>
            <a:t>1) Connectivity &amp; Software generated</a:t>
          </a:r>
          <a:r>
            <a:rPr lang="en-IN" baseline="0"/>
            <a:t> 178 tickets (35.6%), representing the </a:t>
          </a:r>
          <a:r>
            <a:rPr lang="en-IN"/>
            <a:t>largest share of support requests, indicating recurring technical issues. </a:t>
          </a:r>
        </a:p>
        <a:p>
          <a:pPr lvl="0"/>
          <a:r>
            <a:rPr lang="en-IN"/>
            <a:t>2) West Region has the lowest SLA compliance and should be reviewed for staffing and workload distribution. </a:t>
          </a:r>
        </a:p>
        <a:p>
          <a:pPr lvl="0"/>
          <a:r>
            <a:rPr lang="en-IN"/>
            <a:t>3)</a:t>
          </a:r>
          <a:r>
            <a:rPr lang="en-IN" baseline="0"/>
            <a:t> </a:t>
          </a:r>
          <a:r>
            <a:rPr lang="en-IN"/>
            <a:t>Hardware &amp; Mechanical tickets require the longest resolution time, suggesting opportunities for process improvements. </a:t>
          </a:r>
        </a:p>
        <a:p>
          <a:pPr lvl="0"/>
          <a:r>
            <a:rPr lang="en-IN"/>
            <a:t>4) Amazon Ltd generates the highest ticket volume; a proactive account review could reduce recurring incidents.</a:t>
          </a:r>
        </a:p>
        <a:p>
          <a:pPr lvl="0"/>
          <a:r>
            <a:rPr lang="en-IN"/>
            <a:t>5) J</a:t>
          </a:r>
          <a:r>
            <a:rPr lang="en-IN" baseline="0"/>
            <a:t>ames has the lowest average customer satisfaction score (2.74), indicating an opportunities to review workload distribution and identify coaching needs. </a:t>
          </a:r>
          <a:endParaRPr lang="en-IN"/>
        </a:p>
        <a:p>
          <a:endParaRPr lang="en-IN" sz="1100"/>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US%20Jobs\BA%20Sample%20Projects\Star_Printers_Support_Operational_Analysis.xlsx" TargetMode="External"/><Relationship Id="rId1" Type="http://schemas.openxmlformats.org/officeDocument/2006/relationships/externalLinkPath" Target="Star_Printers_Support_Operational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ference_data"/>
      <sheetName val="Raw Data"/>
      <sheetName val="Data Cleaned"/>
      <sheetName val="Data Validation"/>
      <sheetName val="Pivot"/>
      <sheetName val="Executive Summary"/>
      <sheetName val="Executive Dashboards"/>
      <sheetName val="Star_Printers_Support_Operation"/>
    </sheetNames>
    <sheetDataSet>
      <sheetData sheetId="0">
        <row r="1">
          <cell r="A1" t="str">
            <v>Category</v>
          </cell>
        </row>
      </sheetData>
      <sheetData sheetId="1"/>
      <sheetData sheetId="2"/>
      <sheetData sheetId="3"/>
      <sheetData sheetId="4"/>
      <sheetData sheetId="5"/>
      <sheetData sheetId="6"/>
      <sheetData sheetId="7"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hvi Bhat" refreshedDate="46240.611176388891" createdVersion="8" refreshedVersion="8" minRefreshableVersion="3" recordCount="500" xr:uid="{A2BD8E66-D0CD-4A87-82F1-5C3581813DDE}">
  <cacheSource type="worksheet">
    <worksheetSource name="Table1"/>
  </cacheSource>
  <cacheFields count="24">
    <cacheField name="Ticket_ID" numFmtId="0">
      <sharedItems/>
    </cacheField>
    <cacheField name="Account" numFmtId="0">
      <sharedItems count="10">
        <s v="United Overseas Bank"/>
        <s v="Amazon Ltd"/>
        <s v="Tata Consultancy Services Ltd"/>
        <s v="HDFC Bank Ltd"/>
        <s v="ICICI Bank Ltd"/>
        <s v="LIC Corp Ltd"/>
        <s v="Reliance Ltd"/>
        <s v="Hindustan Unilever Ltd"/>
        <s v="Bajaj Finance Ltd"/>
        <s v="Bharti Airtel Ltd"/>
      </sharedItems>
    </cacheField>
    <cacheField name="Created_Date" numFmtId="0">
      <sharedItems/>
    </cacheField>
    <cacheField name="Closed_Date" numFmtId="0">
      <sharedItems/>
    </cacheField>
    <cacheField name="Category" numFmtId="0">
      <sharedItems count="5">
        <s v="Connectivity &amp; Software"/>
        <s v="Print Quality"/>
        <s v="Contract &amp; Billing"/>
        <s v="Hardware &amp; Mechanical"/>
        <s v="Supplies &amp; Logistics"/>
      </sharedItems>
    </cacheField>
    <cacheField name="Sub_Category" numFmtId="0">
      <sharedItems/>
    </cacheField>
    <cacheField name="Priority" numFmtId="0">
      <sharedItems/>
    </cacheField>
    <cacheField name="Agent" numFmtId="0">
      <sharedItems count="10">
        <s v="Michael"/>
        <s v="Tina"/>
        <s v="Emma"/>
        <s v="James"/>
        <s v="Sarah"/>
        <s v="Judy"/>
        <s v="Mary"/>
        <s v="Tony"/>
        <s v="Jack"/>
        <s v="Era"/>
      </sharedItems>
    </cacheField>
    <cacheField name="Department" numFmtId="0">
      <sharedItems count="6">
        <s v="Network Team"/>
        <s v="Field Support"/>
        <s v="Billing Team"/>
        <s v="Remote Support"/>
        <s v="Hardware Team"/>
        <s v="Logistics Team"/>
      </sharedItems>
    </cacheField>
    <cacheField name="Resolution_Time_Hrs" numFmtId="0">
      <sharedItems containsSemiMixedTypes="0" containsString="0" containsNumber="1" minValue="1.9" maxValue="27.3"/>
    </cacheField>
    <cacheField name="SLA_Target_Hrs" numFmtId="0">
      <sharedItems containsSemiMixedTypes="0" containsString="0" containsNumber="1" containsInteger="1" minValue="4" maxValue="24"/>
    </cacheField>
    <cacheField name="SLA_Met" numFmtId="0">
      <sharedItems/>
    </cacheField>
    <cacheField name="Customer_Rating" numFmtId="0">
      <sharedItems containsString="0" containsBlank="1" containsNumber="1" containsInteger="1" minValue="1" maxValue="5"/>
    </cacheField>
    <cacheField name="Reopened" numFmtId="0">
      <sharedItems/>
    </cacheField>
    <cacheField name="Ticket_Status" numFmtId="0">
      <sharedItems/>
    </cacheField>
    <cacheField name="Resolution_Type" numFmtId="0">
      <sharedItems/>
    </cacheField>
    <cacheField name="Region" numFmtId="0">
      <sharedItems count="4">
        <s v="South"/>
        <s v="West"/>
        <s v="North"/>
        <s v="East"/>
      </sharedItems>
    </cacheField>
    <cacheField name="Calculated_SLA" numFmtId="0">
      <sharedItems count="2">
        <s v="Yes"/>
        <s v="No"/>
      </sharedItems>
    </cacheField>
    <cacheField name="SLA_Mismatch" numFmtId="0">
      <sharedItems/>
    </cacheField>
    <cacheField name="SLA_Score" numFmtId="0">
      <sharedItems containsSemiMixedTypes="0" containsString="0" containsNumber="1" containsInteger="1" minValue="0" maxValue="1" count="2">
        <n v="1"/>
        <n v="0"/>
      </sharedItems>
    </cacheField>
    <cacheField name="CSAT_Band" numFmtId="0">
      <sharedItems containsNonDate="0" containsString="0" containsBlank="1"/>
    </cacheField>
    <cacheField name="Sub_Category_Validation" numFmtId="0">
      <sharedItems/>
    </cacheField>
    <cacheField name="Same " numFmtId="0">
      <sharedItems/>
    </cacheField>
    <cacheField name="Same" numFmtId="0">
      <sharedItems/>
    </cacheField>
  </cacheFields>
  <extLst>
    <ext xmlns:x14="http://schemas.microsoft.com/office/spreadsheetml/2009/9/main" uri="{725AE2AE-9491-48be-B2B4-4EB974FC3084}">
      <x14:pivotCacheDefinition pivotCacheId="526628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TKT000001"/>
    <x v="0"/>
    <s v="03/17/2026 16:23"/>
    <s v="03/18/2026 07:35"/>
    <x v="0"/>
    <s v="Network Dropouts"/>
    <s v="Low"/>
    <x v="0"/>
    <x v="0"/>
    <n v="15.2"/>
    <n v="24"/>
    <s v="Yes"/>
    <n v="4"/>
    <s v="No"/>
    <s v="Closed"/>
    <s v="Fixed"/>
    <x v="0"/>
    <x v="0"/>
    <s v="Match "/>
    <x v="0"/>
    <m/>
    <s v="Valid"/>
    <s v="Connectivity &amp; Software"/>
    <s v="Valid"/>
  </r>
  <r>
    <s v="TKT000002"/>
    <x v="1"/>
    <s v="03/21/2026 13:21"/>
    <s v="03/21/2026 18:21"/>
    <x v="1"/>
    <s v="Finishing Errors"/>
    <s v="Low"/>
    <x v="1"/>
    <x v="1"/>
    <n v="5"/>
    <n v="24"/>
    <s v="No"/>
    <n v="3"/>
    <s v="Yes"/>
    <s v="Closed"/>
    <s v="Pending"/>
    <x v="1"/>
    <x v="0"/>
    <s v="Mismatch"/>
    <x v="0"/>
    <m/>
    <s v="Valid"/>
    <s v="Print Quality"/>
    <s v="Valid"/>
  </r>
  <r>
    <s v="TKT000003"/>
    <x v="2"/>
    <s v="03/25/2026 14:44"/>
    <s v="03/25/2026 18:02"/>
    <x v="2"/>
    <s v="Relocation Requests"/>
    <s v="Medium"/>
    <x v="2"/>
    <x v="2"/>
    <n v="3.3"/>
    <n v="8"/>
    <s v="Yes"/>
    <n v="4"/>
    <s v="No"/>
    <s v="Closed"/>
    <s v="Fixed"/>
    <x v="0"/>
    <x v="0"/>
    <s v="Match "/>
    <x v="0"/>
    <m/>
    <s v="Valid"/>
    <s v="Contract &amp; Billing"/>
    <s v="Valid"/>
  </r>
  <r>
    <s v="TKT000004"/>
    <x v="3"/>
    <s v="03/22/2026 08:20"/>
    <s v="03/22/2026 15:14"/>
    <x v="1"/>
    <s v="Color Calibration"/>
    <s v="High"/>
    <x v="3"/>
    <x v="3"/>
    <n v="6.9"/>
    <n v="4"/>
    <s v="No"/>
    <n v="1"/>
    <s v="No"/>
    <s v="Closed"/>
    <s v="Escalated"/>
    <x v="2"/>
    <x v="1"/>
    <s v="Match "/>
    <x v="1"/>
    <m/>
    <s v="Valid"/>
    <s v="Print Quality"/>
    <s v="Valid"/>
  </r>
  <r>
    <s v="TKT000005"/>
    <x v="4"/>
    <s v="01/27/2026 12:34"/>
    <s v="01/27/2026 22:40"/>
    <x v="0"/>
    <s v="Driver &amp; Setup"/>
    <s v="Medium"/>
    <x v="4"/>
    <x v="0"/>
    <n v="10.1"/>
    <n v="8"/>
    <s v="No"/>
    <n v="1"/>
    <s v="No"/>
    <s v="Closed"/>
    <s v="Pending"/>
    <x v="2"/>
    <x v="1"/>
    <s v="Match "/>
    <x v="1"/>
    <m/>
    <s v="Valid"/>
    <s v="Connectivity &amp; Software"/>
    <s v="Valid"/>
  </r>
  <r>
    <s v="TKT000006"/>
    <x v="5"/>
    <s v="01/17/2026 11:58"/>
    <s v="01/17/2026 23:58"/>
    <x v="0"/>
    <s v="Scan-to-Email"/>
    <s v="Medium"/>
    <x v="5"/>
    <x v="0"/>
    <n v="12"/>
    <n v="8"/>
    <s v="No"/>
    <n v="3"/>
    <s v="No"/>
    <s v="Closed"/>
    <s v="Escalated"/>
    <x v="1"/>
    <x v="1"/>
    <s v="Match "/>
    <x v="1"/>
    <m/>
    <s v="Valid"/>
    <s v="Connectivity &amp; Software"/>
    <s v="Valid"/>
  </r>
  <r>
    <s v="TKT000007"/>
    <x v="1"/>
    <s v="03/17/2026 13:05"/>
    <s v="03/17/2026 17:59"/>
    <x v="0"/>
    <s v="Scan-to-Email"/>
    <s v="Medium"/>
    <x v="2"/>
    <x v="0"/>
    <n v="4.9000000000000004"/>
    <n v="8"/>
    <s v="Yes"/>
    <n v="4"/>
    <s v="No"/>
    <s v="Closed"/>
    <s v="Fixed"/>
    <x v="1"/>
    <x v="0"/>
    <s v="Match "/>
    <x v="0"/>
    <m/>
    <s v="Valid"/>
    <s v="Connectivity &amp; Software"/>
    <s v="Valid"/>
  </r>
  <r>
    <s v="TKT000008"/>
    <x v="6"/>
    <s v="03/20/2026 14:09"/>
    <s v="03/21/2026 03:39"/>
    <x v="3"/>
    <s v="Device Errors"/>
    <s v="Medium"/>
    <x v="5"/>
    <x v="4"/>
    <n v="13.5"/>
    <n v="8"/>
    <s v="No"/>
    <n v="1"/>
    <s v="No"/>
    <s v="Closed"/>
    <s v="Pending"/>
    <x v="1"/>
    <x v="1"/>
    <s v="Match "/>
    <x v="1"/>
    <m/>
    <s v="Valid"/>
    <s v="Hardware &amp; Mechanical"/>
    <s v="Valid"/>
  </r>
  <r>
    <s v="TKT000009"/>
    <x v="1"/>
    <s v="03/17/2026 13:30"/>
    <s v="03/17/2026 23:00"/>
    <x v="4"/>
    <s v="Paper Supply"/>
    <s v="Medium"/>
    <x v="6"/>
    <x v="5"/>
    <n v="9.5"/>
    <n v="8"/>
    <s v="No"/>
    <n v="3"/>
    <s v="No"/>
    <s v="Closed"/>
    <s v="Pending"/>
    <x v="1"/>
    <x v="1"/>
    <s v="Match "/>
    <x v="1"/>
    <m/>
    <s v="Valid"/>
    <s v="Supplies &amp; Logistics"/>
    <s v="Valid"/>
  </r>
  <r>
    <s v="TKT000010"/>
    <x v="1"/>
    <s v="02/09/2026 13:38"/>
    <s v="02/10/2026 04:26"/>
    <x v="0"/>
    <s v="Network Dropouts"/>
    <s v="High"/>
    <x v="7"/>
    <x v="0"/>
    <n v="14.8"/>
    <n v="4"/>
    <s v="No"/>
    <n v="2"/>
    <s v="No"/>
    <s v="Closed"/>
    <s v="Escalated"/>
    <x v="2"/>
    <x v="1"/>
    <s v="Match "/>
    <x v="1"/>
    <m/>
    <s v="Valid"/>
    <s v="Connectivity &amp; Software"/>
    <s v="Valid"/>
  </r>
  <r>
    <s v="TKT000011"/>
    <x v="3"/>
    <s v="03/09/2026 13:05"/>
    <s v="03/10/2026 03:35"/>
    <x v="3"/>
    <s v="Device Errors"/>
    <s v="Low"/>
    <x v="6"/>
    <x v="4"/>
    <n v="14.5"/>
    <n v="24"/>
    <s v="Yes"/>
    <n v="4"/>
    <s v="No"/>
    <s v="Closed"/>
    <s v="Fixed"/>
    <x v="1"/>
    <x v="0"/>
    <s v="Match "/>
    <x v="0"/>
    <m/>
    <s v="Valid"/>
    <s v="Hardware &amp; Mechanical"/>
    <s v="Valid"/>
  </r>
  <r>
    <s v="TKT000012"/>
    <x v="1"/>
    <s v="03/05/2026 16:21"/>
    <s v="03/06/2026 05:09"/>
    <x v="0"/>
    <s v="Network Dropouts"/>
    <s v="Medium"/>
    <x v="3"/>
    <x v="0"/>
    <n v="12.8"/>
    <n v="8"/>
    <s v="No"/>
    <n v="2"/>
    <s v="No"/>
    <s v="Closed"/>
    <s v="Escalated"/>
    <x v="1"/>
    <x v="1"/>
    <s v="Match "/>
    <x v="1"/>
    <m/>
    <s v="Valid"/>
    <s v="Connectivity &amp; Software"/>
    <s v="Valid"/>
  </r>
  <r>
    <s v="TKT000013"/>
    <x v="3"/>
    <s v="02/11/2026 09:31"/>
    <s v="02/11/2026 22:19"/>
    <x v="0"/>
    <s v="Driver &amp; Setup"/>
    <s v="Medium"/>
    <x v="3"/>
    <x v="0"/>
    <n v="12.8"/>
    <n v="8"/>
    <s v="No"/>
    <n v="2"/>
    <s v="Yes"/>
    <s v="Closed"/>
    <s v="Pending"/>
    <x v="3"/>
    <x v="1"/>
    <s v="Match "/>
    <x v="1"/>
    <m/>
    <s v="Valid"/>
    <s v="Connectivity &amp; Software"/>
    <s v="Valid"/>
  </r>
  <r>
    <s v="TKT000014"/>
    <x v="5"/>
    <s v="01/31/2026 17:59"/>
    <s v="02/01/2026 02:59"/>
    <x v="1"/>
    <s v="Finishing Errors"/>
    <s v="Medium"/>
    <x v="0"/>
    <x v="1"/>
    <n v="9"/>
    <n v="8"/>
    <s v="No"/>
    <n v="3"/>
    <s v="Yes"/>
    <s v="Closed"/>
    <s v="Pending"/>
    <x v="0"/>
    <x v="1"/>
    <s v="Match "/>
    <x v="1"/>
    <m/>
    <s v="Valid"/>
    <s v="Print Quality"/>
    <s v="Valid"/>
  </r>
  <r>
    <s v="TKT000015"/>
    <x v="7"/>
    <s v="01/22/2026 13:13"/>
    <s v="01/22/2026 17:37"/>
    <x v="2"/>
    <s v="Lease Terms"/>
    <s v="Low"/>
    <x v="3"/>
    <x v="2"/>
    <n v="4.4000000000000004"/>
    <n v="24"/>
    <s v="Yes"/>
    <n v="5"/>
    <s v="No"/>
    <s v="Closed"/>
    <s v="Fixed"/>
    <x v="3"/>
    <x v="0"/>
    <s v="Match "/>
    <x v="0"/>
    <m/>
    <s v="Valid"/>
    <s v="Contract &amp; Billing"/>
    <s v="Valid"/>
  </r>
  <r>
    <s v="TKT000016"/>
    <x v="6"/>
    <s v="03/25/2026 15:44"/>
    <s v="03/26/2026 00:50"/>
    <x v="0"/>
    <s v="Scan-to-Email"/>
    <s v="Low"/>
    <x v="0"/>
    <x v="0"/>
    <n v="9.1"/>
    <n v="24"/>
    <s v="Yes"/>
    <n v="5"/>
    <s v="No"/>
    <s v="Closed"/>
    <s v="Fixed"/>
    <x v="0"/>
    <x v="0"/>
    <s v="Match "/>
    <x v="0"/>
    <m/>
    <s v="Valid"/>
    <s v="Connectivity &amp; Software"/>
    <s v="Valid"/>
  </r>
  <r>
    <s v="TKT000017"/>
    <x v="3"/>
    <s v="02/15/2026 15:34"/>
    <s v="02/15/2026 20:46"/>
    <x v="4"/>
    <s v="Toner Replenishment"/>
    <s v="Medium"/>
    <x v="5"/>
    <x v="5"/>
    <n v="5.2"/>
    <n v="8"/>
    <s v="Yes"/>
    <n v="4"/>
    <s v="No"/>
    <s v="Closed"/>
    <s v="Fixed"/>
    <x v="2"/>
    <x v="0"/>
    <s v="Match "/>
    <x v="0"/>
    <m/>
    <s v="Valid"/>
    <s v="Supplies &amp; Logistics"/>
    <s v="Valid"/>
  </r>
  <r>
    <s v="TKT000018"/>
    <x v="3"/>
    <s v="01/06/2026 12:05"/>
    <s v="01/06/2026 21:17"/>
    <x v="3"/>
    <s v="Device Errors"/>
    <s v="Medium"/>
    <x v="4"/>
    <x v="4"/>
    <n v="9.1999999999999993"/>
    <n v="8"/>
    <s v="No"/>
    <m/>
    <s v="Yes"/>
    <s v="Closed"/>
    <s v="Escalated"/>
    <x v="1"/>
    <x v="1"/>
    <s v="Match "/>
    <x v="1"/>
    <m/>
    <s v="Valid"/>
    <s v="Hardware &amp; Mechanical"/>
    <s v="Valid"/>
  </r>
  <r>
    <s v="TKT000019"/>
    <x v="8"/>
    <s v="03/13/2026 08:19"/>
    <s v="03/13/2026 14:55"/>
    <x v="0"/>
    <s v="Driver &amp; Setup"/>
    <s v="Medium"/>
    <x v="3"/>
    <x v="0"/>
    <n v="6.6"/>
    <n v="8"/>
    <s v="Yes"/>
    <n v="4"/>
    <s v="No"/>
    <s v="Closed"/>
    <s v="Fixed"/>
    <x v="3"/>
    <x v="0"/>
    <s v="Match "/>
    <x v="0"/>
    <m/>
    <s v="Valid"/>
    <s v="Connectivity &amp; Software"/>
    <s v="Valid"/>
  </r>
  <r>
    <s v="TKT000020"/>
    <x v="3"/>
    <s v="01/07/2026 12:12"/>
    <s v="01/07/2026 17:18"/>
    <x v="1"/>
    <s v="Defective Prints"/>
    <s v="Medium"/>
    <x v="3"/>
    <x v="3"/>
    <n v="5.0999999999999996"/>
    <n v="8"/>
    <s v="Yes"/>
    <n v="4"/>
    <s v="No"/>
    <s v="Closed"/>
    <s v="Fixed"/>
    <x v="1"/>
    <x v="0"/>
    <s v="Match "/>
    <x v="0"/>
    <m/>
    <s v="Valid"/>
    <s v="Print Quality"/>
    <s v="Valid"/>
  </r>
  <r>
    <s v="TKT000021"/>
    <x v="1"/>
    <s v="01/17/2026 13:16"/>
    <s v="01/17/2026 22:52"/>
    <x v="0"/>
    <s v="Network Dropouts"/>
    <s v="Low"/>
    <x v="2"/>
    <x v="0"/>
    <n v="9.6"/>
    <n v="24"/>
    <s v="Yes"/>
    <n v="4"/>
    <s v="No"/>
    <s v="Closed"/>
    <s v="Fixed"/>
    <x v="1"/>
    <x v="0"/>
    <s v="Match "/>
    <x v="0"/>
    <m/>
    <s v="Valid"/>
    <s v="Connectivity &amp; Software"/>
    <s v="Valid"/>
  </r>
  <r>
    <s v="TKT000022"/>
    <x v="8"/>
    <s v="02/21/2026 11:24"/>
    <s v="02/21/2026 18:48"/>
    <x v="4"/>
    <s v="Paper Supply"/>
    <s v="Low"/>
    <x v="5"/>
    <x v="5"/>
    <n v="7.4"/>
    <n v="24"/>
    <s v="Yes"/>
    <n v="5"/>
    <s v="No"/>
    <s v="Closed"/>
    <s v="Fixed"/>
    <x v="2"/>
    <x v="0"/>
    <s v="Match "/>
    <x v="0"/>
    <m/>
    <s v="Valid"/>
    <s v="Supplies &amp; Logistics"/>
    <s v="Valid"/>
  </r>
  <r>
    <s v="TKT000023"/>
    <x v="9"/>
    <s v="02/12/2026 11:08"/>
    <s v="02/12/2026 20:14"/>
    <x v="1"/>
    <s v="Color Calibration"/>
    <s v="Medium"/>
    <x v="8"/>
    <x v="3"/>
    <n v="9.1"/>
    <n v="8"/>
    <s v="No"/>
    <m/>
    <s v="Yes"/>
    <s v="Closed"/>
    <s v="Pending"/>
    <x v="3"/>
    <x v="1"/>
    <s v="Match "/>
    <x v="1"/>
    <m/>
    <s v="Valid"/>
    <s v="Print Quality"/>
    <s v="Valid"/>
  </r>
  <r>
    <s v="TKT000024"/>
    <x v="8"/>
    <s v="02/21/2026 17:41"/>
    <s v="02/22/2026 01:41"/>
    <x v="1"/>
    <s v="Color Calibration"/>
    <s v="Medium"/>
    <x v="7"/>
    <x v="3"/>
    <n v="8"/>
    <n v="8"/>
    <s v="Yes"/>
    <n v="5"/>
    <s v="No"/>
    <s v="Closed"/>
    <s v="Fixed"/>
    <x v="0"/>
    <x v="0"/>
    <s v="Match "/>
    <x v="0"/>
    <m/>
    <s v="Valid"/>
    <s v="Print Quality"/>
    <s v="Valid"/>
  </r>
  <r>
    <s v="TKT000025"/>
    <x v="1"/>
    <s v="02/16/2026 13:05"/>
    <s v="02/17/2026 03:47"/>
    <x v="0"/>
    <s v="Scan-to-Email"/>
    <s v="Medium"/>
    <x v="3"/>
    <x v="0"/>
    <n v="14.7"/>
    <n v="8"/>
    <s v="No"/>
    <n v="1"/>
    <s v="Yes"/>
    <s v="Closed"/>
    <s v="Pending"/>
    <x v="3"/>
    <x v="1"/>
    <s v="Match "/>
    <x v="1"/>
    <m/>
    <s v="Valid"/>
    <s v="Connectivity &amp; Software"/>
    <s v="Valid"/>
  </r>
  <r>
    <s v="TKT000026"/>
    <x v="9"/>
    <s v="03/25/2026 17:10"/>
    <s v="03/26/2026 02:22"/>
    <x v="4"/>
    <s v="Toner Replenishment"/>
    <s v="Medium"/>
    <x v="7"/>
    <x v="5"/>
    <n v="9.1999999999999993"/>
    <n v="8"/>
    <s v="No"/>
    <n v="3"/>
    <s v="No"/>
    <s v="Closed"/>
    <s v="Escalated"/>
    <x v="3"/>
    <x v="1"/>
    <s v="Match "/>
    <x v="1"/>
    <m/>
    <s v="Valid"/>
    <s v="Supplies &amp; Logistics"/>
    <s v="Valid"/>
  </r>
  <r>
    <s v="TKT000027"/>
    <x v="6"/>
    <s v="03/18/2026 14:55"/>
    <s v="03/18/2026 21:13"/>
    <x v="1"/>
    <s v="Color Calibration"/>
    <s v="Low"/>
    <x v="4"/>
    <x v="3"/>
    <n v="6.3"/>
    <n v="24"/>
    <s v="Yes"/>
    <n v="4"/>
    <s v="No"/>
    <s v="Closed"/>
    <s v="Fixed"/>
    <x v="3"/>
    <x v="0"/>
    <s v="Match "/>
    <x v="0"/>
    <m/>
    <s v="Valid"/>
    <s v="Print Quality"/>
    <s v="Valid"/>
  </r>
  <r>
    <s v="TKT000028"/>
    <x v="9"/>
    <s v="01/14/2026 16:06"/>
    <s v="01/15/2026 01:36"/>
    <x v="0"/>
    <s v="Network Dropouts"/>
    <s v="Medium"/>
    <x v="4"/>
    <x v="0"/>
    <n v="9.5"/>
    <n v="8"/>
    <s v="No"/>
    <n v="3"/>
    <s v="Yes"/>
    <s v="Closed"/>
    <s v="Pending"/>
    <x v="1"/>
    <x v="1"/>
    <s v="Match "/>
    <x v="1"/>
    <m/>
    <s v="Valid"/>
    <s v="Connectivity &amp; Software"/>
    <s v="Valid"/>
  </r>
  <r>
    <s v="TKT000029"/>
    <x v="6"/>
    <s v="03/03/2026 13:49"/>
    <s v="03/04/2026 02:13"/>
    <x v="0"/>
    <s v="Driver &amp; Setup"/>
    <s v="Low"/>
    <x v="3"/>
    <x v="0"/>
    <n v="12.4"/>
    <n v="24"/>
    <s v="No"/>
    <n v="3"/>
    <s v="Yes"/>
    <s v="Closed"/>
    <s v="Escalated"/>
    <x v="1"/>
    <x v="0"/>
    <s v="Mismatch"/>
    <x v="0"/>
    <m/>
    <s v="Valid"/>
    <s v="Connectivity &amp; Software"/>
    <s v="Valid"/>
  </r>
  <r>
    <s v="TKT000030"/>
    <x v="2"/>
    <s v="01/20/2026 13:57"/>
    <s v="01/21/2026 05:27"/>
    <x v="3"/>
    <s v="Device Errors"/>
    <s v="Medium"/>
    <x v="3"/>
    <x v="4"/>
    <n v="15.5"/>
    <n v="8"/>
    <s v="No"/>
    <n v="1"/>
    <s v="No"/>
    <s v="Closed"/>
    <s v="Escalated"/>
    <x v="1"/>
    <x v="1"/>
    <s v="Match "/>
    <x v="1"/>
    <m/>
    <s v="Valid"/>
    <s v="Hardware &amp; Mechanical"/>
    <s v="Valid"/>
  </r>
  <r>
    <s v="TKT000031"/>
    <x v="9"/>
    <s v="03/11/2026 09:08"/>
    <s v="03/11/2026 14:56"/>
    <x v="1"/>
    <s v="Defective Prints"/>
    <s v="Medium"/>
    <x v="7"/>
    <x v="3"/>
    <n v="5.8"/>
    <n v="8"/>
    <s v="Yes"/>
    <n v="4"/>
    <s v="No"/>
    <s v="Closed"/>
    <s v="Fixed"/>
    <x v="2"/>
    <x v="0"/>
    <s v="Match "/>
    <x v="0"/>
    <m/>
    <s v="Valid"/>
    <s v="Print Quality"/>
    <s v="Valid"/>
  </r>
  <r>
    <s v="TKT000032"/>
    <x v="8"/>
    <s v="03/13/2026 15:33"/>
    <s v="03/14/2026 09:39"/>
    <x v="3"/>
    <s v="Paper Jam"/>
    <s v="Medium"/>
    <x v="8"/>
    <x v="4"/>
    <n v="18.100000000000001"/>
    <n v="8"/>
    <s v="No"/>
    <n v="2"/>
    <s v="Yes"/>
    <s v="Closed"/>
    <s v="Escalated"/>
    <x v="1"/>
    <x v="1"/>
    <s v="Match "/>
    <x v="1"/>
    <m/>
    <s v="Valid"/>
    <s v="Hardware &amp; Mechanical"/>
    <s v="Valid"/>
  </r>
  <r>
    <s v="TKT000033"/>
    <x v="2"/>
    <s v="01/11/2026 15:33"/>
    <s v="01/12/2026 02:39"/>
    <x v="0"/>
    <s v="Driver &amp; Setup"/>
    <s v="Low"/>
    <x v="6"/>
    <x v="0"/>
    <n v="11.1"/>
    <n v="24"/>
    <s v="Yes"/>
    <n v="5"/>
    <s v="No"/>
    <s v="Closed"/>
    <s v="Fixed"/>
    <x v="1"/>
    <x v="0"/>
    <s v="Match "/>
    <x v="0"/>
    <m/>
    <s v="Valid"/>
    <s v="Connectivity &amp; Software"/>
    <s v="Valid"/>
  </r>
  <r>
    <s v="TKT000034"/>
    <x v="0"/>
    <s v="03/26/2026 14:31"/>
    <s v="03/26/2026 20:55"/>
    <x v="1"/>
    <s v="Finishing Errors"/>
    <s v="High"/>
    <x v="1"/>
    <x v="1"/>
    <n v="6.4"/>
    <n v="4"/>
    <s v="No"/>
    <n v="3"/>
    <s v="No"/>
    <s v="Closed"/>
    <s v="Escalated"/>
    <x v="1"/>
    <x v="1"/>
    <s v="Match "/>
    <x v="1"/>
    <m/>
    <s v="Valid"/>
    <s v="Print Quality"/>
    <s v="Valid"/>
  </r>
  <r>
    <s v="TKT000035"/>
    <x v="0"/>
    <s v="02/12/2026 08:13"/>
    <s v="02/12/2026 17:49"/>
    <x v="3"/>
    <s v="Paper Jam"/>
    <s v="Low"/>
    <x v="3"/>
    <x v="4"/>
    <n v="9.6"/>
    <n v="24"/>
    <s v="Yes"/>
    <n v="4"/>
    <s v="No"/>
    <s v="Closed"/>
    <s v="Fixed"/>
    <x v="3"/>
    <x v="0"/>
    <s v="Match "/>
    <x v="0"/>
    <m/>
    <s v="Valid"/>
    <s v="Hardware &amp; Mechanical"/>
    <s v="Valid"/>
  </r>
  <r>
    <s v="TKT000036"/>
    <x v="0"/>
    <s v="02/06/2026 16:54"/>
    <s v="02/07/2026 01:30"/>
    <x v="0"/>
    <s v="Network Dropouts"/>
    <s v="Low"/>
    <x v="1"/>
    <x v="0"/>
    <n v="8.6"/>
    <n v="24"/>
    <s v="Yes"/>
    <n v="5"/>
    <s v="No"/>
    <s v="Closed"/>
    <s v="Fixed"/>
    <x v="2"/>
    <x v="0"/>
    <s v="Match "/>
    <x v="0"/>
    <m/>
    <s v="Valid"/>
    <s v="Connectivity &amp; Software"/>
    <s v="Valid"/>
  </r>
  <r>
    <s v="TKT000037"/>
    <x v="3"/>
    <s v="03/15/2026 08:38"/>
    <s v="03/15/2026 17:14"/>
    <x v="0"/>
    <s v="Scan-to-Email"/>
    <s v="Medium"/>
    <x v="5"/>
    <x v="0"/>
    <n v="8.6"/>
    <n v="8"/>
    <s v="No"/>
    <n v="3"/>
    <s v="Yes"/>
    <s v="Closed"/>
    <s v="Escalated"/>
    <x v="3"/>
    <x v="1"/>
    <s v="Match "/>
    <x v="1"/>
    <m/>
    <s v="Valid"/>
    <s v="Connectivity &amp; Software"/>
    <s v="Valid"/>
  </r>
  <r>
    <s v="TKT000038"/>
    <x v="2"/>
    <s v="03/04/2026 13:04"/>
    <s v="03/04/2026 17:10"/>
    <x v="1"/>
    <s v="Defective Prints"/>
    <s v="Medium"/>
    <x v="2"/>
    <x v="3"/>
    <n v="4.0999999999999996"/>
    <n v="8"/>
    <s v="Yes"/>
    <m/>
    <s v="No"/>
    <s v="Closed"/>
    <s v="Fixed"/>
    <x v="0"/>
    <x v="0"/>
    <s v="Match "/>
    <x v="0"/>
    <m/>
    <s v="Valid"/>
    <s v="Print Quality"/>
    <s v="Valid"/>
  </r>
  <r>
    <s v="TKT000039"/>
    <x v="8"/>
    <s v="02/27/2026 08:34"/>
    <s v="02/27/2026 17:22"/>
    <x v="4"/>
    <s v="Toner Replenishment"/>
    <s v="High"/>
    <x v="6"/>
    <x v="5"/>
    <n v="8.8000000000000007"/>
    <n v="4"/>
    <s v="No"/>
    <n v="3"/>
    <s v="Yes"/>
    <s v="Closed"/>
    <s v="Pending"/>
    <x v="2"/>
    <x v="1"/>
    <s v="Match "/>
    <x v="1"/>
    <m/>
    <s v="Valid"/>
    <s v="Supplies &amp; Logistics"/>
    <s v="Valid"/>
  </r>
  <r>
    <s v="TKT000040"/>
    <x v="7"/>
    <s v="01/27/2026 14:30"/>
    <s v="01/27/2026 23:06"/>
    <x v="3"/>
    <s v="Parts Wear"/>
    <s v="Low"/>
    <x v="4"/>
    <x v="1"/>
    <n v="8.6"/>
    <n v="24"/>
    <s v="Yes"/>
    <n v="4"/>
    <s v="No"/>
    <s v="Closed"/>
    <s v="Fixed"/>
    <x v="3"/>
    <x v="0"/>
    <s v="Match "/>
    <x v="0"/>
    <m/>
    <s v="Valid"/>
    <s v="Hardware &amp; Mechanical"/>
    <s v="Valid"/>
  </r>
  <r>
    <s v="TKT000041"/>
    <x v="3"/>
    <s v="02/27/2026 09:00"/>
    <s v="02/27/2026 18:48"/>
    <x v="3"/>
    <s v="Paper Jam"/>
    <s v="Medium"/>
    <x v="5"/>
    <x v="4"/>
    <n v="9.8000000000000007"/>
    <n v="8"/>
    <s v="No"/>
    <n v="1"/>
    <s v="Yes"/>
    <s v="Closed"/>
    <s v="Escalated"/>
    <x v="2"/>
    <x v="1"/>
    <s v="Match "/>
    <x v="1"/>
    <m/>
    <s v="Valid"/>
    <s v="Hardware &amp; Mechanical"/>
    <s v="Valid"/>
  </r>
  <r>
    <s v="TKT000042"/>
    <x v="1"/>
    <s v="03/21/2026 08:14"/>
    <s v="03/21/2026 20:32"/>
    <x v="1"/>
    <s v="Defective Prints"/>
    <s v="Medium"/>
    <x v="6"/>
    <x v="3"/>
    <n v="12.3"/>
    <n v="8"/>
    <s v="No"/>
    <n v="1"/>
    <s v="Yes"/>
    <s v="Closed"/>
    <s v="Escalated"/>
    <x v="1"/>
    <x v="1"/>
    <s v="Match "/>
    <x v="1"/>
    <m/>
    <s v="Valid"/>
    <s v="Print Quality"/>
    <s v="Valid"/>
  </r>
  <r>
    <s v="TKT000043"/>
    <x v="6"/>
    <s v="01/17/2026 09:06"/>
    <s v="01/17/2026 19:48"/>
    <x v="0"/>
    <s v="Scan-to-Email"/>
    <s v="Medium"/>
    <x v="7"/>
    <x v="0"/>
    <n v="10.7"/>
    <n v="8"/>
    <s v="No"/>
    <n v="1"/>
    <s v="No"/>
    <s v="Closed"/>
    <s v="Escalated"/>
    <x v="1"/>
    <x v="1"/>
    <s v="Match "/>
    <x v="1"/>
    <m/>
    <s v="Valid"/>
    <s v="Connectivity &amp; Software"/>
    <s v="Valid"/>
  </r>
  <r>
    <s v="TKT000044"/>
    <x v="6"/>
    <s v="01/12/2026 11:43"/>
    <s v="01/12/2026 16:37"/>
    <x v="1"/>
    <s v="Finishing Errors"/>
    <s v="Medium"/>
    <x v="7"/>
    <x v="1"/>
    <n v="4.9000000000000004"/>
    <n v="8"/>
    <s v="Yes"/>
    <n v="4"/>
    <s v="No"/>
    <s v="Closed"/>
    <s v="Fixed"/>
    <x v="3"/>
    <x v="0"/>
    <s v="Match "/>
    <x v="0"/>
    <m/>
    <s v="Valid"/>
    <s v="Print Quality"/>
    <s v="Valid"/>
  </r>
  <r>
    <s v="TKT000045"/>
    <x v="0"/>
    <s v="03/05/2026 17:26"/>
    <s v="03/06/2026 14:32"/>
    <x v="3"/>
    <s v="Device Errors"/>
    <s v="Medium"/>
    <x v="1"/>
    <x v="4"/>
    <n v="21.1"/>
    <n v="8"/>
    <s v="No"/>
    <n v="3"/>
    <s v="Yes"/>
    <s v="Closed"/>
    <s v="Pending"/>
    <x v="0"/>
    <x v="1"/>
    <s v="Match "/>
    <x v="1"/>
    <m/>
    <s v="Valid"/>
    <s v="Hardware &amp; Mechanical"/>
    <s v="Valid"/>
  </r>
  <r>
    <s v="TKT000046"/>
    <x v="3"/>
    <s v="03/30/2026 13:22"/>
    <s v="03/31/2026 11:16"/>
    <x v="3"/>
    <s v="Paper Jam"/>
    <s v="Low"/>
    <x v="5"/>
    <x v="4"/>
    <n v="21.9"/>
    <n v="24"/>
    <s v="Yes"/>
    <n v="4"/>
    <s v="No"/>
    <s v="Closed"/>
    <s v="Fixed"/>
    <x v="1"/>
    <x v="0"/>
    <s v="Match "/>
    <x v="0"/>
    <m/>
    <s v="Valid"/>
    <s v="Hardware &amp; Mechanical"/>
    <s v="Valid"/>
  </r>
  <r>
    <s v="TKT000047"/>
    <x v="4"/>
    <s v="02/20/2026 14:06"/>
    <s v="02/20/2026 20:00"/>
    <x v="4"/>
    <s v="Paper Supply"/>
    <s v="Medium"/>
    <x v="7"/>
    <x v="5"/>
    <n v="5.9"/>
    <n v="8"/>
    <s v="Yes"/>
    <n v="4"/>
    <s v="No"/>
    <s v="Closed"/>
    <s v="Fixed"/>
    <x v="3"/>
    <x v="0"/>
    <s v="Match "/>
    <x v="0"/>
    <m/>
    <s v="Valid"/>
    <s v="Supplies &amp; Logistics"/>
    <s v="Valid"/>
  </r>
  <r>
    <s v="TKT000048"/>
    <x v="3"/>
    <s v="03/02/2026 10:15"/>
    <s v="03/02/2026 20:39"/>
    <x v="3"/>
    <s v="Device Errors"/>
    <s v="Low"/>
    <x v="8"/>
    <x v="4"/>
    <n v="10.4"/>
    <n v="24"/>
    <s v="Yes"/>
    <n v="4"/>
    <s v="No"/>
    <s v="Closed"/>
    <s v="Fixed"/>
    <x v="0"/>
    <x v="0"/>
    <s v="Match "/>
    <x v="0"/>
    <m/>
    <s v="Valid"/>
    <s v="Hardware &amp; Mechanical"/>
    <s v="Valid"/>
  </r>
  <r>
    <s v="TKT000049"/>
    <x v="9"/>
    <s v="03/27/2026 11:41"/>
    <s v="03/27/2026 20:35"/>
    <x v="0"/>
    <s v="Scan-to-Email"/>
    <s v="High"/>
    <x v="1"/>
    <x v="0"/>
    <n v="8.9"/>
    <n v="4"/>
    <s v="No"/>
    <n v="2"/>
    <s v="No"/>
    <s v="Closed"/>
    <s v="Escalated"/>
    <x v="3"/>
    <x v="1"/>
    <s v="Match "/>
    <x v="1"/>
    <m/>
    <s v="Valid"/>
    <s v="Connectivity &amp; Software"/>
    <s v="Valid"/>
  </r>
  <r>
    <s v="TKT000050"/>
    <x v="9"/>
    <s v="01/19/2026 16:38"/>
    <s v="01/20/2026 05:14"/>
    <x v="1"/>
    <s v="Color Calibration"/>
    <s v="Medium"/>
    <x v="3"/>
    <x v="3"/>
    <n v="12.6"/>
    <n v="8"/>
    <s v="No"/>
    <n v="3"/>
    <s v="Yes"/>
    <s v="Closed"/>
    <s v="Pending"/>
    <x v="0"/>
    <x v="1"/>
    <s v="Match "/>
    <x v="1"/>
    <m/>
    <s v="Valid"/>
    <s v="Print Quality"/>
    <s v="Valid"/>
  </r>
  <r>
    <s v="TKT000051"/>
    <x v="4"/>
    <s v="02/27/2026 09:05"/>
    <s v="02/27/2026 16:41"/>
    <x v="4"/>
    <s v="Toner Replenishment"/>
    <s v="High"/>
    <x v="7"/>
    <x v="5"/>
    <n v="7.6"/>
    <n v="4"/>
    <s v="No"/>
    <n v="2"/>
    <s v="Yes"/>
    <s v="Closed"/>
    <s v="Escalated"/>
    <x v="1"/>
    <x v="1"/>
    <s v="Match "/>
    <x v="1"/>
    <m/>
    <s v="Valid"/>
    <s v="Supplies &amp; Logistics"/>
    <s v="Valid"/>
  </r>
  <r>
    <s v="TKT000052"/>
    <x v="2"/>
    <s v="03/04/2026 13:33"/>
    <s v="03/04/2026 20:57"/>
    <x v="1"/>
    <s v="Defective Prints"/>
    <s v="High"/>
    <x v="2"/>
    <x v="3"/>
    <n v="7.4"/>
    <n v="4"/>
    <s v="No"/>
    <n v="2"/>
    <s v="No"/>
    <s v="Closed"/>
    <s v="Escalated"/>
    <x v="3"/>
    <x v="1"/>
    <s v="Match "/>
    <x v="1"/>
    <m/>
    <s v="Valid"/>
    <s v="Print Quality"/>
    <s v="Valid"/>
  </r>
  <r>
    <s v="TKT000053"/>
    <x v="9"/>
    <s v="03/26/2026 10:40"/>
    <s v="03/26/2026 22:22"/>
    <x v="0"/>
    <s v="Network Dropouts"/>
    <s v="Medium"/>
    <x v="8"/>
    <x v="0"/>
    <n v="11.7"/>
    <n v="8"/>
    <s v="No"/>
    <n v="2"/>
    <s v="Yes"/>
    <s v="Closed"/>
    <s v="Escalated"/>
    <x v="0"/>
    <x v="1"/>
    <s v="Match "/>
    <x v="1"/>
    <m/>
    <s v="Valid"/>
    <s v="Connectivity &amp; Software"/>
    <s v="Valid"/>
  </r>
  <r>
    <s v="TKT000054"/>
    <x v="1"/>
    <s v="03/05/2026 08:37"/>
    <s v="03/05/2026 15:55"/>
    <x v="0"/>
    <s v="Scan-to-Email"/>
    <s v="High"/>
    <x v="9"/>
    <x v="0"/>
    <n v="7.3"/>
    <n v="4"/>
    <s v="No"/>
    <n v="2"/>
    <s v="Yes"/>
    <s v="Closed"/>
    <s v="Pending"/>
    <x v="0"/>
    <x v="1"/>
    <s v="Match "/>
    <x v="1"/>
    <m/>
    <s v="Valid"/>
    <s v="Connectivity &amp; Software"/>
    <s v="Valid"/>
  </r>
  <r>
    <s v="TKT000055"/>
    <x v="5"/>
    <s v="02/10/2026 14:04"/>
    <s v="02/11/2026 12:28"/>
    <x v="3"/>
    <s v="Device Errors"/>
    <s v="Medium"/>
    <x v="6"/>
    <x v="4"/>
    <n v="22.4"/>
    <n v="8"/>
    <s v="No"/>
    <n v="3"/>
    <s v="Yes"/>
    <s v="Closed"/>
    <s v="Pending"/>
    <x v="3"/>
    <x v="1"/>
    <s v="Match "/>
    <x v="1"/>
    <m/>
    <s v="Valid"/>
    <s v="Hardware &amp; Mechanical"/>
    <s v="Valid"/>
  </r>
  <r>
    <s v="TKT000056"/>
    <x v="9"/>
    <s v="01/09/2026 14:11"/>
    <s v="01/09/2026 23:17"/>
    <x v="0"/>
    <s v="Network Dropouts"/>
    <s v="Low"/>
    <x v="2"/>
    <x v="0"/>
    <n v="9.1"/>
    <n v="24"/>
    <s v="Yes"/>
    <n v="5"/>
    <s v="No"/>
    <s v="Closed"/>
    <s v="Fixed"/>
    <x v="3"/>
    <x v="0"/>
    <s v="Match "/>
    <x v="0"/>
    <m/>
    <s v="Valid"/>
    <s v="Connectivity &amp; Software"/>
    <s v="Valid"/>
  </r>
  <r>
    <s v="TKT000057"/>
    <x v="1"/>
    <s v="02/17/2026 11:59"/>
    <s v="02/17/2026 19:29"/>
    <x v="0"/>
    <s v="Network Dropouts"/>
    <s v="Medium"/>
    <x v="3"/>
    <x v="0"/>
    <n v="7.5"/>
    <n v="8"/>
    <s v="Yes"/>
    <n v="5"/>
    <s v="No"/>
    <s v="Closed"/>
    <s v="Fixed"/>
    <x v="2"/>
    <x v="0"/>
    <s v="Match "/>
    <x v="0"/>
    <m/>
    <s v="Valid"/>
    <s v="Connectivity &amp; Software"/>
    <s v="Valid"/>
  </r>
  <r>
    <s v="TKT000058"/>
    <x v="0"/>
    <s v="03/17/2026 16:33"/>
    <s v="03/17/2026 23:57"/>
    <x v="1"/>
    <s v="Color Calibration"/>
    <s v="Low"/>
    <x v="5"/>
    <x v="3"/>
    <n v="7.4"/>
    <n v="24"/>
    <s v="Yes"/>
    <n v="4"/>
    <s v="No"/>
    <s v="Closed"/>
    <s v="Fixed"/>
    <x v="3"/>
    <x v="0"/>
    <s v="Match "/>
    <x v="0"/>
    <m/>
    <s v="Valid"/>
    <s v="Print Quality"/>
    <s v="Valid"/>
  </r>
  <r>
    <s v="TKT000059"/>
    <x v="3"/>
    <s v="01/16/2026 15:09"/>
    <s v="01/17/2026 01:15"/>
    <x v="0"/>
    <s v="Driver &amp; Setup"/>
    <s v="Low"/>
    <x v="5"/>
    <x v="0"/>
    <n v="10.1"/>
    <n v="24"/>
    <s v="Yes"/>
    <n v="4"/>
    <s v="No"/>
    <s v="Closed"/>
    <s v="Fixed"/>
    <x v="0"/>
    <x v="0"/>
    <s v="Match "/>
    <x v="0"/>
    <m/>
    <s v="Valid"/>
    <s v="Connectivity &amp; Software"/>
    <s v="Valid"/>
  </r>
  <r>
    <s v="TKT000060"/>
    <x v="6"/>
    <s v="03/24/2026 10:15"/>
    <s v="03/25/2026 01:09"/>
    <x v="3"/>
    <s v="Device Errors"/>
    <s v="Medium"/>
    <x v="0"/>
    <x v="4"/>
    <n v="14.9"/>
    <n v="8"/>
    <s v="No"/>
    <n v="3"/>
    <s v="No"/>
    <s v="Closed"/>
    <s v="Pending"/>
    <x v="3"/>
    <x v="1"/>
    <s v="Match "/>
    <x v="1"/>
    <m/>
    <s v="Valid"/>
    <s v="Hardware &amp; Mechanical"/>
    <s v="Valid"/>
  </r>
  <r>
    <s v="TKT000061"/>
    <x v="2"/>
    <s v="03/06/2026 12:03"/>
    <s v="03/07/2026 06:15"/>
    <x v="3"/>
    <s v="Device Errors"/>
    <s v="Medium"/>
    <x v="5"/>
    <x v="4"/>
    <n v="18.2"/>
    <n v="8"/>
    <s v="No"/>
    <n v="2"/>
    <s v="No"/>
    <s v="Closed"/>
    <s v="Escalated"/>
    <x v="1"/>
    <x v="1"/>
    <s v="Match "/>
    <x v="1"/>
    <m/>
    <s v="Valid"/>
    <s v="Hardware &amp; Mechanical"/>
    <s v="Valid"/>
  </r>
  <r>
    <s v="TKT000062"/>
    <x v="3"/>
    <s v="03/18/2026 09:45"/>
    <s v="03/18/2026 12:03"/>
    <x v="2"/>
    <s v="Lease Terms"/>
    <s v="Medium"/>
    <x v="9"/>
    <x v="2"/>
    <n v="2.2999999999999998"/>
    <n v="8"/>
    <s v="Yes"/>
    <n v="4"/>
    <s v="No"/>
    <s v="Closed"/>
    <s v="Fixed"/>
    <x v="1"/>
    <x v="0"/>
    <s v="Match "/>
    <x v="0"/>
    <m/>
    <s v="Valid"/>
    <s v="Contract &amp; Billing"/>
    <s v="Valid"/>
  </r>
  <r>
    <s v="TKT000063"/>
    <x v="8"/>
    <s v="01/20/2026 08:13"/>
    <s v="01/20/2026 20:31"/>
    <x v="1"/>
    <s v="Finishing Errors"/>
    <s v="High"/>
    <x v="0"/>
    <x v="1"/>
    <n v="12.3"/>
    <n v="4"/>
    <s v="No"/>
    <n v="1"/>
    <s v="No"/>
    <s v="Closed"/>
    <s v="Pending"/>
    <x v="1"/>
    <x v="1"/>
    <s v="Match "/>
    <x v="1"/>
    <m/>
    <s v="Valid"/>
    <s v="Print Quality"/>
    <s v="Valid"/>
  </r>
  <r>
    <s v="TKT000064"/>
    <x v="7"/>
    <s v="01/19/2026 09:07"/>
    <s v="01/19/2026 21:37"/>
    <x v="3"/>
    <s v="Device Errors"/>
    <s v="Medium"/>
    <x v="4"/>
    <x v="4"/>
    <n v="12.5"/>
    <n v="8"/>
    <s v="No"/>
    <n v="3"/>
    <s v="No"/>
    <s v="Closed"/>
    <s v="Pending"/>
    <x v="0"/>
    <x v="1"/>
    <s v="Match "/>
    <x v="1"/>
    <m/>
    <s v="Valid"/>
    <s v="Hardware &amp; Mechanical"/>
    <s v="Valid"/>
  </r>
  <r>
    <s v="TKT000065"/>
    <x v="3"/>
    <s v="02/01/2026 08:31"/>
    <s v="02/01/2026 12:49"/>
    <x v="4"/>
    <s v="Paper Supply"/>
    <s v="Medium"/>
    <x v="9"/>
    <x v="5"/>
    <n v="4.3"/>
    <n v="8"/>
    <s v="Yes"/>
    <n v="5"/>
    <s v="No"/>
    <s v="Closed"/>
    <s v="Fixed"/>
    <x v="1"/>
    <x v="0"/>
    <s v="Match "/>
    <x v="0"/>
    <m/>
    <s v="Valid"/>
    <s v="Supplies &amp; Logistics"/>
    <s v="Valid"/>
  </r>
  <r>
    <s v="TKT000066"/>
    <x v="9"/>
    <s v="02/27/2026 14:08"/>
    <s v="02/28/2026 09:38"/>
    <x v="3"/>
    <s v="Device Errors"/>
    <s v="Medium"/>
    <x v="8"/>
    <x v="4"/>
    <n v="19.5"/>
    <n v="8"/>
    <s v="No"/>
    <n v="3"/>
    <s v="Yes"/>
    <s v="Closed"/>
    <s v="Escalated"/>
    <x v="2"/>
    <x v="1"/>
    <s v="Match "/>
    <x v="1"/>
    <m/>
    <s v="Valid"/>
    <s v="Hardware &amp; Mechanical"/>
    <s v="Valid"/>
  </r>
  <r>
    <s v="TKT000067"/>
    <x v="1"/>
    <s v="02/28/2026 08:03"/>
    <s v="02/28/2026 23:33"/>
    <x v="0"/>
    <s v="Driver &amp; Setup"/>
    <s v="Medium"/>
    <x v="9"/>
    <x v="0"/>
    <n v="15.5"/>
    <n v="8"/>
    <s v="No"/>
    <n v="2"/>
    <s v="No"/>
    <s v="Closed"/>
    <s v="Pending"/>
    <x v="3"/>
    <x v="1"/>
    <s v="Match "/>
    <x v="1"/>
    <m/>
    <s v="Valid"/>
    <s v="Connectivity &amp; Software"/>
    <s v="Valid"/>
  </r>
  <r>
    <s v="TKT000068"/>
    <x v="1"/>
    <s v="03/08/2026 10:00"/>
    <s v="03/08/2026 18:06"/>
    <x v="4"/>
    <s v="Toner Replenishment"/>
    <s v="Medium"/>
    <x v="3"/>
    <x v="5"/>
    <n v="8.1"/>
    <n v="8"/>
    <s v="No"/>
    <n v="2"/>
    <s v="Yes"/>
    <s v="Closed"/>
    <s v="Escalated"/>
    <x v="2"/>
    <x v="1"/>
    <s v="Match "/>
    <x v="1"/>
    <m/>
    <s v="Valid"/>
    <s v="Supplies &amp; Logistics"/>
    <s v="Valid"/>
  </r>
  <r>
    <s v="TKT000069"/>
    <x v="4"/>
    <s v="03/09/2026 15:37"/>
    <s v="03/10/2026 00:43"/>
    <x v="1"/>
    <s v="Defective Prints"/>
    <s v="Low"/>
    <x v="9"/>
    <x v="3"/>
    <n v="9.1"/>
    <n v="24"/>
    <s v="No"/>
    <n v="1"/>
    <s v="No"/>
    <s v="Closed"/>
    <s v="Escalated"/>
    <x v="1"/>
    <x v="0"/>
    <s v="Mismatch"/>
    <x v="0"/>
    <m/>
    <s v="Valid"/>
    <s v="Print Quality"/>
    <s v="Valid"/>
  </r>
  <r>
    <s v="TKT000070"/>
    <x v="1"/>
    <s v="03/12/2026 17:39"/>
    <s v="03/13/2026 05:33"/>
    <x v="1"/>
    <s v="Color Calibration"/>
    <s v="Low"/>
    <x v="7"/>
    <x v="3"/>
    <n v="11.9"/>
    <n v="24"/>
    <s v="Yes"/>
    <n v="5"/>
    <s v="No"/>
    <s v="Closed"/>
    <s v="Fixed"/>
    <x v="3"/>
    <x v="0"/>
    <s v="Match "/>
    <x v="0"/>
    <m/>
    <s v="Valid"/>
    <s v="Print Quality"/>
    <s v="Valid"/>
  </r>
  <r>
    <s v="TKT000071"/>
    <x v="6"/>
    <s v="03/24/2026 10:17"/>
    <s v="03/24/2026 15:17"/>
    <x v="0"/>
    <s v="Scan-to-Email"/>
    <s v="Medium"/>
    <x v="4"/>
    <x v="0"/>
    <n v="5"/>
    <n v="8"/>
    <s v="Yes"/>
    <n v="5"/>
    <s v="No"/>
    <s v="Closed"/>
    <s v="Fixed"/>
    <x v="2"/>
    <x v="0"/>
    <s v="Match "/>
    <x v="0"/>
    <m/>
    <s v="Valid"/>
    <s v="Connectivity &amp; Software"/>
    <s v="Valid"/>
  </r>
  <r>
    <s v="TKT000072"/>
    <x v="3"/>
    <s v="03/27/2026 14:44"/>
    <s v="03/27/2026 19:32"/>
    <x v="2"/>
    <s v="Relocation Requests"/>
    <s v="Medium"/>
    <x v="1"/>
    <x v="2"/>
    <n v="4.8"/>
    <n v="8"/>
    <s v="Yes"/>
    <n v="4"/>
    <s v="No"/>
    <s v="Closed"/>
    <s v="Fixed"/>
    <x v="3"/>
    <x v="0"/>
    <s v="Match "/>
    <x v="0"/>
    <m/>
    <s v="Valid"/>
    <s v="Contract &amp; Billing"/>
    <s v="Valid"/>
  </r>
  <r>
    <s v="TKT000073"/>
    <x v="0"/>
    <s v="03/08/2026 15:09"/>
    <s v="03/08/2026 21:03"/>
    <x v="4"/>
    <s v="Paper Supply"/>
    <s v="Medium"/>
    <x v="9"/>
    <x v="5"/>
    <n v="5.9"/>
    <n v="8"/>
    <s v="Yes"/>
    <n v="5"/>
    <s v="No"/>
    <s v="Closed"/>
    <s v="Fixed"/>
    <x v="1"/>
    <x v="0"/>
    <s v="Match "/>
    <x v="0"/>
    <m/>
    <s v="Valid"/>
    <s v="Supplies &amp; Logistics"/>
    <s v="Valid"/>
  </r>
  <r>
    <s v="TKT000074"/>
    <x v="6"/>
    <s v="02/08/2026 16:28"/>
    <s v="02/09/2026 04:52"/>
    <x v="0"/>
    <s v="Network Dropouts"/>
    <s v="Medium"/>
    <x v="7"/>
    <x v="0"/>
    <n v="12.4"/>
    <n v="8"/>
    <s v="No"/>
    <n v="1"/>
    <s v="No"/>
    <s v="Closed"/>
    <s v="Escalated"/>
    <x v="0"/>
    <x v="1"/>
    <s v="Match "/>
    <x v="1"/>
    <m/>
    <s v="Valid"/>
    <s v="Connectivity &amp; Software"/>
    <s v="Valid"/>
  </r>
  <r>
    <s v="TKT000075"/>
    <x v="6"/>
    <s v="03/21/2026 13:22"/>
    <s v="03/21/2026 22:04"/>
    <x v="0"/>
    <s v="Scan-to-Email"/>
    <s v="High"/>
    <x v="9"/>
    <x v="0"/>
    <n v="8.6999999999999993"/>
    <n v="4"/>
    <s v="No"/>
    <n v="2"/>
    <s v="No"/>
    <s v="Closed"/>
    <s v="Escalated"/>
    <x v="1"/>
    <x v="1"/>
    <s v="Match "/>
    <x v="1"/>
    <m/>
    <s v="Valid"/>
    <s v="Connectivity &amp; Software"/>
    <s v="Valid"/>
  </r>
  <r>
    <s v="TKT000076"/>
    <x v="2"/>
    <s v="01/18/2026 14:40"/>
    <s v="01/18/2026 21:46"/>
    <x v="0"/>
    <s v="Network Dropouts"/>
    <s v="Medium"/>
    <x v="2"/>
    <x v="0"/>
    <n v="7.1"/>
    <n v="8"/>
    <s v="Yes"/>
    <m/>
    <s v="No"/>
    <s v="Closed"/>
    <s v="Fixed"/>
    <x v="3"/>
    <x v="0"/>
    <s v="Match "/>
    <x v="0"/>
    <m/>
    <s v="Valid"/>
    <s v="Connectivity &amp; Software"/>
    <s v="Valid"/>
  </r>
  <r>
    <s v="TKT000077"/>
    <x v="2"/>
    <s v="02/22/2026 15:36"/>
    <s v="02/23/2026 00:06"/>
    <x v="0"/>
    <s v="Driver &amp; Setup"/>
    <s v="Medium"/>
    <x v="8"/>
    <x v="0"/>
    <n v="8.5"/>
    <n v="8"/>
    <s v="No"/>
    <n v="2"/>
    <s v="Yes"/>
    <s v="Closed"/>
    <s v="Pending"/>
    <x v="1"/>
    <x v="1"/>
    <s v="Match "/>
    <x v="1"/>
    <m/>
    <s v="Valid"/>
    <s v="Connectivity &amp; Software"/>
    <s v="Valid"/>
  </r>
  <r>
    <s v="TKT000078"/>
    <x v="2"/>
    <s v="01/23/2026 08:54"/>
    <s v="01/23/2026 21:18"/>
    <x v="0"/>
    <s v="Scan-to-Email"/>
    <s v="Low"/>
    <x v="7"/>
    <x v="0"/>
    <n v="12.4"/>
    <n v="24"/>
    <s v="Yes"/>
    <n v="5"/>
    <s v="No"/>
    <s v="Closed"/>
    <s v="Fixed"/>
    <x v="3"/>
    <x v="0"/>
    <s v="Match "/>
    <x v="0"/>
    <m/>
    <s v="Valid"/>
    <s v="Connectivity &amp; Software"/>
    <s v="Valid"/>
  </r>
  <r>
    <s v="TKT000079"/>
    <x v="3"/>
    <s v="03/18/2026 17:53"/>
    <s v="03/19/2026 09:11"/>
    <x v="3"/>
    <s v="Parts Wear"/>
    <s v="Low"/>
    <x v="6"/>
    <x v="1"/>
    <n v="15.3"/>
    <n v="24"/>
    <s v="Yes"/>
    <n v="5"/>
    <s v="No"/>
    <s v="Closed"/>
    <s v="Fixed"/>
    <x v="2"/>
    <x v="0"/>
    <s v="Match "/>
    <x v="0"/>
    <m/>
    <s v="Valid"/>
    <s v="Hardware &amp; Mechanical"/>
    <s v="Valid"/>
  </r>
  <r>
    <s v="TKT000080"/>
    <x v="1"/>
    <s v="01/03/2026 17:00"/>
    <s v="01/03/2026 23:30"/>
    <x v="0"/>
    <s v="Scan-to-Email"/>
    <s v="Medium"/>
    <x v="2"/>
    <x v="0"/>
    <n v="6.5"/>
    <n v="8"/>
    <s v="Yes"/>
    <n v="5"/>
    <s v="No"/>
    <s v="Closed"/>
    <s v="Fixed"/>
    <x v="1"/>
    <x v="0"/>
    <s v="Match "/>
    <x v="0"/>
    <m/>
    <s v="Valid"/>
    <s v="Connectivity &amp; Software"/>
    <s v="Valid"/>
  </r>
  <r>
    <s v="TKT000081"/>
    <x v="9"/>
    <s v="02/11/2026 08:34"/>
    <s v="02/11/2026 13:46"/>
    <x v="2"/>
    <s v="Lease Terms"/>
    <s v="Medium"/>
    <x v="0"/>
    <x v="2"/>
    <n v="5.2"/>
    <n v="8"/>
    <s v="Yes"/>
    <n v="4"/>
    <s v="No"/>
    <s v="Closed"/>
    <s v="Fixed"/>
    <x v="2"/>
    <x v="0"/>
    <s v="Match "/>
    <x v="0"/>
    <m/>
    <s v="Valid"/>
    <s v="Contract &amp; Billing"/>
    <s v="Valid"/>
  </r>
  <r>
    <s v="TKT000082"/>
    <x v="8"/>
    <s v="03/25/2026 09:23"/>
    <s v="03/25/2026 17:41"/>
    <x v="4"/>
    <s v="Toner Replenishment"/>
    <s v="Low"/>
    <x v="1"/>
    <x v="5"/>
    <n v="8.3000000000000007"/>
    <n v="24"/>
    <s v="Yes"/>
    <n v="4"/>
    <s v="No"/>
    <s v="Closed"/>
    <s v="Fixed"/>
    <x v="3"/>
    <x v="0"/>
    <s v="Match "/>
    <x v="0"/>
    <m/>
    <s v="Valid"/>
    <s v="Supplies &amp; Logistics"/>
    <s v="Valid"/>
  </r>
  <r>
    <s v="TKT000083"/>
    <x v="0"/>
    <s v="03/24/2026 12:40"/>
    <s v="03/24/2026 17:58"/>
    <x v="0"/>
    <s v="Network Dropouts"/>
    <s v="Medium"/>
    <x v="4"/>
    <x v="0"/>
    <n v="5.3"/>
    <n v="8"/>
    <s v="Yes"/>
    <n v="4"/>
    <s v="No"/>
    <s v="Closed"/>
    <s v="Fixed"/>
    <x v="1"/>
    <x v="0"/>
    <s v="Match "/>
    <x v="0"/>
    <m/>
    <s v="Valid"/>
    <s v="Connectivity &amp; Software"/>
    <s v="Valid"/>
  </r>
  <r>
    <s v="TKT000084"/>
    <x v="4"/>
    <s v="03/03/2026 11:14"/>
    <s v="03/03/2026 23:20"/>
    <x v="3"/>
    <s v="Device Errors"/>
    <s v="Medium"/>
    <x v="6"/>
    <x v="4"/>
    <n v="12.1"/>
    <n v="8"/>
    <s v="No"/>
    <n v="3"/>
    <s v="Yes"/>
    <s v="Closed"/>
    <s v="Pending"/>
    <x v="3"/>
    <x v="1"/>
    <s v="Match "/>
    <x v="1"/>
    <m/>
    <s v="Valid"/>
    <s v="Hardware &amp; Mechanical"/>
    <s v="Valid"/>
  </r>
  <r>
    <s v="TKT000085"/>
    <x v="7"/>
    <s v="03/21/2026 17:33"/>
    <s v="03/22/2026 01:09"/>
    <x v="0"/>
    <s v="Driver &amp; Setup"/>
    <s v="Medium"/>
    <x v="2"/>
    <x v="0"/>
    <n v="7.6"/>
    <n v="8"/>
    <s v="Yes"/>
    <n v="5"/>
    <s v="No"/>
    <s v="Closed"/>
    <s v="Fixed"/>
    <x v="0"/>
    <x v="0"/>
    <s v="Match "/>
    <x v="0"/>
    <m/>
    <s v="Valid"/>
    <s v="Connectivity &amp; Software"/>
    <s v="Valid"/>
  </r>
  <r>
    <s v="TKT000086"/>
    <x v="5"/>
    <s v="03/01/2026 08:47"/>
    <s v="03/01/2026 20:23"/>
    <x v="1"/>
    <s v="Color Calibration"/>
    <s v="Low"/>
    <x v="1"/>
    <x v="3"/>
    <n v="11.6"/>
    <n v="24"/>
    <s v="Yes"/>
    <n v="4"/>
    <s v="No"/>
    <s v="Closed"/>
    <s v="Fixed"/>
    <x v="2"/>
    <x v="0"/>
    <s v="Match "/>
    <x v="0"/>
    <m/>
    <s v="Valid"/>
    <s v="Print Quality"/>
    <s v="Valid"/>
  </r>
  <r>
    <s v="TKT000087"/>
    <x v="3"/>
    <s v="03/17/2026 08:46"/>
    <s v="03/17/2026 18:28"/>
    <x v="4"/>
    <s v="Toner Replenishment"/>
    <s v="Medium"/>
    <x v="0"/>
    <x v="5"/>
    <n v="9.6999999999999993"/>
    <n v="8"/>
    <s v="No"/>
    <n v="3"/>
    <s v="Yes"/>
    <s v="Closed"/>
    <s v="Pending"/>
    <x v="3"/>
    <x v="1"/>
    <s v="Match "/>
    <x v="1"/>
    <m/>
    <s v="Valid"/>
    <s v="Supplies &amp; Logistics"/>
    <s v="Valid"/>
  </r>
  <r>
    <s v="TKT000088"/>
    <x v="3"/>
    <s v="02/28/2026 11:42"/>
    <s v="03/01/2026 00:06"/>
    <x v="0"/>
    <s v="Driver &amp; Setup"/>
    <s v="High"/>
    <x v="7"/>
    <x v="0"/>
    <n v="12.4"/>
    <n v="4"/>
    <s v="No"/>
    <n v="3"/>
    <s v="Yes"/>
    <s v="Closed"/>
    <s v="Escalated"/>
    <x v="3"/>
    <x v="1"/>
    <s v="Match "/>
    <x v="1"/>
    <m/>
    <s v="Valid"/>
    <s v="Connectivity &amp; Software"/>
    <s v="Valid"/>
  </r>
  <r>
    <s v="TKT000089"/>
    <x v="7"/>
    <s v="02/22/2026 09:17"/>
    <s v="02/22/2026 17:41"/>
    <x v="1"/>
    <s v="Color Calibration"/>
    <s v="Medium"/>
    <x v="7"/>
    <x v="3"/>
    <n v="8.4"/>
    <n v="8"/>
    <s v="No"/>
    <n v="3"/>
    <s v="No"/>
    <s v="Closed"/>
    <s v="Pending"/>
    <x v="1"/>
    <x v="1"/>
    <s v="Match "/>
    <x v="1"/>
    <m/>
    <s v="Valid"/>
    <s v="Print Quality"/>
    <s v="Valid"/>
  </r>
  <r>
    <s v="TKT000090"/>
    <x v="2"/>
    <s v="03/20/2026 14:58"/>
    <s v="03/20/2026 20:04"/>
    <x v="1"/>
    <s v="Finishing Errors"/>
    <s v="High"/>
    <x v="4"/>
    <x v="1"/>
    <n v="5.0999999999999996"/>
    <n v="4"/>
    <s v="No"/>
    <n v="3"/>
    <s v="Yes"/>
    <s v="Closed"/>
    <s v="Escalated"/>
    <x v="3"/>
    <x v="1"/>
    <s v="Match "/>
    <x v="1"/>
    <m/>
    <s v="Valid"/>
    <s v="Print Quality"/>
    <s v="Valid"/>
  </r>
  <r>
    <s v="TKT000091"/>
    <x v="3"/>
    <s v="03/31/2026 10:37"/>
    <s v="03/31/2026 23:19"/>
    <x v="0"/>
    <s v="Scan-to-Email"/>
    <s v="High"/>
    <x v="6"/>
    <x v="0"/>
    <n v="12.7"/>
    <n v="4"/>
    <s v="No"/>
    <n v="1"/>
    <s v="Yes"/>
    <s v="Closed"/>
    <s v="Escalated"/>
    <x v="1"/>
    <x v="1"/>
    <s v="Match "/>
    <x v="1"/>
    <m/>
    <s v="Valid"/>
    <s v="Connectivity &amp; Software"/>
    <s v="Valid"/>
  </r>
  <r>
    <s v="TKT000092"/>
    <x v="7"/>
    <s v="01/13/2026 16:24"/>
    <s v="01/14/2026 05:30"/>
    <x v="0"/>
    <s v="Scan-to-Email"/>
    <s v="Medium"/>
    <x v="6"/>
    <x v="0"/>
    <n v="13.1"/>
    <n v="8"/>
    <s v="No"/>
    <n v="2"/>
    <s v="No"/>
    <s v="Closed"/>
    <s v="Escalated"/>
    <x v="2"/>
    <x v="1"/>
    <s v="Match "/>
    <x v="1"/>
    <m/>
    <s v="Valid"/>
    <s v="Connectivity &amp; Software"/>
    <s v="Valid"/>
  </r>
  <r>
    <s v="TKT000093"/>
    <x v="8"/>
    <s v="01/18/2026 15:48"/>
    <s v="01/19/2026 01:24"/>
    <x v="0"/>
    <s v="Scan-to-Email"/>
    <s v="High"/>
    <x v="6"/>
    <x v="0"/>
    <n v="9.6"/>
    <n v="4"/>
    <s v="No"/>
    <n v="1"/>
    <s v="No"/>
    <s v="Closed"/>
    <s v="Escalated"/>
    <x v="1"/>
    <x v="1"/>
    <s v="Match "/>
    <x v="1"/>
    <m/>
    <s v="Valid"/>
    <s v="Connectivity &amp; Software"/>
    <s v="Valid"/>
  </r>
  <r>
    <s v="TKT000094"/>
    <x v="9"/>
    <s v="01/11/2026 09:34"/>
    <s v="01/12/2026 00:28"/>
    <x v="3"/>
    <s v="Device Errors"/>
    <s v="Low"/>
    <x v="2"/>
    <x v="4"/>
    <n v="14.9"/>
    <n v="24"/>
    <s v="Yes"/>
    <n v="4"/>
    <s v="No"/>
    <s v="Closed"/>
    <s v="Fixed"/>
    <x v="0"/>
    <x v="0"/>
    <s v="Match "/>
    <x v="0"/>
    <m/>
    <s v="Valid"/>
    <s v="Hardware &amp; Mechanical"/>
    <s v="Valid"/>
  </r>
  <r>
    <s v="TKT000095"/>
    <x v="9"/>
    <s v="01/10/2026 09:09"/>
    <s v="01/11/2026 02:27"/>
    <x v="3"/>
    <s v="Parts Wear"/>
    <s v="Medium"/>
    <x v="8"/>
    <x v="1"/>
    <n v="17.3"/>
    <n v="8"/>
    <s v="No"/>
    <n v="2"/>
    <s v="No"/>
    <s v="Closed"/>
    <s v="Escalated"/>
    <x v="1"/>
    <x v="1"/>
    <s v="Match "/>
    <x v="1"/>
    <m/>
    <s v="Valid"/>
    <s v="Hardware &amp; Mechanical"/>
    <s v="Valid"/>
  </r>
  <r>
    <s v="TKT000096"/>
    <x v="8"/>
    <s v="01/14/2026 13:58"/>
    <s v="01/14/2026 21:04"/>
    <x v="1"/>
    <s v="Finishing Errors"/>
    <s v="Low"/>
    <x v="2"/>
    <x v="1"/>
    <n v="7.1"/>
    <n v="24"/>
    <s v="Yes"/>
    <n v="5"/>
    <s v="No"/>
    <s v="Closed"/>
    <s v="Fixed"/>
    <x v="0"/>
    <x v="0"/>
    <s v="Match "/>
    <x v="0"/>
    <m/>
    <s v="Valid"/>
    <s v="Print Quality"/>
    <s v="Valid"/>
  </r>
  <r>
    <s v="TKT000097"/>
    <x v="0"/>
    <s v="03/01/2026 13:43"/>
    <s v="03/01/2026 22:13"/>
    <x v="1"/>
    <s v="Finishing Errors"/>
    <s v="High"/>
    <x v="3"/>
    <x v="1"/>
    <n v="8.5"/>
    <n v="4"/>
    <s v="No"/>
    <n v="1"/>
    <s v="No"/>
    <s v="Closed"/>
    <s v="Escalated"/>
    <x v="2"/>
    <x v="1"/>
    <s v="Match "/>
    <x v="1"/>
    <m/>
    <s v="Valid"/>
    <s v="Print Quality"/>
    <s v="Valid"/>
  </r>
  <r>
    <s v="TKT000098"/>
    <x v="1"/>
    <s v="02/13/2026 15:51"/>
    <s v="02/13/2026 23:27"/>
    <x v="4"/>
    <s v="Toner Replenishment"/>
    <s v="Low"/>
    <x v="0"/>
    <x v="5"/>
    <n v="7.6"/>
    <n v="24"/>
    <s v="Yes"/>
    <n v="4"/>
    <s v="No"/>
    <s v="Closed"/>
    <s v="Fixed"/>
    <x v="3"/>
    <x v="0"/>
    <s v="Match "/>
    <x v="0"/>
    <m/>
    <s v="Valid"/>
    <s v="Supplies &amp; Logistics"/>
    <s v="Valid"/>
  </r>
  <r>
    <s v="TKT000099"/>
    <x v="2"/>
    <s v="01/21/2026 12:33"/>
    <s v="01/21/2026 17:39"/>
    <x v="1"/>
    <s v="Defective Prints"/>
    <s v="High"/>
    <x v="7"/>
    <x v="3"/>
    <n v="5.0999999999999996"/>
    <n v="4"/>
    <s v="No"/>
    <n v="2"/>
    <s v="No"/>
    <s v="Closed"/>
    <s v="Escalated"/>
    <x v="0"/>
    <x v="1"/>
    <s v="Match "/>
    <x v="1"/>
    <m/>
    <s v="Valid"/>
    <s v="Print Quality"/>
    <s v="Valid"/>
  </r>
  <r>
    <s v="TKT000100"/>
    <x v="1"/>
    <s v="02/26/2026 13:34"/>
    <s v="02/26/2026 22:46"/>
    <x v="3"/>
    <s v="Device Errors"/>
    <s v="Low"/>
    <x v="7"/>
    <x v="4"/>
    <n v="9.1999999999999993"/>
    <n v="24"/>
    <s v="Yes"/>
    <n v="4"/>
    <s v="No"/>
    <s v="Closed"/>
    <s v="Fixed"/>
    <x v="2"/>
    <x v="0"/>
    <s v="Match "/>
    <x v="0"/>
    <m/>
    <s v="Valid"/>
    <s v="Hardware &amp; Mechanical"/>
    <s v="Valid"/>
  </r>
  <r>
    <s v="TKT000101"/>
    <x v="6"/>
    <s v="03/04/2026 13:38"/>
    <s v="03/05/2026 01:20"/>
    <x v="1"/>
    <s v="Color Calibration"/>
    <s v="Low"/>
    <x v="5"/>
    <x v="3"/>
    <n v="11.7"/>
    <n v="24"/>
    <s v="Yes"/>
    <n v="4"/>
    <s v="No"/>
    <s v="Closed"/>
    <s v="Fixed"/>
    <x v="2"/>
    <x v="0"/>
    <s v="Match "/>
    <x v="0"/>
    <m/>
    <s v="Valid"/>
    <s v="Print Quality"/>
    <s v="Valid"/>
  </r>
  <r>
    <s v="TKT000102"/>
    <x v="2"/>
    <s v="01/19/2026 08:51"/>
    <s v="01/19/2026 14:15"/>
    <x v="4"/>
    <s v="Paper Supply"/>
    <s v="Medium"/>
    <x v="6"/>
    <x v="5"/>
    <n v="5.4"/>
    <n v="8"/>
    <s v="Yes"/>
    <n v="5"/>
    <s v="No"/>
    <s v="Closed"/>
    <s v="Fixed"/>
    <x v="1"/>
    <x v="0"/>
    <s v="Match "/>
    <x v="0"/>
    <m/>
    <s v="Valid"/>
    <s v="Supplies &amp; Logistics"/>
    <s v="Valid"/>
  </r>
  <r>
    <s v="TKT000103"/>
    <x v="0"/>
    <s v="03/13/2026 10:53"/>
    <s v="03/13/2026 15:59"/>
    <x v="1"/>
    <s v="Finishing Errors"/>
    <s v="Medium"/>
    <x v="5"/>
    <x v="1"/>
    <n v="5.0999999999999996"/>
    <n v="8"/>
    <s v="Yes"/>
    <n v="5"/>
    <s v="No"/>
    <s v="Closed"/>
    <s v="Fixed"/>
    <x v="2"/>
    <x v="0"/>
    <s v="Match "/>
    <x v="0"/>
    <m/>
    <s v="Valid"/>
    <s v="Print Quality"/>
    <s v="Valid"/>
  </r>
  <r>
    <s v="TKT000104"/>
    <x v="1"/>
    <s v="03/25/2026 09:42"/>
    <s v="03/26/2026 06:24"/>
    <x v="3"/>
    <s v="Parts Wear"/>
    <s v="Low"/>
    <x v="5"/>
    <x v="1"/>
    <n v="20.7"/>
    <n v="24"/>
    <s v="Yes"/>
    <n v="4"/>
    <s v="No"/>
    <s v="Closed"/>
    <s v="Fixed"/>
    <x v="1"/>
    <x v="0"/>
    <s v="Match "/>
    <x v="0"/>
    <m/>
    <s v="Valid"/>
    <s v="Hardware &amp; Mechanical"/>
    <s v="Valid"/>
  </r>
  <r>
    <s v="TKT000105"/>
    <x v="4"/>
    <s v="03/11/2026 15:24"/>
    <s v="03/12/2026 01:42"/>
    <x v="0"/>
    <s v="Scan-to-Email"/>
    <s v="Medium"/>
    <x v="6"/>
    <x v="0"/>
    <n v="10.3"/>
    <n v="8"/>
    <s v="No"/>
    <n v="3"/>
    <s v="No"/>
    <s v="Closed"/>
    <s v="Pending"/>
    <x v="1"/>
    <x v="1"/>
    <s v="Match "/>
    <x v="1"/>
    <m/>
    <s v="Valid"/>
    <s v="Connectivity &amp; Software"/>
    <s v="Valid"/>
  </r>
  <r>
    <s v="TKT000106"/>
    <x v="6"/>
    <s v="01/17/2026 08:57"/>
    <s v="01/17/2026 19:27"/>
    <x v="0"/>
    <s v="Scan-to-Email"/>
    <s v="Medium"/>
    <x v="2"/>
    <x v="0"/>
    <n v="10.5"/>
    <n v="8"/>
    <s v="No"/>
    <n v="1"/>
    <s v="No"/>
    <s v="Closed"/>
    <s v="Pending"/>
    <x v="1"/>
    <x v="1"/>
    <s v="Match "/>
    <x v="1"/>
    <m/>
    <s v="Valid"/>
    <s v="Connectivity &amp; Software"/>
    <s v="Valid"/>
  </r>
  <r>
    <s v="TKT000107"/>
    <x v="8"/>
    <s v="01/31/2026 08:57"/>
    <s v="02/01/2026 01:27"/>
    <x v="1"/>
    <s v="Finishing Errors"/>
    <s v="High"/>
    <x v="0"/>
    <x v="1"/>
    <n v="16.5"/>
    <n v="4"/>
    <s v="No"/>
    <n v="1"/>
    <s v="No"/>
    <s v="Closed"/>
    <s v="Pending"/>
    <x v="1"/>
    <x v="1"/>
    <s v="Match "/>
    <x v="1"/>
    <m/>
    <s v="Valid"/>
    <s v="Print Quality"/>
    <s v="Valid"/>
  </r>
  <r>
    <s v="TKT000108"/>
    <x v="7"/>
    <s v="02/17/2026 11:26"/>
    <s v="02/17/2026 21:50"/>
    <x v="1"/>
    <s v="Defective Prints"/>
    <s v="Medium"/>
    <x v="1"/>
    <x v="3"/>
    <n v="10.4"/>
    <n v="8"/>
    <s v="No"/>
    <n v="3"/>
    <s v="Yes"/>
    <s v="Closed"/>
    <s v="Escalated"/>
    <x v="0"/>
    <x v="1"/>
    <s v="Match "/>
    <x v="1"/>
    <m/>
    <s v="Valid"/>
    <s v="Print Quality"/>
    <s v="Valid"/>
  </r>
  <r>
    <s v="TKT000109"/>
    <x v="0"/>
    <s v="03/12/2026 14:30"/>
    <s v="03/12/2026 23:24"/>
    <x v="1"/>
    <s v="Finishing Errors"/>
    <s v="Medium"/>
    <x v="6"/>
    <x v="1"/>
    <n v="8.9"/>
    <n v="8"/>
    <s v="No"/>
    <n v="1"/>
    <s v="Yes"/>
    <s v="Closed"/>
    <s v="Escalated"/>
    <x v="1"/>
    <x v="1"/>
    <s v="Match "/>
    <x v="1"/>
    <m/>
    <s v="Valid"/>
    <s v="Print Quality"/>
    <s v="Valid"/>
  </r>
  <r>
    <s v="TKT000110"/>
    <x v="2"/>
    <s v="03/13/2026 08:36"/>
    <s v="03/13/2026 20:42"/>
    <x v="0"/>
    <s v="Driver &amp; Setup"/>
    <s v="Low"/>
    <x v="3"/>
    <x v="0"/>
    <n v="12.1"/>
    <n v="24"/>
    <s v="Yes"/>
    <n v="4"/>
    <s v="No"/>
    <s v="Closed"/>
    <s v="Fixed"/>
    <x v="0"/>
    <x v="0"/>
    <s v="Match "/>
    <x v="0"/>
    <m/>
    <s v="Valid"/>
    <s v="Connectivity &amp; Software"/>
    <s v="Valid"/>
  </r>
  <r>
    <s v="TKT000111"/>
    <x v="4"/>
    <s v="03/06/2026 17:56"/>
    <s v="03/07/2026 02:44"/>
    <x v="4"/>
    <s v="Paper Supply"/>
    <s v="Medium"/>
    <x v="3"/>
    <x v="5"/>
    <n v="8.8000000000000007"/>
    <n v="8"/>
    <s v="No"/>
    <n v="1"/>
    <s v="Yes"/>
    <s v="Closed"/>
    <s v="Escalated"/>
    <x v="3"/>
    <x v="1"/>
    <s v="Match "/>
    <x v="1"/>
    <m/>
    <s v="Valid"/>
    <s v="Supplies &amp; Logistics"/>
    <s v="Valid"/>
  </r>
  <r>
    <s v="TKT000112"/>
    <x v="8"/>
    <s v="03/30/2026 14:28"/>
    <s v="03/30/2026 23:46"/>
    <x v="4"/>
    <s v="Toner Replenishment"/>
    <s v="Low"/>
    <x v="0"/>
    <x v="5"/>
    <n v="9.3000000000000007"/>
    <n v="24"/>
    <s v="Yes"/>
    <n v="5"/>
    <s v="No"/>
    <s v="Closed"/>
    <s v="Fixed"/>
    <x v="2"/>
    <x v="0"/>
    <s v="Match "/>
    <x v="0"/>
    <m/>
    <s v="Valid"/>
    <s v="Supplies &amp; Logistics"/>
    <s v="Valid"/>
  </r>
  <r>
    <s v="TKT000113"/>
    <x v="6"/>
    <s v="01/27/2026 09:13"/>
    <s v="01/27/2026 12:07"/>
    <x v="4"/>
    <s v="Paper Supply"/>
    <s v="High"/>
    <x v="2"/>
    <x v="5"/>
    <n v="2.9"/>
    <n v="4"/>
    <s v="Yes"/>
    <n v="5"/>
    <s v="No"/>
    <s v="Closed"/>
    <s v="Fixed"/>
    <x v="1"/>
    <x v="0"/>
    <s v="Match "/>
    <x v="0"/>
    <m/>
    <s v="Valid"/>
    <s v="Supplies &amp; Logistics"/>
    <s v="Valid"/>
  </r>
  <r>
    <s v="TKT000114"/>
    <x v="6"/>
    <s v="03/10/2026 13:36"/>
    <s v="03/10/2026 21:36"/>
    <x v="0"/>
    <s v="Driver &amp; Setup"/>
    <s v="Low"/>
    <x v="6"/>
    <x v="0"/>
    <n v="8"/>
    <n v="24"/>
    <s v="Yes"/>
    <n v="4"/>
    <s v="No"/>
    <s v="Closed"/>
    <s v="Fixed"/>
    <x v="0"/>
    <x v="0"/>
    <s v="Match "/>
    <x v="0"/>
    <m/>
    <s v="Valid"/>
    <s v="Connectivity &amp; Software"/>
    <s v="Valid"/>
  </r>
  <r>
    <s v="TKT000115"/>
    <x v="3"/>
    <s v="02/01/2026 13:52"/>
    <s v="02/02/2026 00:10"/>
    <x v="0"/>
    <s v="Scan-to-Email"/>
    <s v="Low"/>
    <x v="5"/>
    <x v="0"/>
    <n v="10.3"/>
    <n v="24"/>
    <s v="Yes"/>
    <n v="4"/>
    <s v="No"/>
    <s v="Closed"/>
    <s v="Fixed"/>
    <x v="3"/>
    <x v="0"/>
    <s v="Match "/>
    <x v="0"/>
    <m/>
    <s v="Valid"/>
    <s v="Connectivity &amp; Software"/>
    <s v="Valid"/>
  </r>
  <r>
    <s v="TKT000116"/>
    <x v="6"/>
    <s v="02/13/2026 11:04"/>
    <s v="02/14/2026 00:10"/>
    <x v="3"/>
    <s v="Device Errors"/>
    <s v="Medium"/>
    <x v="9"/>
    <x v="4"/>
    <n v="13.1"/>
    <n v="8"/>
    <s v="No"/>
    <n v="3"/>
    <s v="No"/>
    <s v="Closed"/>
    <s v="Escalated"/>
    <x v="1"/>
    <x v="1"/>
    <s v="Match "/>
    <x v="1"/>
    <m/>
    <s v="Valid"/>
    <s v="Hardware &amp; Mechanical"/>
    <s v="Valid"/>
  </r>
  <r>
    <s v="TKT000117"/>
    <x v="5"/>
    <s v="01/07/2026 11:28"/>
    <s v="01/08/2026 02:34"/>
    <x v="3"/>
    <s v="Parts Wear"/>
    <s v="Medium"/>
    <x v="7"/>
    <x v="1"/>
    <n v="15.1"/>
    <n v="8"/>
    <s v="No"/>
    <n v="2"/>
    <s v="Yes"/>
    <s v="Closed"/>
    <s v="Escalated"/>
    <x v="1"/>
    <x v="1"/>
    <s v="Match "/>
    <x v="1"/>
    <m/>
    <s v="Valid"/>
    <s v="Hardware &amp; Mechanical"/>
    <s v="Valid"/>
  </r>
  <r>
    <s v="TKT000118"/>
    <x v="6"/>
    <s v="01/04/2026 17:58"/>
    <s v="01/05/2026 13:22"/>
    <x v="3"/>
    <s v="Paper Jam"/>
    <s v="Medium"/>
    <x v="3"/>
    <x v="4"/>
    <n v="19.399999999999999"/>
    <n v="8"/>
    <s v="No"/>
    <n v="3"/>
    <s v="Yes"/>
    <s v="Closed"/>
    <s v="Escalated"/>
    <x v="2"/>
    <x v="1"/>
    <s v="Match "/>
    <x v="1"/>
    <m/>
    <s v="Valid"/>
    <s v="Hardware &amp; Mechanical"/>
    <s v="Valid"/>
  </r>
  <r>
    <s v="TKT000119"/>
    <x v="1"/>
    <s v="01/21/2026 14:37"/>
    <s v="01/22/2026 03:25"/>
    <x v="0"/>
    <s v="Network Dropouts"/>
    <s v="Medium"/>
    <x v="5"/>
    <x v="0"/>
    <n v="12.8"/>
    <n v="8"/>
    <s v="No"/>
    <n v="2"/>
    <s v="No"/>
    <s v="Closed"/>
    <s v="Escalated"/>
    <x v="1"/>
    <x v="1"/>
    <s v="Match "/>
    <x v="1"/>
    <m/>
    <s v="Valid"/>
    <s v="Connectivity &amp; Software"/>
    <s v="Valid"/>
  </r>
  <r>
    <s v="TKT000120"/>
    <x v="4"/>
    <s v="01/22/2026 10:42"/>
    <s v="01/23/2026 06:06"/>
    <x v="3"/>
    <s v="Paper Jam"/>
    <s v="Medium"/>
    <x v="5"/>
    <x v="4"/>
    <n v="19.399999999999999"/>
    <n v="8"/>
    <s v="No"/>
    <n v="3"/>
    <s v="No"/>
    <s v="Closed"/>
    <s v="Escalated"/>
    <x v="3"/>
    <x v="1"/>
    <s v="Match "/>
    <x v="1"/>
    <m/>
    <s v="Valid"/>
    <s v="Hardware &amp; Mechanical"/>
    <s v="Valid"/>
  </r>
  <r>
    <s v="TKT000121"/>
    <x v="8"/>
    <s v="02/07/2026 17:22"/>
    <s v="02/08/2026 10:52"/>
    <x v="3"/>
    <s v="Paper Jam"/>
    <s v="Medium"/>
    <x v="3"/>
    <x v="4"/>
    <n v="17.5"/>
    <n v="8"/>
    <s v="No"/>
    <n v="2"/>
    <s v="Yes"/>
    <s v="Closed"/>
    <s v="Pending"/>
    <x v="0"/>
    <x v="1"/>
    <s v="Match "/>
    <x v="1"/>
    <m/>
    <s v="Valid"/>
    <s v="Hardware &amp; Mechanical"/>
    <s v="Valid"/>
  </r>
  <r>
    <s v="TKT000122"/>
    <x v="7"/>
    <s v="01/11/2026 14:30"/>
    <s v="01/11/2026 19:54"/>
    <x v="4"/>
    <s v="Paper Supply"/>
    <s v="Medium"/>
    <x v="4"/>
    <x v="5"/>
    <n v="5.4"/>
    <n v="8"/>
    <s v="Yes"/>
    <n v="4"/>
    <s v="No"/>
    <s v="Closed"/>
    <s v="Fixed"/>
    <x v="0"/>
    <x v="0"/>
    <s v="Match "/>
    <x v="0"/>
    <m/>
    <s v="Valid"/>
    <s v="Supplies &amp; Logistics"/>
    <s v="Valid"/>
  </r>
  <r>
    <s v="TKT000123"/>
    <x v="2"/>
    <s v="03/01/2026 09:56"/>
    <s v="03/01/2026 21:32"/>
    <x v="1"/>
    <s v="Defective Prints"/>
    <s v="Medium"/>
    <x v="7"/>
    <x v="3"/>
    <n v="11.6"/>
    <n v="8"/>
    <s v="No"/>
    <n v="1"/>
    <s v="Yes"/>
    <s v="Closed"/>
    <s v="Escalated"/>
    <x v="2"/>
    <x v="1"/>
    <s v="Match "/>
    <x v="1"/>
    <m/>
    <s v="Valid"/>
    <s v="Print Quality"/>
    <s v="Valid"/>
  </r>
  <r>
    <s v="TKT000124"/>
    <x v="2"/>
    <s v="02/03/2026 16:11"/>
    <s v="02/04/2026 04:17"/>
    <x v="3"/>
    <s v="Paper Jam"/>
    <s v="Low"/>
    <x v="9"/>
    <x v="4"/>
    <n v="12.1"/>
    <n v="24"/>
    <s v="Yes"/>
    <n v="4"/>
    <s v="No"/>
    <s v="Closed"/>
    <s v="Fixed"/>
    <x v="3"/>
    <x v="0"/>
    <s v="Match "/>
    <x v="0"/>
    <m/>
    <s v="Valid"/>
    <s v="Hardware &amp; Mechanical"/>
    <s v="Valid"/>
  </r>
  <r>
    <s v="TKT000125"/>
    <x v="9"/>
    <s v="01/10/2026 11:05"/>
    <s v="01/10/2026 20:23"/>
    <x v="0"/>
    <s v="Scan-to-Email"/>
    <s v="Low"/>
    <x v="8"/>
    <x v="0"/>
    <n v="9.3000000000000007"/>
    <n v="24"/>
    <s v="Yes"/>
    <n v="5"/>
    <s v="No"/>
    <s v="Closed"/>
    <s v="Fixed"/>
    <x v="1"/>
    <x v="0"/>
    <s v="Match "/>
    <x v="0"/>
    <m/>
    <s v="Valid"/>
    <s v="Connectivity &amp; Software"/>
    <s v="Valid"/>
  </r>
  <r>
    <s v="TKT000126"/>
    <x v="1"/>
    <s v="02/03/2026 17:19"/>
    <s v="02/03/2026 22:19"/>
    <x v="1"/>
    <s v="Defective Prints"/>
    <s v="Medium"/>
    <x v="9"/>
    <x v="3"/>
    <n v="5"/>
    <n v="8"/>
    <s v="Yes"/>
    <n v="5"/>
    <s v="No"/>
    <s v="Closed"/>
    <s v="Fixed"/>
    <x v="2"/>
    <x v="0"/>
    <s v="Match "/>
    <x v="0"/>
    <m/>
    <s v="Valid"/>
    <s v="Print Quality"/>
    <s v="Valid"/>
  </r>
  <r>
    <s v="TKT000127"/>
    <x v="6"/>
    <s v="03/18/2026 14:16"/>
    <s v="03/18/2026 19:10"/>
    <x v="1"/>
    <s v="Finishing Errors"/>
    <s v="Medium"/>
    <x v="7"/>
    <x v="1"/>
    <n v="4.9000000000000004"/>
    <n v="8"/>
    <s v="Yes"/>
    <n v="5"/>
    <s v="No"/>
    <s v="Closed"/>
    <s v="Fixed"/>
    <x v="0"/>
    <x v="0"/>
    <s v="Match "/>
    <x v="0"/>
    <m/>
    <s v="Valid"/>
    <s v="Print Quality"/>
    <s v="Valid"/>
  </r>
  <r>
    <s v="TKT000128"/>
    <x v="3"/>
    <s v="02/04/2026 13:21"/>
    <s v="02/04/2026 22:03"/>
    <x v="1"/>
    <s v="Defective Prints"/>
    <s v="Low"/>
    <x v="7"/>
    <x v="3"/>
    <n v="8.6999999999999993"/>
    <n v="24"/>
    <s v="Yes"/>
    <n v="4"/>
    <s v="No"/>
    <s v="Closed"/>
    <s v="Fixed"/>
    <x v="3"/>
    <x v="0"/>
    <s v="Match "/>
    <x v="0"/>
    <m/>
    <s v="Valid"/>
    <s v="Print Quality"/>
    <s v="Valid"/>
  </r>
  <r>
    <s v="TKT000129"/>
    <x v="8"/>
    <s v="03/09/2026 09:55"/>
    <s v="03/10/2026 01:01"/>
    <x v="3"/>
    <s v="Parts Wear"/>
    <s v="High"/>
    <x v="8"/>
    <x v="1"/>
    <n v="15.1"/>
    <n v="4"/>
    <s v="No"/>
    <n v="3"/>
    <s v="No"/>
    <s v="Closed"/>
    <s v="Escalated"/>
    <x v="0"/>
    <x v="1"/>
    <s v="Match "/>
    <x v="1"/>
    <m/>
    <s v="Valid"/>
    <s v="Hardware &amp; Mechanical"/>
    <s v="Valid"/>
  </r>
  <r>
    <s v="TKT000130"/>
    <x v="4"/>
    <s v="03/04/2026 09:56"/>
    <s v="03/04/2026 13:14"/>
    <x v="4"/>
    <s v="Paper Supply"/>
    <s v="Medium"/>
    <x v="4"/>
    <x v="5"/>
    <n v="3.3"/>
    <n v="8"/>
    <s v="Yes"/>
    <n v="5"/>
    <s v="No"/>
    <s v="Closed"/>
    <s v="Fixed"/>
    <x v="1"/>
    <x v="0"/>
    <s v="Match "/>
    <x v="0"/>
    <m/>
    <s v="Valid"/>
    <s v="Supplies &amp; Logistics"/>
    <s v="Valid"/>
  </r>
  <r>
    <s v="TKT000131"/>
    <x v="4"/>
    <s v="01/23/2026 14:18"/>
    <s v="01/23/2026 20:54"/>
    <x v="0"/>
    <s v="Network Dropouts"/>
    <s v="Low"/>
    <x v="7"/>
    <x v="0"/>
    <n v="6.6"/>
    <n v="24"/>
    <s v="Yes"/>
    <n v="5"/>
    <s v="No"/>
    <s v="Closed"/>
    <s v="Fixed"/>
    <x v="0"/>
    <x v="0"/>
    <s v="Match "/>
    <x v="0"/>
    <m/>
    <s v="Valid"/>
    <s v="Connectivity &amp; Software"/>
    <s v="Valid"/>
  </r>
  <r>
    <s v="TKT000132"/>
    <x v="9"/>
    <s v="03/17/2026 15:01"/>
    <s v="03/18/2026 00:25"/>
    <x v="1"/>
    <s v="Color Calibration"/>
    <s v="High"/>
    <x v="0"/>
    <x v="3"/>
    <n v="9.4"/>
    <n v="4"/>
    <s v="No"/>
    <n v="3"/>
    <s v="No"/>
    <s v="Closed"/>
    <s v="Pending"/>
    <x v="2"/>
    <x v="1"/>
    <s v="Match "/>
    <x v="1"/>
    <m/>
    <s v="Valid"/>
    <s v="Print Quality"/>
    <s v="Valid"/>
  </r>
  <r>
    <s v="TKT000133"/>
    <x v="5"/>
    <s v="03/04/2026 13:09"/>
    <s v="03/05/2026 03:51"/>
    <x v="3"/>
    <s v="Device Errors"/>
    <s v="Medium"/>
    <x v="2"/>
    <x v="4"/>
    <n v="14.7"/>
    <n v="8"/>
    <s v="No"/>
    <n v="3"/>
    <s v="No"/>
    <s v="Closed"/>
    <s v="Pending"/>
    <x v="1"/>
    <x v="1"/>
    <s v="Match "/>
    <x v="1"/>
    <m/>
    <s v="Valid"/>
    <s v="Hardware &amp; Mechanical"/>
    <s v="Valid"/>
  </r>
  <r>
    <s v="TKT000134"/>
    <x v="1"/>
    <s v="02/28/2026 09:50"/>
    <s v="02/28/2026 21:08"/>
    <x v="3"/>
    <s v="Paper Jam"/>
    <s v="Medium"/>
    <x v="4"/>
    <x v="4"/>
    <n v="11.3"/>
    <n v="8"/>
    <s v="No"/>
    <n v="3"/>
    <s v="No"/>
    <s v="Closed"/>
    <s v="Escalated"/>
    <x v="0"/>
    <x v="1"/>
    <s v="Match "/>
    <x v="1"/>
    <m/>
    <s v="Valid"/>
    <s v="Hardware &amp; Mechanical"/>
    <s v="Valid"/>
  </r>
  <r>
    <s v="TKT000135"/>
    <x v="0"/>
    <s v="01/28/2026 13:53"/>
    <s v="01/28/2026 23:47"/>
    <x v="0"/>
    <s v="Driver &amp; Setup"/>
    <s v="Low"/>
    <x v="3"/>
    <x v="0"/>
    <n v="9.9"/>
    <n v="24"/>
    <s v="Yes"/>
    <n v="5"/>
    <s v="No"/>
    <s v="Closed"/>
    <s v="Fixed"/>
    <x v="2"/>
    <x v="0"/>
    <s v="Match "/>
    <x v="0"/>
    <m/>
    <s v="Valid"/>
    <s v="Connectivity &amp; Software"/>
    <s v="Valid"/>
  </r>
  <r>
    <s v="TKT000136"/>
    <x v="5"/>
    <s v="02/25/2026 15:47"/>
    <s v="02/26/2026 03:41"/>
    <x v="0"/>
    <s v="Scan-to-Email"/>
    <s v="Medium"/>
    <x v="6"/>
    <x v="0"/>
    <n v="11.9"/>
    <n v="8"/>
    <s v="No"/>
    <n v="2"/>
    <s v="Yes"/>
    <s v="Closed"/>
    <s v="Escalated"/>
    <x v="1"/>
    <x v="1"/>
    <s v="Match "/>
    <x v="1"/>
    <m/>
    <s v="Valid"/>
    <s v="Connectivity &amp; Software"/>
    <s v="Valid"/>
  </r>
  <r>
    <s v="TKT000137"/>
    <x v="8"/>
    <s v="02/02/2026 14:00"/>
    <s v="02/02/2026 22:30"/>
    <x v="1"/>
    <s v="Color Calibration"/>
    <s v="Medium"/>
    <x v="3"/>
    <x v="3"/>
    <n v="8.5"/>
    <n v="8"/>
    <s v="No"/>
    <n v="1"/>
    <s v="Yes"/>
    <s v="Closed"/>
    <s v="Pending"/>
    <x v="3"/>
    <x v="1"/>
    <s v="Match "/>
    <x v="1"/>
    <m/>
    <s v="Valid"/>
    <s v="Print Quality"/>
    <s v="Valid"/>
  </r>
  <r>
    <s v="TKT000138"/>
    <x v="0"/>
    <s v="01/21/2026 17:49"/>
    <s v="01/22/2026 02:43"/>
    <x v="3"/>
    <s v="Parts Wear"/>
    <s v="Medium"/>
    <x v="2"/>
    <x v="1"/>
    <n v="8.9"/>
    <n v="8"/>
    <s v="No"/>
    <n v="1"/>
    <s v="No"/>
    <s v="Closed"/>
    <s v="Pending"/>
    <x v="2"/>
    <x v="1"/>
    <s v="Match "/>
    <x v="1"/>
    <m/>
    <s v="Valid"/>
    <s v="Hardware &amp; Mechanical"/>
    <s v="Valid"/>
  </r>
  <r>
    <s v="TKT000139"/>
    <x v="9"/>
    <s v="03/21/2026 10:12"/>
    <s v="03/22/2026 11:18"/>
    <x v="3"/>
    <s v="Device Errors"/>
    <s v="Medium"/>
    <x v="0"/>
    <x v="4"/>
    <n v="25.1"/>
    <n v="8"/>
    <s v="No"/>
    <n v="3"/>
    <s v="No"/>
    <s v="Closed"/>
    <s v="Pending"/>
    <x v="2"/>
    <x v="1"/>
    <s v="Match "/>
    <x v="1"/>
    <m/>
    <s v="Valid"/>
    <s v="Hardware &amp; Mechanical"/>
    <s v="Valid"/>
  </r>
  <r>
    <s v="TKT000140"/>
    <x v="7"/>
    <s v="01/29/2026 17:18"/>
    <s v="01/30/2026 12:36"/>
    <x v="3"/>
    <s v="Parts Wear"/>
    <s v="Medium"/>
    <x v="6"/>
    <x v="1"/>
    <n v="19.3"/>
    <n v="8"/>
    <s v="No"/>
    <n v="3"/>
    <s v="No"/>
    <s v="Closed"/>
    <s v="Pending"/>
    <x v="3"/>
    <x v="1"/>
    <s v="Match "/>
    <x v="1"/>
    <m/>
    <s v="Valid"/>
    <s v="Hardware &amp; Mechanical"/>
    <s v="Valid"/>
  </r>
  <r>
    <s v="TKT000141"/>
    <x v="9"/>
    <s v="03/03/2026 09:06"/>
    <s v="03/04/2026 00:24"/>
    <x v="1"/>
    <s v="Color Calibration"/>
    <s v="Low"/>
    <x v="0"/>
    <x v="3"/>
    <n v="15.3"/>
    <n v="24"/>
    <s v="Yes"/>
    <n v="5"/>
    <s v="No"/>
    <s v="Closed"/>
    <s v="Fixed"/>
    <x v="3"/>
    <x v="0"/>
    <s v="Match "/>
    <x v="0"/>
    <m/>
    <s v="Valid"/>
    <s v="Print Quality"/>
    <s v="Valid"/>
  </r>
  <r>
    <s v="TKT000142"/>
    <x v="7"/>
    <s v="03/21/2026 13:52"/>
    <s v="03/21/2026 19:46"/>
    <x v="1"/>
    <s v="Color Calibration"/>
    <s v="Low"/>
    <x v="2"/>
    <x v="3"/>
    <n v="5.9"/>
    <n v="24"/>
    <s v="Yes"/>
    <n v="4"/>
    <s v="No"/>
    <s v="Closed"/>
    <s v="Fixed"/>
    <x v="0"/>
    <x v="0"/>
    <s v="Match "/>
    <x v="0"/>
    <m/>
    <s v="Valid"/>
    <s v="Print Quality"/>
    <s v="Valid"/>
  </r>
  <r>
    <s v="TKT000143"/>
    <x v="1"/>
    <s v="03/27/2026 11:50"/>
    <s v="03/27/2026 17:44"/>
    <x v="1"/>
    <s v="Defective Prints"/>
    <s v="Medium"/>
    <x v="9"/>
    <x v="3"/>
    <n v="5.9"/>
    <n v="8"/>
    <s v="Yes"/>
    <n v="4"/>
    <s v="No"/>
    <s v="Closed"/>
    <s v="Fixed"/>
    <x v="3"/>
    <x v="0"/>
    <s v="Match "/>
    <x v="0"/>
    <m/>
    <s v="Valid"/>
    <s v="Print Quality"/>
    <s v="Valid"/>
  </r>
  <r>
    <s v="TKT000144"/>
    <x v="9"/>
    <s v="01/24/2026 08:19"/>
    <s v="01/25/2026 07:19"/>
    <x v="3"/>
    <s v="Device Errors"/>
    <s v="High"/>
    <x v="0"/>
    <x v="4"/>
    <n v="23"/>
    <n v="4"/>
    <s v="No"/>
    <n v="2"/>
    <s v="No"/>
    <s v="Closed"/>
    <s v="Escalated"/>
    <x v="2"/>
    <x v="1"/>
    <s v="Match "/>
    <x v="1"/>
    <m/>
    <s v="Valid"/>
    <s v="Hardware &amp; Mechanical"/>
    <s v="Valid"/>
  </r>
  <r>
    <s v="TKT000145"/>
    <x v="4"/>
    <s v="02/19/2026 08:26"/>
    <s v="02/19/2026 13:14"/>
    <x v="1"/>
    <s v="Finishing Errors"/>
    <s v="High"/>
    <x v="8"/>
    <x v="1"/>
    <n v="4.8"/>
    <n v="4"/>
    <s v="No"/>
    <n v="1"/>
    <s v="No"/>
    <s v="Closed"/>
    <s v="Pending"/>
    <x v="0"/>
    <x v="1"/>
    <s v="Match "/>
    <x v="1"/>
    <m/>
    <s v="Valid"/>
    <s v="Print Quality"/>
    <s v="Valid"/>
  </r>
  <r>
    <s v="TKT000146"/>
    <x v="4"/>
    <s v="02/12/2026 12:18"/>
    <s v="02/13/2026 06:36"/>
    <x v="3"/>
    <s v="Paper Jam"/>
    <s v="Low"/>
    <x v="0"/>
    <x v="4"/>
    <n v="18.3"/>
    <n v="24"/>
    <s v="Yes"/>
    <n v="4"/>
    <s v="No"/>
    <s v="Closed"/>
    <s v="Fixed"/>
    <x v="3"/>
    <x v="0"/>
    <s v="Match "/>
    <x v="0"/>
    <m/>
    <s v="Valid"/>
    <s v="Hardware &amp; Mechanical"/>
    <s v="Valid"/>
  </r>
  <r>
    <s v="TKT000147"/>
    <x v="6"/>
    <s v="03/29/2026 13:52"/>
    <s v="03/30/2026 03:52"/>
    <x v="0"/>
    <s v="Network Dropouts"/>
    <s v="Medium"/>
    <x v="5"/>
    <x v="0"/>
    <n v="14"/>
    <n v="8"/>
    <s v="No"/>
    <n v="2"/>
    <s v="Yes"/>
    <s v="Closed"/>
    <s v="Pending"/>
    <x v="3"/>
    <x v="1"/>
    <s v="Match "/>
    <x v="1"/>
    <m/>
    <s v="Valid"/>
    <s v="Connectivity &amp; Software"/>
    <s v="Valid"/>
  </r>
  <r>
    <s v="TKT000148"/>
    <x v="1"/>
    <s v="03/10/2026 15:46"/>
    <s v="03/10/2026 22:46"/>
    <x v="1"/>
    <s v="Defective Prints"/>
    <s v="High"/>
    <x v="4"/>
    <x v="3"/>
    <n v="7"/>
    <n v="4"/>
    <s v="No"/>
    <n v="2"/>
    <s v="No"/>
    <s v="Closed"/>
    <s v="Escalated"/>
    <x v="2"/>
    <x v="1"/>
    <s v="Match "/>
    <x v="1"/>
    <m/>
    <s v="Valid"/>
    <s v="Print Quality"/>
    <s v="Valid"/>
  </r>
  <r>
    <s v="TKT000149"/>
    <x v="3"/>
    <s v="03/13/2026 13:59"/>
    <s v="03/13/2026 22:53"/>
    <x v="3"/>
    <s v="Device Errors"/>
    <s v="Low"/>
    <x v="9"/>
    <x v="4"/>
    <n v="8.9"/>
    <n v="24"/>
    <s v="Yes"/>
    <n v="4"/>
    <s v="No"/>
    <s v="Closed"/>
    <s v="Fixed"/>
    <x v="2"/>
    <x v="0"/>
    <s v="Match "/>
    <x v="0"/>
    <m/>
    <s v="Valid"/>
    <s v="Hardware &amp; Mechanical"/>
    <s v="Valid"/>
  </r>
  <r>
    <s v="TKT000150"/>
    <x v="9"/>
    <s v="03/25/2026 15:43"/>
    <s v="03/26/2026 00:55"/>
    <x v="0"/>
    <s v="Driver &amp; Setup"/>
    <s v="High"/>
    <x v="2"/>
    <x v="0"/>
    <n v="9.1999999999999993"/>
    <n v="4"/>
    <s v="No"/>
    <n v="1"/>
    <s v="No"/>
    <s v="Closed"/>
    <s v="Pending"/>
    <x v="1"/>
    <x v="1"/>
    <s v="Match "/>
    <x v="1"/>
    <m/>
    <s v="Valid"/>
    <s v="Connectivity &amp; Software"/>
    <s v="Valid"/>
  </r>
  <r>
    <s v="TKT000151"/>
    <x v="6"/>
    <s v="02/11/2026 09:49"/>
    <s v="02/11/2026 15:01"/>
    <x v="1"/>
    <s v="Finishing Errors"/>
    <s v="Medium"/>
    <x v="6"/>
    <x v="1"/>
    <n v="5.2"/>
    <n v="8"/>
    <s v="Yes"/>
    <n v="5"/>
    <s v="No"/>
    <s v="Closed"/>
    <s v="Fixed"/>
    <x v="3"/>
    <x v="0"/>
    <s v="Match "/>
    <x v="0"/>
    <m/>
    <s v="Valid"/>
    <s v="Print Quality"/>
    <s v="Valid"/>
  </r>
  <r>
    <s v="TKT000152"/>
    <x v="1"/>
    <s v="02/26/2026 16:33"/>
    <s v="02/27/2026 01:03"/>
    <x v="0"/>
    <s v="Scan-to-Email"/>
    <s v="Medium"/>
    <x v="4"/>
    <x v="0"/>
    <n v="8.5"/>
    <n v="8"/>
    <s v="No"/>
    <n v="1"/>
    <s v="Yes"/>
    <s v="Closed"/>
    <s v="Pending"/>
    <x v="1"/>
    <x v="1"/>
    <s v="Match "/>
    <x v="1"/>
    <m/>
    <s v="Valid"/>
    <s v="Connectivity &amp; Software"/>
    <s v="Valid"/>
  </r>
  <r>
    <s v="TKT000153"/>
    <x v="7"/>
    <s v="02/16/2026 11:02"/>
    <s v="02/16/2026 21:26"/>
    <x v="1"/>
    <s v="Defective Prints"/>
    <s v="Low"/>
    <x v="0"/>
    <x v="3"/>
    <n v="10.4"/>
    <n v="24"/>
    <s v="Yes"/>
    <n v="5"/>
    <s v="No"/>
    <s v="Closed"/>
    <s v="Fixed"/>
    <x v="0"/>
    <x v="0"/>
    <s v="Match "/>
    <x v="0"/>
    <m/>
    <s v="Valid"/>
    <s v="Print Quality"/>
    <s v="Valid"/>
  </r>
  <r>
    <s v="TKT000154"/>
    <x v="7"/>
    <s v="03/24/2026 16:33"/>
    <s v="03/25/2026 06:27"/>
    <x v="0"/>
    <s v="Network Dropouts"/>
    <s v="Low"/>
    <x v="7"/>
    <x v="0"/>
    <n v="13.9"/>
    <n v="24"/>
    <s v="Yes"/>
    <n v="5"/>
    <s v="No"/>
    <s v="Closed"/>
    <s v="Fixed"/>
    <x v="0"/>
    <x v="0"/>
    <s v="Match "/>
    <x v="0"/>
    <m/>
    <s v="Valid"/>
    <s v="Connectivity &amp; Software"/>
    <s v="Valid"/>
  </r>
  <r>
    <s v="TKT000155"/>
    <x v="8"/>
    <s v="03/15/2026 13:24"/>
    <s v="03/16/2026 01:42"/>
    <x v="0"/>
    <s v="Network Dropouts"/>
    <s v="Low"/>
    <x v="7"/>
    <x v="0"/>
    <n v="12.3"/>
    <n v="24"/>
    <s v="Yes"/>
    <n v="5"/>
    <s v="No"/>
    <s v="Closed"/>
    <s v="Fixed"/>
    <x v="0"/>
    <x v="0"/>
    <s v="Match "/>
    <x v="0"/>
    <m/>
    <s v="Valid"/>
    <s v="Connectivity &amp; Software"/>
    <s v="Valid"/>
  </r>
  <r>
    <s v="TKT000156"/>
    <x v="7"/>
    <s v="03/08/2026 15:27"/>
    <s v="03/09/2026 00:03"/>
    <x v="3"/>
    <s v="Paper Jam"/>
    <s v="Medium"/>
    <x v="7"/>
    <x v="4"/>
    <n v="8.6"/>
    <n v="8"/>
    <s v="No"/>
    <n v="2"/>
    <s v="Yes"/>
    <s v="Closed"/>
    <s v="Escalated"/>
    <x v="0"/>
    <x v="1"/>
    <s v="Match "/>
    <x v="1"/>
    <m/>
    <s v="Valid"/>
    <s v="Hardware &amp; Mechanical"/>
    <s v="Valid"/>
  </r>
  <r>
    <s v="TKT000157"/>
    <x v="1"/>
    <s v="01/19/2026 13:00"/>
    <s v="01/20/2026 03:18"/>
    <x v="0"/>
    <s v="Scan-to-Email"/>
    <s v="Low"/>
    <x v="5"/>
    <x v="0"/>
    <n v="14.3"/>
    <n v="24"/>
    <s v="Yes"/>
    <n v="4"/>
    <s v="No"/>
    <s v="Closed"/>
    <s v="Fixed"/>
    <x v="3"/>
    <x v="0"/>
    <s v="Match "/>
    <x v="0"/>
    <m/>
    <s v="Valid"/>
    <s v="Connectivity &amp; Software"/>
    <s v="Valid"/>
  </r>
  <r>
    <s v="TKT000158"/>
    <x v="4"/>
    <s v="02/10/2026 15:30"/>
    <s v="02/10/2026 20:48"/>
    <x v="4"/>
    <s v="Paper Supply"/>
    <s v="Low"/>
    <x v="3"/>
    <x v="5"/>
    <n v="5.3"/>
    <n v="24"/>
    <s v="Yes"/>
    <n v="4"/>
    <s v="No"/>
    <s v="Closed"/>
    <s v="Fixed"/>
    <x v="3"/>
    <x v="0"/>
    <s v="Match "/>
    <x v="0"/>
    <m/>
    <s v="Valid"/>
    <s v="Supplies &amp; Logistics"/>
    <s v="Valid"/>
  </r>
  <r>
    <s v="TKT000159"/>
    <x v="0"/>
    <s v="01/13/2026 08:20"/>
    <s v="01/14/2026 01:20"/>
    <x v="3"/>
    <s v="Paper Jam"/>
    <s v="High"/>
    <x v="1"/>
    <x v="4"/>
    <n v="17"/>
    <n v="4"/>
    <s v="No"/>
    <n v="2"/>
    <s v="Yes"/>
    <s v="Closed"/>
    <s v="Pending"/>
    <x v="3"/>
    <x v="1"/>
    <s v="Match "/>
    <x v="1"/>
    <m/>
    <s v="Valid"/>
    <s v="Hardware &amp; Mechanical"/>
    <s v="Valid"/>
  </r>
  <r>
    <s v="TKT000160"/>
    <x v="4"/>
    <s v="03/09/2026 17:37"/>
    <s v="03/10/2026 07:25"/>
    <x v="3"/>
    <s v="Device Errors"/>
    <s v="High"/>
    <x v="1"/>
    <x v="4"/>
    <n v="13.8"/>
    <n v="4"/>
    <s v="No"/>
    <n v="3"/>
    <s v="No"/>
    <s v="Closed"/>
    <s v="Pending"/>
    <x v="3"/>
    <x v="1"/>
    <s v="Match "/>
    <x v="1"/>
    <m/>
    <s v="Valid"/>
    <s v="Hardware &amp; Mechanical"/>
    <s v="Valid"/>
  </r>
  <r>
    <s v="TKT000161"/>
    <x v="7"/>
    <s v="03/13/2026 15:50"/>
    <s v="03/14/2026 07:14"/>
    <x v="3"/>
    <s v="Device Errors"/>
    <s v="Low"/>
    <x v="7"/>
    <x v="4"/>
    <n v="15.4"/>
    <n v="24"/>
    <s v="Yes"/>
    <n v="4"/>
    <s v="No"/>
    <s v="Closed"/>
    <s v="Fixed"/>
    <x v="0"/>
    <x v="0"/>
    <s v="Match "/>
    <x v="0"/>
    <m/>
    <s v="Valid"/>
    <s v="Hardware &amp; Mechanical"/>
    <s v="Valid"/>
  </r>
  <r>
    <s v="TKT000162"/>
    <x v="1"/>
    <s v="01/14/2026 16:31"/>
    <s v="01/14/2026 23:31"/>
    <x v="0"/>
    <s v="Network Dropouts"/>
    <s v="Low"/>
    <x v="8"/>
    <x v="0"/>
    <n v="7"/>
    <n v="24"/>
    <s v="No"/>
    <n v="1"/>
    <s v="No"/>
    <s v="Closed"/>
    <s v="Pending"/>
    <x v="1"/>
    <x v="0"/>
    <s v="Mismatch"/>
    <x v="0"/>
    <m/>
    <s v="Valid"/>
    <s v="Connectivity &amp; Software"/>
    <s v="Valid"/>
  </r>
  <r>
    <s v="TKT000163"/>
    <x v="9"/>
    <s v="01/03/2026 13:46"/>
    <s v="01/03/2026 18:58"/>
    <x v="0"/>
    <s v="Scan-to-Email"/>
    <s v="Medium"/>
    <x v="4"/>
    <x v="0"/>
    <n v="5.2"/>
    <n v="8"/>
    <s v="Yes"/>
    <n v="4"/>
    <s v="No"/>
    <s v="Closed"/>
    <s v="Fixed"/>
    <x v="2"/>
    <x v="0"/>
    <s v="Match "/>
    <x v="0"/>
    <m/>
    <s v="Valid"/>
    <s v="Connectivity &amp; Software"/>
    <s v="Valid"/>
  </r>
  <r>
    <s v="TKT000164"/>
    <x v="3"/>
    <s v="03/09/2026 15:33"/>
    <s v="03/10/2026 11:03"/>
    <x v="3"/>
    <s v="Paper Jam"/>
    <s v="Low"/>
    <x v="7"/>
    <x v="4"/>
    <n v="19.5"/>
    <n v="24"/>
    <s v="Yes"/>
    <n v="4"/>
    <s v="No"/>
    <s v="Closed"/>
    <s v="Fixed"/>
    <x v="3"/>
    <x v="0"/>
    <s v="Match "/>
    <x v="0"/>
    <m/>
    <s v="Valid"/>
    <s v="Hardware &amp; Mechanical"/>
    <s v="Valid"/>
  </r>
  <r>
    <s v="TKT000165"/>
    <x v="2"/>
    <s v="03/15/2026 15:42"/>
    <s v="03/16/2026 08:42"/>
    <x v="3"/>
    <s v="Parts Wear"/>
    <s v="Medium"/>
    <x v="5"/>
    <x v="1"/>
    <n v="17"/>
    <n v="8"/>
    <s v="No"/>
    <n v="3"/>
    <s v="No"/>
    <s v="Closed"/>
    <s v="Pending"/>
    <x v="2"/>
    <x v="1"/>
    <s v="Match "/>
    <x v="1"/>
    <m/>
    <s v="Valid"/>
    <s v="Hardware &amp; Mechanical"/>
    <s v="Valid"/>
  </r>
  <r>
    <s v="TKT000166"/>
    <x v="9"/>
    <s v="02/25/2026 09:21"/>
    <s v="02/25/2026 21:39"/>
    <x v="3"/>
    <s v="Parts Wear"/>
    <s v="Medium"/>
    <x v="2"/>
    <x v="1"/>
    <n v="12.3"/>
    <n v="8"/>
    <s v="No"/>
    <n v="3"/>
    <s v="No"/>
    <s v="Closed"/>
    <s v="Escalated"/>
    <x v="0"/>
    <x v="1"/>
    <s v="Match "/>
    <x v="1"/>
    <m/>
    <s v="Valid"/>
    <s v="Hardware &amp; Mechanical"/>
    <s v="Valid"/>
  </r>
  <r>
    <s v="TKT000167"/>
    <x v="8"/>
    <s v="03/24/2026 08:41"/>
    <s v="03/24/2026 18:05"/>
    <x v="3"/>
    <s v="Device Errors"/>
    <s v="High"/>
    <x v="2"/>
    <x v="4"/>
    <n v="9.4"/>
    <n v="4"/>
    <s v="No"/>
    <n v="1"/>
    <s v="Yes"/>
    <s v="Closed"/>
    <s v="Escalated"/>
    <x v="0"/>
    <x v="1"/>
    <s v="Match "/>
    <x v="1"/>
    <m/>
    <s v="Valid"/>
    <s v="Hardware &amp; Mechanical"/>
    <s v="Valid"/>
  </r>
  <r>
    <s v="TKT000168"/>
    <x v="1"/>
    <s v="02/16/2026 17:01"/>
    <s v="02/17/2026 00:13"/>
    <x v="0"/>
    <s v="Network Dropouts"/>
    <s v="Medium"/>
    <x v="6"/>
    <x v="0"/>
    <n v="7.2"/>
    <n v="8"/>
    <s v="Yes"/>
    <n v="4"/>
    <s v="No"/>
    <s v="Closed"/>
    <s v="Fixed"/>
    <x v="2"/>
    <x v="0"/>
    <s v="Match "/>
    <x v="0"/>
    <m/>
    <s v="Valid"/>
    <s v="Connectivity &amp; Software"/>
    <s v="Valid"/>
  </r>
  <r>
    <s v="TKT000169"/>
    <x v="1"/>
    <s v="02/07/2026 12:48"/>
    <s v="02/07/2026 18:30"/>
    <x v="4"/>
    <s v="Toner Replenishment"/>
    <s v="Medium"/>
    <x v="2"/>
    <x v="5"/>
    <n v="5.7"/>
    <n v="8"/>
    <s v="Yes"/>
    <n v="4"/>
    <s v="No"/>
    <s v="Closed"/>
    <s v="Fixed"/>
    <x v="2"/>
    <x v="0"/>
    <s v="Match "/>
    <x v="0"/>
    <m/>
    <s v="Valid"/>
    <s v="Supplies &amp; Logistics"/>
    <s v="Valid"/>
  </r>
  <r>
    <s v="TKT000170"/>
    <x v="4"/>
    <s v="03/23/2026 16:15"/>
    <s v="03/24/2026 03:15"/>
    <x v="0"/>
    <s v="Network Dropouts"/>
    <s v="High"/>
    <x v="7"/>
    <x v="0"/>
    <n v="11"/>
    <n v="4"/>
    <s v="No"/>
    <n v="2"/>
    <s v="No"/>
    <s v="Closed"/>
    <s v="Escalated"/>
    <x v="0"/>
    <x v="1"/>
    <s v="Match "/>
    <x v="1"/>
    <m/>
    <s v="Valid"/>
    <s v="Connectivity &amp; Software"/>
    <s v="Valid"/>
  </r>
  <r>
    <s v="TKT000171"/>
    <x v="2"/>
    <s v="03/23/2026 16:34"/>
    <s v="03/24/2026 02:10"/>
    <x v="0"/>
    <s v="Driver &amp; Setup"/>
    <s v="Low"/>
    <x v="8"/>
    <x v="0"/>
    <n v="9.6"/>
    <n v="24"/>
    <s v="Yes"/>
    <n v="5"/>
    <s v="No"/>
    <s v="Closed"/>
    <s v="Fixed"/>
    <x v="2"/>
    <x v="0"/>
    <s v="Match "/>
    <x v="0"/>
    <m/>
    <s v="Valid"/>
    <s v="Connectivity &amp; Software"/>
    <s v="Valid"/>
  </r>
  <r>
    <s v="TKT000172"/>
    <x v="6"/>
    <s v="03/21/2026 13:40"/>
    <s v="03/21/2026 17:22"/>
    <x v="2"/>
    <s v="Lease Terms"/>
    <s v="Medium"/>
    <x v="5"/>
    <x v="2"/>
    <n v="3.7"/>
    <n v="8"/>
    <s v="Yes"/>
    <n v="5"/>
    <s v="No"/>
    <s v="Closed"/>
    <s v="Fixed"/>
    <x v="0"/>
    <x v="0"/>
    <s v="Match "/>
    <x v="0"/>
    <m/>
    <s v="Valid"/>
    <s v="Contract &amp; Billing"/>
    <s v="Valid"/>
  </r>
  <r>
    <s v="TKT000173"/>
    <x v="4"/>
    <s v="03/25/2026 17:28"/>
    <s v="03/25/2026 19:58"/>
    <x v="2"/>
    <s v="Relocation Requests"/>
    <s v="Low"/>
    <x v="3"/>
    <x v="2"/>
    <n v="2.5"/>
    <n v="24"/>
    <s v="Yes"/>
    <n v="5"/>
    <s v="No"/>
    <s v="Closed"/>
    <s v="Fixed"/>
    <x v="0"/>
    <x v="0"/>
    <s v="Match "/>
    <x v="0"/>
    <m/>
    <s v="Valid"/>
    <s v="Contract &amp; Billing"/>
    <s v="Valid"/>
  </r>
  <r>
    <s v="TKT000174"/>
    <x v="3"/>
    <s v="01/08/2026 10:34"/>
    <s v="01/08/2026 16:34"/>
    <x v="0"/>
    <s v="Network Dropouts"/>
    <s v="Low"/>
    <x v="8"/>
    <x v="0"/>
    <n v="6"/>
    <n v="24"/>
    <s v="Yes"/>
    <n v="5"/>
    <s v="No"/>
    <s v="Closed"/>
    <s v="Fixed"/>
    <x v="2"/>
    <x v="0"/>
    <s v="Match "/>
    <x v="0"/>
    <m/>
    <s v="Valid"/>
    <s v="Connectivity &amp; Software"/>
    <s v="Valid"/>
  </r>
  <r>
    <s v="TKT000175"/>
    <x v="3"/>
    <s v="02/01/2026 15:46"/>
    <s v="02/02/2026 00:34"/>
    <x v="0"/>
    <s v="Scan-to-Email"/>
    <s v="Medium"/>
    <x v="1"/>
    <x v="0"/>
    <n v="8.8000000000000007"/>
    <n v="8"/>
    <s v="No"/>
    <n v="3"/>
    <s v="No"/>
    <s v="Closed"/>
    <s v="Pending"/>
    <x v="0"/>
    <x v="1"/>
    <s v="Match "/>
    <x v="1"/>
    <m/>
    <s v="Valid"/>
    <s v="Connectivity &amp; Software"/>
    <s v="Valid"/>
  </r>
  <r>
    <s v="TKT000176"/>
    <x v="7"/>
    <s v="01/25/2026 17:44"/>
    <s v="01/26/2026 05:14"/>
    <x v="0"/>
    <s v="Network Dropouts"/>
    <s v="Medium"/>
    <x v="9"/>
    <x v="0"/>
    <n v="11.5"/>
    <n v="8"/>
    <s v="No"/>
    <n v="2"/>
    <s v="No"/>
    <s v="Closed"/>
    <s v="Pending"/>
    <x v="1"/>
    <x v="1"/>
    <s v="Match "/>
    <x v="1"/>
    <m/>
    <s v="Valid"/>
    <s v="Connectivity &amp; Software"/>
    <s v="Valid"/>
  </r>
  <r>
    <s v="TKT000177"/>
    <x v="5"/>
    <s v="02/05/2026 09:51"/>
    <s v="02/05/2026 15:21"/>
    <x v="0"/>
    <s v="Driver &amp; Setup"/>
    <s v="High"/>
    <x v="2"/>
    <x v="0"/>
    <n v="5.5"/>
    <n v="4"/>
    <s v="No"/>
    <n v="1"/>
    <s v="Yes"/>
    <s v="Closed"/>
    <s v="Pending"/>
    <x v="2"/>
    <x v="1"/>
    <s v="Match "/>
    <x v="1"/>
    <m/>
    <s v="Valid"/>
    <s v="Connectivity &amp; Software"/>
    <s v="Valid"/>
  </r>
  <r>
    <s v="TKT000178"/>
    <x v="9"/>
    <s v="02/02/2026 10:06"/>
    <s v="02/02/2026 22:06"/>
    <x v="1"/>
    <s v="Color Calibration"/>
    <s v="Medium"/>
    <x v="6"/>
    <x v="3"/>
    <n v="12"/>
    <n v="8"/>
    <s v="No"/>
    <n v="3"/>
    <s v="Yes"/>
    <s v="Closed"/>
    <s v="Escalated"/>
    <x v="3"/>
    <x v="1"/>
    <s v="Match "/>
    <x v="1"/>
    <m/>
    <s v="Valid"/>
    <s v="Print Quality"/>
    <s v="Valid"/>
  </r>
  <r>
    <s v="TKT000179"/>
    <x v="8"/>
    <s v="03/23/2026 16:39"/>
    <s v="03/23/2026 19:57"/>
    <x v="4"/>
    <s v="Paper Supply"/>
    <s v="Medium"/>
    <x v="4"/>
    <x v="5"/>
    <n v="3.3"/>
    <n v="8"/>
    <s v="Yes"/>
    <n v="4"/>
    <s v="No"/>
    <s v="Closed"/>
    <s v="Fixed"/>
    <x v="3"/>
    <x v="0"/>
    <s v="Match "/>
    <x v="0"/>
    <m/>
    <s v="Valid"/>
    <s v="Supplies &amp; Logistics"/>
    <s v="Valid"/>
  </r>
  <r>
    <s v="TKT000180"/>
    <x v="1"/>
    <s v="02/23/2026 08:45"/>
    <s v="02/23/2026 23:51"/>
    <x v="0"/>
    <s v="Network Dropouts"/>
    <s v="Low"/>
    <x v="0"/>
    <x v="0"/>
    <n v="15.1"/>
    <n v="24"/>
    <s v="Yes"/>
    <n v="4"/>
    <s v="No"/>
    <s v="Closed"/>
    <s v="Fixed"/>
    <x v="0"/>
    <x v="0"/>
    <s v="Match "/>
    <x v="0"/>
    <m/>
    <s v="Valid"/>
    <s v="Connectivity &amp; Software"/>
    <s v="Valid"/>
  </r>
  <r>
    <s v="TKT000181"/>
    <x v="0"/>
    <s v="03/09/2026 12:05"/>
    <s v="03/09/2026 19:59"/>
    <x v="0"/>
    <s v="Scan-to-Email"/>
    <s v="Low"/>
    <x v="5"/>
    <x v="0"/>
    <n v="7.9"/>
    <n v="24"/>
    <s v="Yes"/>
    <n v="4"/>
    <s v="No"/>
    <s v="Closed"/>
    <s v="Fixed"/>
    <x v="0"/>
    <x v="0"/>
    <s v="Match "/>
    <x v="0"/>
    <m/>
    <s v="Valid"/>
    <s v="Connectivity &amp; Software"/>
    <s v="Valid"/>
  </r>
  <r>
    <s v="TKT000182"/>
    <x v="6"/>
    <s v="01/14/2026 12:24"/>
    <s v="01/14/2026 21:24"/>
    <x v="0"/>
    <s v="Driver &amp; Setup"/>
    <s v="Medium"/>
    <x v="4"/>
    <x v="0"/>
    <n v="9"/>
    <n v="8"/>
    <s v="No"/>
    <n v="3"/>
    <s v="Yes"/>
    <s v="Closed"/>
    <s v="Escalated"/>
    <x v="2"/>
    <x v="1"/>
    <s v="Match "/>
    <x v="1"/>
    <m/>
    <s v="Valid"/>
    <s v="Connectivity &amp; Software"/>
    <s v="Valid"/>
  </r>
  <r>
    <s v="TKT000183"/>
    <x v="6"/>
    <s v="02/04/2026 17:11"/>
    <s v="02/04/2026 23:53"/>
    <x v="0"/>
    <s v="Driver &amp; Setup"/>
    <s v="Medium"/>
    <x v="7"/>
    <x v="0"/>
    <n v="6.7"/>
    <n v="8"/>
    <s v="No"/>
    <n v="1"/>
    <s v="No"/>
    <s v="Closed"/>
    <s v="Pending"/>
    <x v="1"/>
    <x v="0"/>
    <s v="Mismatch"/>
    <x v="0"/>
    <m/>
    <s v="Valid"/>
    <s v="Connectivity &amp; Software"/>
    <s v="Valid"/>
  </r>
  <r>
    <s v="TKT000184"/>
    <x v="7"/>
    <s v="02/07/2026 12:40"/>
    <s v="02/07/2026 17:22"/>
    <x v="0"/>
    <s v="Scan-to-Email"/>
    <s v="Medium"/>
    <x v="4"/>
    <x v="0"/>
    <n v="4.7"/>
    <n v="8"/>
    <s v="Yes"/>
    <n v="4"/>
    <s v="No"/>
    <s v="Closed"/>
    <s v="Fixed"/>
    <x v="1"/>
    <x v="0"/>
    <s v="Match "/>
    <x v="0"/>
    <m/>
    <s v="Valid"/>
    <s v="Connectivity &amp; Software"/>
    <s v="Valid"/>
  </r>
  <r>
    <s v="TKT000185"/>
    <x v="0"/>
    <s v="02/09/2026 13:39"/>
    <s v="02/09/2026 16:27"/>
    <x v="2"/>
    <s v="Lease Terms"/>
    <s v="Medium"/>
    <x v="3"/>
    <x v="2"/>
    <n v="2.8"/>
    <n v="8"/>
    <s v="Yes"/>
    <n v="4"/>
    <s v="No"/>
    <s v="Closed"/>
    <s v="Fixed"/>
    <x v="3"/>
    <x v="0"/>
    <s v="Match "/>
    <x v="0"/>
    <m/>
    <s v="Valid"/>
    <s v="Contract &amp; Billing"/>
    <s v="Valid"/>
  </r>
  <r>
    <s v="TKT000186"/>
    <x v="0"/>
    <s v="02/11/2026 12:42"/>
    <s v="02/11/2026 22:00"/>
    <x v="0"/>
    <s v="Scan-to-Email"/>
    <s v="Medium"/>
    <x v="9"/>
    <x v="0"/>
    <n v="9.3000000000000007"/>
    <n v="8"/>
    <s v="No"/>
    <n v="3"/>
    <s v="Yes"/>
    <s v="Closed"/>
    <s v="Escalated"/>
    <x v="0"/>
    <x v="1"/>
    <s v="Match "/>
    <x v="1"/>
    <m/>
    <s v="Valid"/>
    <s v="Connectivity &amp; Software"/>
    <s v="Valid"/>
  </r>
  <r>
    <s v="TKT000187"/>
    <x v="8"/>
    <s v="03/14/2026 12:40"/>
    <s v="03/15/2026 00:22"/>
    <x v="3"/>
    <s v="Parts Wear"/>
    <s v="High"/>
    <x v="1"/>
    <x v="1"/>
    <n v="11.7"/>
    <n v="4"/>
    <s v="No"/>
    <n v="3"/>
    <s v="No"/>
    <s v="Closed"/>
    <s v="Pending"/>
    <x v="0"/>
    <x v="1"/>
    <s v="Match "/>
    <x v="1"/>
    <m/>
    <s v="Valid"/>
    <s v="Hardware &amp; Mechanical"/>
    <s v="Valid"/>
  </r>
  <r>
    <s v="TKT000188"/>
    <x v="2"/>
    <s v="03/21/2026 12:37"/>
    <s v="03/22/2026 07:43"/>
    <x v="3"/>
    <s v="Device Errors"/>
    <s v="High"/>
    <x v="7"/>
    <x v="4"/>
    <n v="19.100000000000001"/>
    <n v="4"/>
    <s v="No"/>
    <n v="3"/>
    <s v="No"/>
    <s v="Closed"/>
    <s v="Pending"/>
    <x v="3"/>
    <x v="1"/>
    <s v="Match "/>
    <x v="1"/>
    <m/>
    <s v="Valid"/>
    <s v="Hardware &amp; Mechanical"/>
    <s v="Valid"/>
  </r>
  <r>
    <s v="TKT000189"/>
    <x v="3"/>
    <s v="03/09/2026 13:14"/>
    <s v="03/10/2026 04:44"/>
    <x v="3"/>
    <s v="Parts Wear"/>
    <s v="High"/>
    <x v="2"/>
    <x v="1"/>
    <n v="15.5"/>
    <n v="4"/>
    <s v="No"/>
    <m/>
    <s v="No"/>
    <s v="Closed"/>
    <s v="Escalated"/>
    <x v="3"/>
    <x v="1"/>
    <s v="Match "/>
    <x v="1"/>
    <m/>
    <s v="Valid"/>
    <s v="Hardware &amp; Mechanical"/>
    <s v="Valid"/>
  </r>
  <r>
    <s v="TKT000190"/>
    <x v="1"/>
    <s v="03/03/2026 10:00"/>
    <s v="03/03/2026 23:00"/>
    <x v="4"/>
    <s v="Paper Supply"/>
    <s v="Medium"/>
    <x v="0"/>
    <x v="5"/>
    <n v="13"/>
    <n v="8"/>
    <s v="No"/>
    <n v="3"/>
    <s v="No"/>
    <s v="Closed"/>
    <s v="Pending"/>
    <x v="1"/>
    <x v="1"/>
    <s v="Match "/>
    <x v="1"/>
    <m/>
    <s v="Valid"/>
    <s v="Supplies &amp; Logistics"/>
    <s v="Valid"/>
  </r>
  <r>
    <s v="TKT000191"/>
    <x v="6"/>
    <s v="03/16/2026 09:33"/>
    <s v="03/16/2026 20:51"/>
    <x v="0"/>
    <s v="Scan-to-Email"/>
    <s v="Medium"/>
    <x v="6"/>
    <x v="0"/>
    <n v="11.3"/>
    <n v="8"/>
    <s v="No"/>
    <n v="2"/>
    <s v="No"/>
    <s v="Closed"/>
    <s v="Pending"/>
    <x v="2"/>
    <x v="1"/>
    <s v="Match "/>
    <x v="1"/>
    <m/>
    <s v="Valid"/>
    <s v="Connectivity &amp; Software"/>
    <s v="Valid"/>
  </r>
  <r>
    <s v="TKT000192"/>
    <x v="9"/>
    <s v="01/06/2026 12:27"/>
    <s v="01/06/2026 19:33"/>
    <x v="0"/>
    <s v="Network Dropouts"/>
    <s v="High"/>
    <x v="3"/>
    <x v="0"/>
    <n v="7.1"/>
    <n v="4"/>
    <s v="No"/>
    <n v="3"/>
    <s v="No"/>
    <s v="Closed"/>
    <s v="Pending"/>
    <x v="0"/>
    <x v="1"/>
    <s v="Match "/>
    <x v="1"/>
    <m/>
    <s v="Valid"/>
    <s v="Connectivity &amp; Software"/>
    <s v="Valid"/>
  </r>
  <r>
    <s v="TKT000193"/>
    <x v="8"/>
    <s v="02/12/2026 17:10"/>
    <s v="02/13/2026 01:34"/>
    <x v="4"/>
    <s v="Toner Replenishment"/>
    <s v="Low"/>
    <x v="6"/>
    <x v="5"/>
    <n v="8.4"/>
    <n v="24"/>
    <s v="Yes"/>
    <n v="5"/>
    <s v="No"/>
    <s v="Closed"/>
    <s v="Fixed"/>
    <x v="1"/>
    <x v="0"/>
    <s v="Match "/>
    <x v="0"/>
    <m/>
    <s v="Valid"/>
    <s v="Supplies &amp; Logistics"/>
    <s v="Valid"/>
  </r>
  <r>
    <s v="TKT000194"/>
    <x v="3"/>
    <s v="01/26/2026 11:01"/>
    <s v="01/26/2026 14:55"/>
    <x v="4"/>
    <s v="Paper Supply"/>
    <s v="Medium"/>
    <x v="2"/>
    <x v="5"/>
    <n v="3.9"/>
    <n v="8"/>
    <s v="Yes"/>
    <n v="4"/>
    <s v="No"/>
    <s v="Closed"/>
    <s v="Fixed"/>
    <x v="0"/>
    <x v="0"/>
    <s v="Match "/>
    <x v="0"/>
    <m/>
    <s v="Valid"/>
    <s v="Supplies &amp; Logistics"/>
    <s v="Valid"/>
  </r>
  <r>
    <s v="TKT000195"/>
    <x v="6"/>
    <s v="02/24/2026 15:28"/>
    <s v="02/25/2026 01:10"/>
    <x v="0"/>
    <s v="Network Dropouts"/>
    <s v="Low"/>
    <x v="4"/>
    <x v="0"/>
    <n v="9.6999999999999993"/>
    <n v="24"/>
    <s v="Yes"/>
    <n v="5"/>
    <s v="No"/>
    <s v="Closed"/>
    <s v="Fixed"/>
    <x v="0"/>
    <x v="0"/>
    <s v="Match "/>
    <x v="0"/>
    <m/>
    <s v="Valid"/>
    <s v="Connectivity &amp; Software"/>
    <s v="Valid"/>
  </r>
  <r>
    <s v="TKT000196"/>
    <x v="6"/>
    <s v="01/07/2026 09:41"/>
    <s v="01/07/2026 13:35"/>
    <x v="4"/>
    <s v="Toner Replenishment"/>
    <s v="Medium"/>
    <x v="7"/>
    <x v="5"/>
    <n v="3.9"/>
    <n v="8"/>
    <s v="Yes"/>
    <n v="5"/>
    <s v="No"/>
    <s v="Closed"/>
    <s v="Fixed"/>
    <x v="0"/>
    <x v="0"/>
    <s v="Match "/>
    <x v="0"/>
    <m/>
    <s v="Valid"/>
    <s v="Supplies &amp; Logistics"/>
    <s v="Valid"/>
  </r>
  <r>
    <s v="TKT000197"/>
    <x v="4"/>
    <s v="02/19/2026 09:28"/>
    <s v="02/19/2026 18:28"/>
    <x v="0"/>
    <s v="Network Dropouts"/>
    <s v="Medium"/>
    <x v="3"/>
    <x v="0"/>
    <n v="9"/>
    <n v="8"/>
    <s v="No"/>
    <n v="2"/>
    <s v="No"/>
    <s v="Closed"/>
    <s v="Escalated"/>
    <x v="3"/>
    <x v="1"/>
    <s v="Match "/>
    <x v="1"/>
    <m/>
    <s v="Valid"/>
    <s v="Connectivity &amp; Software"/>
    <s v="Valid"/>
  </r>
  <r>
    <s v="TKT000198"/>
    <x v="5"/>
    <s v="02/15/2026 08:19"/>
    <s v="02/15/2026 20:37"/>
    <x v="1"/>
    <s v="Defective Prints"/>
    <s v="Medium"/>
    <x v="0"/>
    <x v="3"/>
    <n v="12.3"/>
    <n v="8"/>
    <s v="No"/>
    <n v="2"/>
    <s v="No"/>
    <s v="Closed"/>
    <s v="Escalated"/>
    <x v="0"/>
    <x v="1"/>
    <s v="Match "/>
    <x v="1"/>
    <m/>
    <s v="Valid"/>
    <s v="Print Quality"/>
    <s v="Valid"/>
  </r>
  <r>
    <s v="TKT000199"/>
    <x v="9"/>
    <s v="03/25/2026 13:38"/>
    <s v="03/25/2026 16:50"/>
    <x v="2"/>
    <s v="Lease Terms"/>
    <s v="Medium"/>
    <x v="1"/>
    <x v="2"/>
    <n v="3.2"/>
    <n v="8"/>
    <s v="Yes"/>
    <n v="4"/>
    <s v="No"/>
    <s v="Closed"/>
    <s v="Fixed"/>
    <x v="0"/>
    <x v="0"/>
    <s v="Match "/>
    <x v="0"/>
    <m/>
    <s v="Valid"/>
    <s v="Contract &amp; Billing"/>
    <s v="Valid"/>
  </r>
  <r>
    <s v="TKT000200"/>
    <x v="8"/>
    <s v="02/23/2026 17:40"/>
    <s v="02/24/2026 05:58"/>
    <x v="3"/>
    <s v="Parts Wear"/>
    <s v="Medium"/>
    <x v="2"/>
    <x v="1"/>
    <n v="12.3"/>
    <n v="8"/>
    <s v="No"/>
    <n v="3"/>
    <s v="Yes"/>
    <s v="Closed"/>
    <s v="Pending"/>
    <x v="1"/>
    <x v="1"/>
    <s v="Match "/>
    <x v="1"/>
    <m/>
    <s v="Valid"/>
    <s v="Hardware &amp; Mechanical"/>
    <s v="Valid"/>
  </r>
  <r>
    <s v="TKT000201"/>
    <x v="7"/>
    <s v="02/21/2026 08:36"/>
    <s v="02/21/2026 12:54"/>
    <x v="1"/>
    <s v="Finishing Errors"/>
    <s v="Medium"/>
    <x v="2"/>
    <x v="1"/>
    <n v="4.3"/>
    <n v="8"/>
    <s v="Yes"/>
    <n v="4"/>
    <s v="No"/>
    <s v="Closed"/>
    <s v="Fixed"/>
    <x v="0"/>
    <x v="0"/>
    <s v="Match "/>
    <x v="0"/>
    <m/>
    <s v="Valid"/>
    <s v="Print Quality"/>
    <s v="Valid"/>
  </r>
  <r>
    <s v="TKT000202"/>
    <x v="1"/>
    <s v="03/15/2026 08:00"/>
    <s v="03/15/2026 14:06"/>
    <x v="1"/>
    <s v="Color Calibration"/>
    <s v="Medium"/>
    <x v="9"/>
    <x v="3"/>
    <n v="6.1"/>
    <n v="8"/>
    <s v="Yes"/>
    <n v="4"/>
    <s v="No"/>
    <s v="Closed"/>
    <s v="Fixed"/>
    <x v="0"/>
    <x v="0"/>
    <s v="Match "/>
    <x v="0"/>
    <m/>
    <s v="Valid"/>
    <s v="Print Quality"/>
    <s v="Valid"/>
  </r>
  <r>
    <s v="TKT000203"/>
    <x v="1"/>
    <s v="03/20/2026 15:35"/>
    <s v="03/21/2026 02:59"/>
    <x v="3"/>
    <s v="Device Errors"/>
    <s v="Medium"/>
    <x v="1"/>
    <x v="4"/>
    <n v="11.4"/>
    <n v="8"/>
    <s v="No"/>
    <n v="3"/>
    <s v="Yes"/>
    <s v="Closed"/>
    <s v="Pending"/>
    <x v="1"/>
    <x v="1"/>
    <s v="Match "/>
    <x v="1"/>
    <m/>
    <s v="Valid"/>
    <s v="Hardware &amp; Mechanical"/>
    <s v="Valid"/>
  </r>
  <r>
    <s v="TKT000204"/>
    <x v="0"/>
    <s v="03/16/2026 16:19"/>
    <s v="03/16/2026 23:49"/>
    <x v="0"/>
    <s v="Network Dropouts"/>
    <s v="High"/>
    <x v="9"/>
    <x v="0"/>
    <n v="7.5"/>
    <n v="4"/>
    <s v="No"/>
    <n v="1"/>
    <s v="No"/>
    <s v="Closed"/>
    <s v="Pending"/>
    <x v="1"/>
    <x v="1"/>
    <s v="Match "/>
    <x v="1"/>
    <m/>
    <s v="Valid"/>
    <s v="Connectivity &amp; Software"/>
    <s v="Valid"/>
  </r>
  <r>
    <s v="TKT000205"/>
    <x v="1"/>
    <s v="03/29/2026 10:44"/>
    <s v="03/29/2026 15:56"/>
    <x v="0"/>
    <s v="Network Dropouts"/>
    <s v="Medium"/>
    <x v="4"/>
    <x v="0"/>
    <n v="5.2"/>
    <n v="8"/>
    <s v="Yes"/>
    <n v="4"/>
    <s v="No"/>
    <s v="Closed"/>
    <s v="Fixed"/>
    <x v="3"/>
    <x v="0"/>
    <s v="Match "/>
    <x v="0"/>
    <m/>
    <s v="Valid"/>
    <s v="Connectivity &amp; Software"/>
    <s v="Valid"/>
  </r>
  <r>
    <s v="TKT000206"/>
    <x v="4"/>
    <s v="03/07/2026 13:12"/>
    <s v="03/08/2026 02:30"/>
    <x v="3"/>
    <s v="Parts Wear"/>
    <s v="High"/>
    <x v="7"/>
    <x v="1"/>
    <n v="13.3"/>
    <n v="4"/>
    <s v="No"/>
    <n v="2"/>
    <s v="Yes"/>
    <s v="Closed"/>
    <s v="Pending"/>
    <x v="0"/>
    <x v="1"/>
    <s v="Match "/>
    <x v="1"/>
    <m/>
    <s v="Valid"/>
    <s v="Hardware &amp; Mechanical"/>
    <s v="Valid"/>
  </r>
  <r>
    <s v="TKT000207"/>
    <x v="2"/>
    <s v="01/26/2026 14:55"/>
    <s v="01/27/2026 12:31"/>
    <x v="3"/>
    <s v="Parts Wear"/>
    <s v="Medium"/>
    <x v="0"/>
    <x v="1"/>
    <n v="21.6"/>
    <n v="8"/>
    <s v="No"/>
    <n v="3"/>
    <s v="No"/>
    <s v="Closed"/>
    <s v="Escalated"/>
    <x v="1"/>
    <x v="1"/>
    <s v="Match "/>
    <x v="1"/>
    <m/>
    <s v="Valid"/>
    <s v="Hardware &amp; Mechanical"/>
    <s v="Valid"/>
  </r>
  <r>
    <s v="TKT000208"/>
    <x v="5"/>
    <s v="01/29/2026 12:28"/>
    <s v="01/30/2026 00:52"/>
    <x v="0"/>
    <s v="Driver &amp; Setup"/>
    <s v="Medium"/>
    <x v="1"/>
    <x v="0"/>
    <n v="12.4"/>
    <n v="8"/>
    <s v="No"/>
    <n v="3"/>
    <s v="Yes"/>
    <s v="Closed"/>
    <s v="Escalated"/>
    <x v="0"/>
    <x v="1"/>
    <s v="Match "/>
    <x v="1"/>
    <m/>
    <s v="Valid"/>
    <s v="Connectivity &amp; Software"/>
    <s v="Valid"/>
  </r>
  <r>
    <s v="TKT000209"/>
    <x v="2"/>
    <s v="03/25/2026 15:43"/>
    <s v="03/26/2026 03:31"/>
    <x v="3"/>
    <s v="Paper Jam"/>
    <s v="Low"/>
    <x v="9"/>
    <x v="4"/>
    <n v="11.8"/>
    <n v="24"/>
    <s v="Yes"/>
    <n v="5"/>
    <s v="No"/>
    <s v="Closed"/>
    <s v="Fixed"/>
    <x v="0"/>
    <x v="0"/>
    <s v="Match "/>
    <x v="0"/>
    <m/>
    <s v="Valid"/>
    <s v="Hardware &amp; Mechanical"/>
    <s v="Valid"/>
  </r>
  <r>
    <s v="TKT000210"/>
    <x v="9"/>
    <s v="02/08/2026 08:56"/>
    <s v="02/08/2026 23:20"/>
    <x v="3"/>
    <s v="Paper Jam"/>
    <s v="Low"/>
    <x v="5"/>
    <x v="4"/>
    <n v="14.4"/>
    <n v="24"/>
    <s v="Yes"/>
    <n v="4"/>
    <s v="No"/>
    <s v="Closed"/>
    <s v="Fixed"/>
    <x v="2"/>
    <x v="0"/>
    <s v="Match "/>
    <x v="0"/>
    <m/>
    <s v="Valid"/>
    <s v="Hardware &amp; Mechanical"/>
    <s v="Valid"/>
  </r>
  <r>
    <s v="TKT000211"/>
    <x v="8"/>
    <s v="02/27/2026 11:00"/>
    <s v="02/27/2026 16:12"/>
    <x v="2"/>
    <s v="Relocation Requests"/>
    <s v="High"/>
    <x v="0"/>
    <x v="2"/>
    <n v="5.2"/>
    <n v="4"/>
    <s v="No"/>
    <n v="3"/>
    <s v="No"/>
    <s v="Closed"/>
    <s v="Escalated"/>
    <x v="1"/>
    <x v="1"/>
    <s v="Match "/>
    <x v="1"/>
    <m/>
    <s v="Valid"/>
    <s v="Contract &amp; Billing"/>
    <s v="Valid"/>
  </r>
  <r>
    <s v="TKT000212"/>
    <x v="8"/>
    <s v="02/12/2026 15:33"/>
    <s v="02/12/2026 23:27"/>
    <x v="1"/>
    <s v="Finishing Errors"/>
    <s v="Medium"/>
    <x v="6"/>
    <x v="1"/>
    <n v="7.9"/>
    <n v="8"/>
    <s v="Yes"/>
    <n v="4"/>
    <s v="No"/>
    <s v="Closed"/>
    <s v="Fixed"/>
    <x v="0"/>
    <x v="0"/>
    <s v="Match "/>
    <x v="0"/>
    <m/>
    <s v="Valid"/>
    <s v="Print Quality"/>
    <s v="Valid"/>
  </r>
  <r>
    <s v="TKT000213"/>
    <x v="6"/>
    <s v="03/30/2026 15:15"/>
    <s v="03/31/2026 00:45"/>
    <x v="1"/>
    <s v="Finishing Errors"/>
    <s v="Medium"/>
    <x v="1"/>
    <x v="1"/>
    <n v="9.5"/>
    <n v="8"/>
    <s v="No"/>
    <n v="3"/>
    <s v="Yes"/>
    <s v="Closed"/>
    <s v="Escalated"/>
    <x v="1"/>
    <x v="1"/>
    <s v="Match "/>
    <x v="1"/>
    <m/>
    <s v="Valid"/>
    <s v="Print Quality"/>
    <s v="Valid"/>
  </r>
  <r>
    <s v="TKT000214"/>
    <x v="9"/>
    <s v="01/29/2026 15:56"/>
    <s v="01/30/2026 02:50"/>
    <x v="1"/>
    <s v="Defective Prints"/>
    <s v="Medium"/>
    <x v="3"/>
    <x v="3"/>
    <n v="10.9"/>
    <n v="8"/>
    <s v="No"/>
    <n v="3"/>
    <s v="No"/>
    <s v="Closed"/>
    <s v="Escalated"/>
    <x v="0"/>
    <x v="1"/>
    <s v="Match "/>
    <x v="1"/>
    <m/>
    <s v="Valid"/>
    <s v="Print Quality"/>
    <s v="Valid"/>
  </r>
  <r>
    <s v="TKT000215"/>
    <x v="9"/>
    <s v="03/27/2026 14:15"/>
    <s v="03/28/2026 01:57"/>
    <x v="0"/>
    <s v="Driver &amp; Setup"/>
    <s v="High"/>
    <x v="6"/>
    <x v="0"/>
    <n v="11.7"/>
    <n v="4"/>
    <s v="No"/>
    <n v="3"/>
    <s v="No"/>
    <s v="Closed"/>
    <s v="Escalated"/>
    <x v="3"/>
    <x v="1"/>
    <s v="Match "/>
    <x v="1"/>
    <m/>
    <s v="Valid"/>
    <s v="Connectivity &amp; Software"/>
    <s v="Valid"/>
  </r>
  <r>
    <s v="TKT000216"/>
    <x v="4"/>
    <s v="02/20/2026 17:33"/>
    <s v="02/20/2026 23:21"/>
    <x v="4"/>
    <s v="Toner Replenishment"/>
    <s v="Medium"/>
    <x v="7"/>
    <x v="5"/>
    <n v="5.8"/>
    <n v="8"/>
    <s v="Yes"/>
    <n v="5"/>
    <s v="No"/>
    <s v="Closed"/>
    <s v="Fixed"/>
    <x v="1"/>
    <x v="0"/>
    <s v="Match "/>
    <x v="0"/>
    <m/>
    <s v="Valid"/>
    <s v="Supplies &amp; Logistics"/>
    <s v="Valid"/>
  </r>
  <r>
    <s v="TKT000217"/>
    <x v="6"/>
    <s v="02/16/2026 12:17"/>
    <s v="02/17/2026 01:05"/>
    <x v="3"/>
    <s v="Device Errors"/>
    <s v="Low"/>
    <x v="6"/>
    <x v="4"/>
    <n v="12.8"/>
    <n v="24"/>
    <s v="Yes"/>
    <n v="4"/>
    <s v="No"/>
    <s v="Closed"/>
    <s v="Fixed"/>
    <x v="3"/>
    <x v="0"/>
    <s v="Match "/>
    <x v="0"/>
    <m/>
    <s v="Valid"/>
    <s v="Hardware &amp; Mechanical"/>
    <s v="Valid"/>
  </r>
  <r>
    <s v="TKT000218"/>
    <x v="4"/>
    <s v="02/15/2026 09:04"/>
    <s v="02/15/2026 22:28"/>
    <x v="0"/>
    <s v="Driver &amp; Setup"/>
    <s v="High"/>
    <x v="3"/>
    <x v="0"/>
    <n v="13.4"/>
    <n v="4"/>
    <s v="No"/>
    <n v="3"/>
    <s v="Yes"/>
    <s v="Closed"/>
    <s v="Pending"/>
    <x v="1"/>
    <x v="1"/>
    <s v="Match "/>
    <x v="1"/>
    <m/>
    <s v="Valid"/>
    <s v="Connectivity &amp; Software"/>
    <s v="Valid"/>
  </r>
  <r>
    <s v="TKT000219"/>
    <x v="6"/>
    <s v="03/17/2026 17:06"/>
    <s v="03/18/2026 06:36"/>
    <x v="3"/>
    <s v="Paper Jam"/>
    <s v="Medium"/>
    <x v="2"/>
    <x v="4"/>
    <n v="13.5"/>
    <n v="8"/>
    <s v="No"/>
    <n v="2"/>
    <s v="No"/>
    <s v="Closed"/>
    <s v="Pending"/>
    <x v="3"/>
    <x v="1"/>
    <s v="Match "/>
    <x v="1"/>
    <m/>
    <s v="Valid"/>
    <s v="Hardware &amp; Mechanical"/>
    <s v="Valid"/>
  </r>
  <r>
    <s v="TKT000220"/>
    <x v="1"/>
    <s v="02/04/2026 13:32"/>
    <s v="02/05/2026 04:56"/>
    <x v="0"/>
    <s v="Scan-to-Email"/>
    <s v="Low"/>
    <x v="5"/>
    <x v="0"/>
    <n v="15.4"/>
    <n v="24"/>
    <s v="Yes"/>
    <n v="5"/>
    <s v="No"/>
    <s v="Closed"/>
    <s v="Fixed"/>
    <x v="3"/>
    <x v="0"/>
    <s v="Match "/>
    <x v="0"/>
    <m/>
    <s v="Valid"/>
    <s v="Connectivity &amp; Software"/>
    <s v="Valid"/>
  </r>
  <r>
    <s v="TKT000221"/>
    <x v="4"/>
    <s v="02/14/2026 14:55"/>
    <s v="02/14/2026 17:25"/>
    <x v="2"/>
    <s v="Relocation Requests"/>
    <s v="Medium"/>
    <x v="4"/>
    <x v="2"/>
    <n v="2.5"/>
    <n v="8"/>
    <s v="Yes"/>
    <n v="4"/>
    <s v="No"/>
    <s v="Closed"/>
    <s v="Fixed"/>
    <x v="0"/>
    <x v="0"/>
    <s v="Match "/>
    <x v="0"/>
    <m/>
    <s v="Valid"/>
    <s v="Contract &amp; Billing"/>
    <s v="Valid"/>
  </r>
  <r>
    <s v="TKT000222"/>
    <x v="6"/>
    <s v="03/16/2026 14:49"/>
    <s v="03/17/2026 02:01"/>
    <x v="0"/>
    <s v="Driver &amp; Setup"/>
    <s v="Low"/>
    <x v="3"/>
    <x v="0"/>
    <n v="11.2"/>
    <n v="24"/>
    <s v="Yes"/>
    <m/>
    <s v="No"/>
    <s v="Closed"/>
    <s v="Fixed"/>
    <x v="1"/>
    <x v="0"/>
    <s v="Match "/>
    <x v="0"/>
    <m/>
    <s v="Valid"/>
    <s v="Connectivity &amp; Software"/>
    <s v="Valid"/>
  </r>
  <r>
    <s v="TKT000223"/>
    <x v="6"/>
    <s v="02/05/2026 10:27"/>
    <s v="02/05/2026 15:15"/>
    <x v="4"/>
    <s v="Paper Supply"/>
    <s v="Medium"/>
    <x v="3"/>
    <x v="5"/>
    <n v="4.8"/>
    <n v="8"/>
    <s v="Yes"/>
    <n v="4"/>
    <s v="No"/>
    <s v="Closed"/>
    <s v="Fixed"/>
    <x v="2"/>
    <x v="0"/>
    <s v="Match "/>
    <x v="0"/>
    <m/>
    <s v="Valid"/>
    <s v="Supplies &amp; Logistics"/>
    <s v="Valid"/>
  </r>
  <r>
    <s v="TKT000224"/>
    <x v="3"/>
    <s v="01/24/2026 08:28"/>
    <s v="01/24/2026 16:22"/>
    <x v="4"/>
    <s v="Toner Replenishment"/>
    <s v="Medium"/>
    <x v="0"/>
    <x v="5"/>
    <n v="7.9"/>
    <n v="8"/>
    <s v="Yes"/>
    <n v="4"/>
    <s v="No"/>
    <s v="Closed"/>
    <s v="Fixed"/>
    <x v="2"/>
    <x v="0"/>
    <s v="Match "/>
    <x v="0"/>
    <m/>
    <s v="Valid"/>
    <s v="Supplies &amp; Logistics"/>
    <s v="Valid"/>
  </r>
  <r>
    <s v="TKT000225"/>
    <x v="0"/>
    <s v="03/12/2026 15:22"/>
    <s v="03/13/2026 00:34"/>
    <x v="0"/>
    <s v="Network Dropouts"/>
    <s v="Medium"/>
    <x v="8"/>
    <x v="0"/>
    <n v="9.1999999999999993"/>
    <n v="8"/>
    <s v="No"/>
    <n v="2"/>
    <s v="No"/>
    <s v="Closed"/>
    <s v="Pending"/>
    <x v="1"/>
    <x v="1"/>
    <s v="Match "/>
    <x v="1"/>
    <m/>
    <s v="Valid"/>
    <s v="Connectivity &amp; Software"/>
    <s v="Valid"/>
  </r>
  <r>
    <s v="TKT000226"/>
    <x v="0"/>
    <s v="03/05/2026 13:21"/>
    <s v="03/05/2026 18:33"/>
    <x v="4"/>
    <s v="Paper Supply"/>
    <s v="High"/>
    <x v="5"/>
    <x v="5"/>
    <n v="5.2"/>
    <n v="4"/>
    <s v="No"/>
    <n v="2"/>
    <s v="No"/>
    <s v="Closed"/>
    <s v="Pending"/>
    <x v="2"/>
    <x v="1"/>
    <s v="Match "/>
    <x v="1"/>
    <m/>
    <s v="Valid"/>
    <s v="Supplies &amp; Logistics"/>
    <s v="Valid"/>
  </r>
  <r>
    <s v="TKT000227"/>
    <x v="4"/>
    <s v="03/22/2026 14:46"/>
    <s v="03/22/2026 16:40"/>
    <x v="2"/>
    <s v="Relocation Requests"/>
    <s v="Medium"/>
    <x v="8"/>
    <x v="2"/>
    <n v="1.9"/>
    <n v="8"/>
    <s v="Yes"/>
    <n v="5"/>
    <s v="No"/>
    <s v="Closed"/>
    <s v="Fixed"/>
    <x v="0"/>
    <x v="0"/>
    <s v="Match "/>
    <x v="0"/>
    <m/>
    <s v="Valid"/>
    <s v="Contract &amp; Billing"/>
    <s v="Valid"/>
  </r>
  <r>
    <s v="TKT000228"/>
    <x v="6"/>
    <s v="03/17/2026 13:38"/>
    <s v="03/18/2026 04:08"/>
    <x v="3"/>
    <s v="Parts Wear"/>
    <s v="Medium"/>
    <x v="0"/>
    <x v="1"/>
    <n v="14.5"/>
    <n v="8"/>
    <s v="No"/>
    <n v="3"/>
    <s v="No"/>
    <s v="Closed"/>
    <s v="Escalated"/>
    <x v="2"/>
    <x v="1"/>
    <s v="Match "/>
    <x v="1"/>
    <m/>
    <s v="Valid"/>
    <s v="Hardware &amp; Mechanical"/>
    <s v="Valid"/>
  </r>
  <r>
    <s v="TKT000229"/>
    <x v="8"/>
    <s v="01/25/2026 11:10"/>
    <s v="01/25/2026 18:34"/>
    <x v="1"/>
    <s v="Color Calibration"/>
    <s v="Low"/>
    <x v="2"/>
    <x v="3"/>
    <n v="7.4"/>
    <n v="24"/>
    <s v="Yes"/>
    <n v="4"/>
    <s v="No"/>
    <s v="Closed"/>
    <s v="Fixed"/>
    <x v="3"/>
    <x v="0"/>
    <s v="Match "/>
    <x v="0"/>
    <m/>
    <s v="Valid"/>
    <s v="Print Quality"/>
    <s v="Valid"/>
  </r>
  <r>
    <s v="TKT000230"/>
    <x v="1"/>
    <s v="03/20/2026 10:56"/>
    <s v="03/20/2026 23:56"/>
    <x v="0"/>
    <s v="Driver &amp; Setup"/>
    <s v="Medium"/>
    <x v="8"/>
    <x v="0"/>
    <n v="13"/>
    <n v="8"/>
    <s v="No"/>
    <n v="3"/>
    <s v="No"/>
    <s v="Closed"/>
    <s v="Pending"/>
    <x v="3"/>
    <x v="1"/>
    <s v="Match "/>
    <x v="1"/>
    <m/>
    <s v="Valid"/>
    <s v="Connectivity &amp; Software"/>
    <s v="Valid"/>
  </r>
  <r>
    <s v="TKT000231"/>
    <x v="9"/>
    <s v="03/08/2026 15:43"/>
    <s v="03/09/2026 06:07"/>
    <x v="0"/>
    <s v="Network Dropouts"/>
    <s v="Low"/>
    <x v="7"/>
    <x v="0"/>
    <n v="14.4"/>
    <n v="24"/>
    <s v="Yes"/>
    <m/>
    <s v="No"/>
    <s v="Closed"/>
    <s v="Fixed"/>
    <x v="1"/>
    <x v="0"/>
    <s v="Match "/>
    <x v="0"/>
    <m/>
    <s v="Valid"/>
    <s v="Connectivity &amp; Software"/>
    <s v="Valid"/>
  </r>
  <r>
    <s v="TKT000232"/>
    <x v="6"/>
    <s v="01/29/2026 15:28"/>
    <s v="01/30/2026 01:40"/>
    <x v="0"/>
    <s v="Network Dropouts"/>
    <s v="Low"/>
    <x v="9"/>
    <x v="0"/>
    <n v="10.199999999999999"/>
    <n v="24"/>
    <s v="Yes"/>
    <n v="5"/>
    <s v="No"/>
    <s v="Closed"/>
    <s v="Fixed"/>
    <x v="0"/>
    <x v="0"/>
    <s v="Match "/>
    <x v="0"/>
    <m/>
    <s v="Valid"/>
    <s v="Connectivity &amp; Software"/>
    <s v="Valid"/>
  </r>
  <r>
    <s v="TKT000233"/>
    <x v="8"/>
    <s v="03/29/2026 12:21"/>
    <s v="03/30/2026 02:03"/>
    <x v="0"/>
    <s v="Network Dropouts"/>
    <s v="Low"/>
    <x v="0"/>
    <x v="0"/>
    <n v="13.7"/>
    <n v="24"/>
    <s v="Yes"/>
    <n v="4"/>
    <s v="No"/>
    <s v="Closed"/>
    <s v="Fixed"/>
    <x v="2"/>
    <x v="0"/>
    <s v="Match "/>
    <x v="0"/>
    <m/>
    <s v="Valid"/>
    <s v="Connectivity &amp; Software"/>
    <s v="Valid"/>
  </r>
  <r>
    <s v="TKT000234"/>
    <x v="1"/>
    <s v="02/16/2026 17:09"/>
    <s v="02/17/2026 11:15"/>
    <x v="3"/>
    <s v="Parts Wear"/>
    <s v="Low"/>
    <x v="8"/>
    <x v="1"/>
    <n v="18.100000000000001"/>
    <n v="24"/>
    <s v="Yes"/>
    <n v="4"/>
    <s v="No"/>
    <s v="Closed"/>
    <s v="Fixed"/>
    <x v="1"/>
    <x v="0"/>
    <s v="Match "/>
    <x v="0"/>
    <m/>
    <s v="Valid"/>
    <s v="Hardware &amp; Mechanical"/>
    <s v="Valid"/>
  </r>
  <r>
    <s v="TKT000235"/>
    <x v="0"/>
    <s v="03/01/2026 09:42"/>
    <s v="03/01/2026 13:00"/>
    <x v="2"/>
    <s v="Relocation Requests"/>
    <s v="Medium"/>
    <x v="2"/>
    <x v="2"/>
    <n v="3.3"/>
    <n v="8"/>
    <s v="No"/>
    <n v="3"/>
    <s v="Yes"/>
    <s v="Closed"/>
    <s v="Escalated"/>
    <x v="1"/>
    <x v="0"/>
    <s v="Mismatch"/>
    <x v="0"/>
    <m/>
    <s v="Valid"/>
    <s v="Contract &amp; Billing"/>
    <s v="Valid"/>
  </r>
  <r>
    <s v="TKT000236"/>
    <x v="8"/>
    <s v="02/13/2026 15:36"/>
    <s v="02/14/2026 01:42"/>
    <x v="0"/>
    <s v="Network Dropouts"/>
    <s v="Low"/>
    <x v="7"/>
    <x v="0"/>
    <n v="10.1"/>
    <n v="24"/>
    <s v="Yes"/>
    <m/>
    <s v="No"/>
    <s v="Closed"/>
    <s v="Fixed"/>
    <x v="3"/>
    <x v="0"/>
    <s v="Match "/>
    <x v="0"/>
    <m/>
    <s v="Valid"/>
    <s v="Connectivity &amp; Software"/>
    <s v="Valid"/>
  </r>
  <r>
    <s v="TKT000237"/>
    <x v="2"/>
    <s v="03/17/2026 11:12"/>
    <s v="03/17/2026 20:36"/>
    <x v="4"/>
    <s v="Toner Replenishment"/>
    <s v="High"/>
    <x v="0"/>
    <x v="5"/>
    <n v="9.4"/>
    <n v="4"/>
    <s v="No"/>
    <n v="2"/>
    <s v="No"/>
    <s v="Closed"/>
    <s v="Escalated"/>
    <x v="1"/>
    <x v="1"/>
    <s v="Match "/>
    <x v="1"/>
    <m/>
    <s v="Valid"/>
    <s v="Supplies &amp; Logistics"/>
    <s v="Valid"/>
  </r>
  <r>
    <s v="TKT000238"/>
    <x v="4"/>
    <s v="02/06/2026 16:33"/>
    <s v="02/07/2026 02:03"/>
    <x v="0"/>
    <s v="Driver &amp; Setup"/>
    <s v="Medium"/>
    <x v="5"/>
    <x v="0"/>
    <n v="9.5"/>
    <n v="8"/>
    <s v="No"/>
    <n v="2"/>
    <s v="Yes"/>
    <s v="Closed"/>
    <s v="Escalated"/>
    <x v="3"/>
    <x v="1"/>
    <s v="Match "/>
    <x v="1"/>
    <m/>
    <s v="Valid"/>
    <s v="Connectivity &amp; Software"/>
    <s v="Valid"/>
  </r>
  <r>
    <s v="TKT000239"/>
    <x v="7"/>
    <s v="03/18/2026 14:43"/>
    <s v="03/19/2026 05:13"/>
    <x v="0"/>
    <s v="Network Dropouts"/>
    <s v="Medium"/>
    <x v="3"/>
    <x v="0"/>
    <n v="14.5"/>
    <n v="8"/>
    <s v="No"/>
    <n v="2"/>
    <s v="No"/>
    <s v="Closed"/>
    <s v="Pending"/>
    <x v="2"/>
    <x v="1"/>
    <s v="Match "/>
    <x v="1"/>
    <m/>
    <s v="Valid"/>
    <s v="Connectivity &amp; Software"/>
    <s v="Valid"/>
  </r>
  <r>
    <s v="TKT000240"/>
    <x v="9"/>
    <s v="01/21/2026 13:19"/>
    <s v="01/21/2026 17:19"/>
    <x v="4"/>
    <s v="Toner Replenishment"/>
    <s v="Medium"/>
    <x v="7"/>
    <x v="5"/>
    <n v="4"/>
    <n v="8"/>
    <s v="Yes"/>
    <n v="5"/>
    <s v="No"/>
    <s v="Closed"/>
    <s v="Fixed"/>
    <x v="2"/>
    <x v="0"/>
    <s v="Match "/>
    <x v="0"/>
    <m/>
    <s v="Valid"/>
    <s v="Supplies &amp; Logistics"/>
    <s v="Valid"/>
  </r>
  <r>
    <s v="TKT000241"/>
    <x v="2"/>
    <s v="01/02/2026 14:03"/>
    <s v="01/03/2026 02:21"/>
    <x v="0"/>
    <s v="Network Dropouts"/>
    <s v="High"/>
    <x v="6"/>
    <x v="0"/>
    <n v="12.3"/>
    <n v="4"/>
    <s v="No"/>
    <n v="3"/>
    <s v="Yes"/>
    <s v="Closed"/>
    <s v="Escalated"/>
    <x v="2"/>
    <x v="1"/>
    <s v="Match "/>
    <x v="1"/>
    <m/>
    <s v="Valid"/>
    <s v="Connectivity &amp; Software"/>
    <s v="Valid"/>
  </r>
  <r>
    <s v="TKT000242"/>
    <x v="5"/>
    <s v="03/09/2026 12:05"/>
    <s v="03/09/2026 21:59"/>
    <x v="0"/>
    <s v="Scan-to-Email"/>
    <s v="Low"/>
    <x v="1"/>
    <x v="0"/>
    <n v="9.9"/>
    <n v="24"/>
    <s v="Yes"/>
    <n v="4"/>
    <s v="No"/>
    <s v="Closed"/>
    <s v="Fixed"/>
    <x v="2"/>
    <x v="0"/>
    <s v="Match "/>
    <x v="0"/>
    <m/>
    <s v="Valid"/>
    <s v="Connectivity &amp; Software"/>
    <s v="Valid"/>
  </r>
  <r>
    <s v="TKT000243"/>
    <x v="9"/>
    <s v="03/31/2026 10:19"/>
    <s v="04/01/2026 00:37"/>
    <x v="0"/>
    <s v="Driver &amp; Setup"/>
    <s v="High"/>
    <x v="3"/>
    <x v="0"/>
    <n v="14.3"/>
    <n v="4"/>
    <s v="No"/>
    <n v="1"/>
    <s v="No"/>
    <s v="Closed"/>
    <s v="Pending"/>
    <x v="3"/>
    <x v="1"/>
    <s v="Match "/>
    <x v="1"/>
    <m/>
    <s v="Valid"/>
    <s v="Connectivity &amp; Software"/>
    <s v="Valid"/>
  </r>
  <r>
    <s v="TKT000244"/>
    <x v="3"/>
    <s v="03/26/2026 16:03"/>
    <s v="03/27/2026 05:39"/>
    <x v="3"/>
    <s v="Parts Wear"/>
    <s v="Medium"/>
    <x v="9"/>
    <x v="1"/>
    <n v="13.6"/>
    <n v="8"/>
    <s v="No"/>
    <n v="2"/>
    <s v="No"/>
    <s v="Closed"/>
    <s v="Escalated"/>
    <x v="1"/>
    <x v="1"/>
    <s v="Match "/>
    <x v="1"/>
    <m/>
    <s v="Valid"/>
    <s v="Hardware &amp; Mechanical"/>
    <s v="Valid"/>
  </r>
  <r>
    <s v="TKT000245"/>
    <x v="1"/>
    <s v="03/26/2026 08:58"/>
    <s v="03/27/2026 00:22"/>
    <x v="1"/>
    <s v="Defective Prints"/>
    <s v="High"/>
    <x v="0"/>
    <x v="3"/>
    <n v="15.4"/>
    <n v="4"/>
    <s v="No"/>
    <n v="1"/>
    <s v="Yes"/>
    <s v="Closed"/>
    <s v="Pending"/>
    <x v="3"/>
    <x v="1"/>
    <s v="Match "/>
    <x v="1"/>
    <m/>
    <s v="Valid"/>
    <s v="Print Quality"/>
    <s v="Valid"/>
  </r>
  <r>
    <s v="TKT000246"/>
    <x v="3"/>
    <s v="02/21/2026 10:50"/>
    <s v="02/21/2026 20:50"/>
    <x v="1"/>
    <s v="Finishing Errors"/>
    <s v="Medium"/>
    <x v="6"/>
    <x v="1"/>
    <n v="10"/>
    <n v="8"/>
    <s v="No"/>
    <n v="1"/>
    <s v="No"/>
    <s v="Closed"/>
    <s v="Escalated"/>
    <x v="2"/>
    <x v="1"/>
    <s v="Match "/>
    <x v="1"/>
    <m/>
    <s v="Valid"/>
    <s v="Print Quality"/>
    <s v="Valid"/>
  </r>
  <r>
    <s v="TKT000247"/>
    <x v="9"/>
    <s v="02/02/2026 16:09"/>
    <s v="02/03/2026 04:45"/>
    <x v="0"/>
    <s v="Driver &amp; Setup"/>
    <s v="Low"/>
    <x v="6"/>
    <x v="0"/>
    <n v="12.6"/>
    <n v="24"/>
    <s v="Yes"/>
    <n v="4"/>
    <s v="No"/>
    <s v="Closed"/>
    <s v="Fixed"/>
    <x v="3"/>
    <x v="0"/>
    <s v="Match "/>
    <x v="0"/>
    <m/>
    <s v="Valid"/>
    <s v="Connectivity &amp; Software"/>
    <s v="Valid"/>
  </r>
  <r>
    <s v="TKT000248"/>
    <x v="4"/>
    <s v="03/02/2026 16:27"/>
    <s v="03/03/2026 06:39"/>
    <x v="3"/>
    <s v="Parts Wear"/>
    <s v="Low"/>
    <x v="5"/>
    <x v="1"/>
    <n v="14.2"/>
    <n v="24"/>
    <s v="No"/>
    <n v="3"/>
    <s v="No"/>
    <s v="Closed"/>
    <s v="Pending"/>
    <x v="1"/>
    <x v="0"/>
    <s v="Mismatch"/>
    <x v="0"/>
    <m/>
    <s v="Valid"/>
    <s v="Hardware &amp; Mechanical"/>
    <s v="Valid"/>
  </r>
  <r>
    <s v="TKT000249"/>
    <x v="1"/>
    <s v="02/07/2026 11:13"/>
    <s v="02/08/2026 01:43"/>
    <x v="0"/>
    <s v="Network Dropouts"/>
    <s v="High"/>
    <x v="9"/>
    <x v="0"/>
    <n v="14.5"/>
    <n v="4"/>
    <s v="No"/>
    <n v="3"/>
    <s v="Yes"/>
    <s v="Closed"/>
    <s v="Pending"/>
    <x v="3"/>
    <x v="1"/>
    <s v="Match "/>
    <x v="1"/>
    <m/>
    <s v="Valid"/>
    <s v="Connectivity &amp; Software"/>
    <s v="Valid"/>
  </r>
  <r>
    <s v="TKT000250"/>
    <x v="5"/>
    <s v="01/31/2026 12:58"/>
    <s v="02/01/2026 04:52"/>
    <x v="0"/>
    <s v="Network Dropouts"/>
    <s v="Medium"/>
    <x v="5"/>
    <x v="0"/>
    <n v="15.9"/>
    <n v="8"/>
    <s v="No"/>
    <n v="1"/>
    <s v="No"/>
    <s v="Closed"/>
    <s v="Pending"/>
    <x v="3"/>
    <x v="1"/>
    <s v="Match "/>
    <x v="1"/>
    <m/>
    <s v="Valid"/>
    <s v="Connectivity &amp; Software"/>
    <s v="Valid"/>
  </r>
  <r>
    <s v="TKT000251"/>
    <x v="8"/>
    <s v="01/20/2026 08:52"/>
    <s v="01/20/2026 15:46"/>
    <x v="0"/>
    <s v="Driver &amp; Setup"/>
    <s v="Low"/>
    <x v="6"/>
    <x v="0"/>
    <n v="6.9"/>
    <n v="24"/>
    <s v="Yes"/>
    <n v="4"/>
    <s v="No"/>
    <s v="Closed"/>
    <s v="Fixed"/>
    <x v="0"/>
    <x v="0"/>
    <s v="Match "/>
    <x v="0"/>
    <m/>
    <s v="Valid"/>
    <s v="Connectivity &amp; Software"/>
    <s v="Valid"/>
  </r>
  <r>
    <s v="TKT000252"/>
    <x v="6"/>
    <s v="03/20/2026 08:09"/>
    <s v="03/21/2026 01:09"/>
    <x v="3"/>
    <s v="Device Errors"/>
    <s v="Medium"/>
    <x v="5"/>
    <x v="4"/>
    <n v="17"/>
    <n v="8"/>
    <s v="No"/>
    <n v="1"/>
    <s v="No"/>
    <s v="Closed"/>
    <s v="Pending"/>
    <x v="3"/>
    <x v="1"/>
    <s v="Match "/>
    <x v="1"/>
    <m/>
    <s v="Valid"/>
    <s v="Hardware &amp; Mechanical"/>
    <s v="Valid"/>
  </r>
  <r>
    <s v="TKT000253"/>
    <x v="1"/>
    <s v="03/28/2026 17:40"/>
    <s v="03/29/2026 03:34"/>
    <x v="1"/>
    <s v="Color Calibration"/>
    <s v="High"/>
    <x v="7"/>
    <x v="3"/>
    <n v="9.9"/>
    <n v="4"/>
    <s v="No"/>
    <n v="2"/>
    <s v="Yes"/>
    <s v="Closed"/>
    <s v="Escalated"/>
    <x v="3"/>
    <x v="1"/>
    <s v="Match "/>
    <x v="1"/>
    <m/>
    <s v="Valid"/>
    <s v="Print Quality"/>
    <s v="Valid"/>
  </r>
  <r>
    <s v="TKT000254"/>
    <x v="9"/>
    <s v="03/02/2026 16:49"/>
    <s v="03/03/2026 00:31"/>
    <x v="4"/>
    <s v="Toner Replenishment"/>
    <s v="Medium"/>
    <x v="1"/>
    <x v="5"/>
    <n v="7.7"/>
    <n v="8"/>
    <s v="Yes"/>
    <n v="5"/>
    <s v="No"/>
    <s v="Closed"/>
    <s v="Fixed"/>
    <x v="2"/>
    <x v="0"/>
    <s v="Match "/>
    <x v="0"/>
    <m/>
    <s v="Valid"/>
    <s v="Supplies &amp; Logistics"/>
    <s v="Valid"/>
  </r>
  <r>
    <s v="TKT000255"/>
    <x v="6"/>
    <s v="01/01/2026 14:14"/>
    <s v="01/02/2026 04:32"/>
    <x v="0"/>
    <s v="Driver &amp; Setup"/>
    <s v="High"/>
    <x v="8"/>
    <x v="0"/>
    <n v="14.3"/>
    <n v="4"/>
    <s v="No"/>
    <n v="3"/>
    <s v="Yes"/>
    <s v="Closed"/>
    <s v="Escalated"/>
    <x v="0"/>
    <x v="1"/>
    <s v="Match "/>
    <x v="1"/>
    <m/>
    <s v="Valid"/>
    <s v="Connectivity &amp; Software"/>
    <s v="Valid"/>
  </r>
  <r>
    <s v="TKT000256"/>
    <x v="2"/>
    <s v="03/12/2026 16:34"/>
    <s v="03/13/2026 05:46"/>
    <x v="0"/>
    <s v="Scan-to-Email"/>
    <s v="Medium"/>
    <x v="8"/>
    <x v="0"/>
    <n v="13.2"/>
    <n v="8"/>
    <s v="No"/>
    <n v="2"/>
    <s v="Yes"/>
    <s v="Closed"/>
    <s v="Pending"/>
    <x v="1"/>
    <x v="1"/>
    <s v="Match "/>
    <x v="1"/>
    <m/>
    <s v="Valid"/>
    <s v="Connectivity &amp; Software"/>
    <s v="Valid"/>
  </r>
  <r>
    <s v="TKT000257"/>
    <x v="1"/>
    <s v="01/03/2026 13:22"/>
    <s v="01/03/2026 22:40"/>
    <x v="0"/>
    <s v="Scan-to-Email"/>
    <s v="High"/>
    <x v="8"/>
    <x v="0"/>
    <n v="9.3000000000000007"/>
    <n v="4"/>
    <s v="No"/>
    <n v="3"/>
    <s v="No"/>
    <s v="Closed"/>
    <s v="Pending"/>
    <x v="2"/>
    <x v="1"/>
    <s v="Match "/>
    <x v="1"/>
    <m/>
    <s v="Valid"/>
    <s v="Connectivity &amp; Software"/>
    <s v="Valid"/>
  </r>
  <r>
    <s v="TKT000258"/>
    <x v="1"/>
    <s v="02/13/2026 16:23"/>
    <s v="02/13/2026 22:35"/>
    <x v="1"/>
    <s v="Defective Prints"/>
    <s v="Medium"/>
    <x v="7"/>
    <x v="3"/>
    <n v="6.2"/>
    <n v="8"/>
    <s v="Yes"/>
    <n v="5"/>
    <s v="No"/>
    <s v="Closed"/>
    <s v="Fixed"/>
    <x v="3"/>
    <x v="0"/>
    <s v="Match "/>
    <x v="0"/>
    <m/>
    <s v="Valid"/>
    <s v="Print Quality"/>
    <s v="Valid"/>
  </r>
  <r>
    <s v="TKT000259"/>
    <x v="3"/>
    <s v="02/14/2026 09:36"/>
    <s v="02/14/2026 17:54"/>
    <x v="0"/>
    <s v="Scan-to-Email"/>
    <s v="Low"/>
    <x v="4"/>
    <x v="0"/>
    <n v="8.3000000000000007"/>
    <n v="24"/>
    <s v="Yes"/>
    <n v="4"/>
    <s v="No"/>
    <s v="Closed"/>
    <s v="Fixed"/>
    <x v="3"/>
    <x v="0"/>
    <s v="Match "/>
    <x v="0"/>
    <m/>
    <s v="Valid"/>
    <s v="Connectivity &amp; Software"/>
    <s v="Valid"/>
  </r>
  <r>
    <s v="TKT000260"/>
    <x v="8"/>
    <s v="03/08/2026 08:24"/>
    <s v="03/08/2026 14:12"/>
    <x v="4"/>
    <s v="Paper Supply"/>
    <s v="Medium"/>
    <x v="4"/>
    <x v="5"/>
    <n v="5.8"/>
    <n v="8"/>
    <s v="Yes"/>
    <n v="4"/>
    <s v="No"/>
    <s v="Closed"/>
    <s v="Fixed"/>
    <x v="1"/>
    <x v="0"/>
    <s v="Match "/>
    <x v="0"/>
    <m/>
    <s v="Valid"/>
    <s v="Supplies &amp; Logistics"/>
    <s v="Valid"/>
  </r>
  <r>
    <s v="TKT000261"/>
    <x v="1"/>
    <s v="03/17/2026 13:12"/>
    <s v="03/18/2026 03:48"/>
    <x v="0"/>
    <s v="Driver &amp; Setup"/>
    <s v="Medium"/>
    <x v="1"/>
    <x v="0"/>
    <n v="14.6"/>
    <n v="8"/>
    <s v="No"/>
    <m/>
    <s v="Yes"/>
    <s v="Closed"/>
    <s v="Escalated"/>
    <x v="2"/>
    <x v="1"/>
    <s v="Match "/>
    <x v="1"/>
    <m/>
    <s v="Valid"/>
    <s v="Connectivity &amp; Software"/>
    <s v="Valid"/>
  </r>
  <r>
    <s v="TKT000262"/>
    <x v="0"/>
    <s v="03/27/2026 14:23"/>
    <s v="03/27/2026 21:41"/>
    <x v="4"/>
    <s v="Toner Replenishment"/>
    <s v="Low"/>
    <x v="1"/>
    <x v="5"/>
    <n v="7.3"/>
    <n v="24"/>
    <s v="Yes"/>
    <n v="5"/>
    <s v="No"/>
    <s v="Closed"/>
    <s v="Fixed"/>
    <x v="3"/>
    <x v="0"/>
    <s v="Match "/>
    <x v="0"/>
    <m/>
    <s v="Valid"/>
    <s v="Supplies &amp; Logistics"/>
    <s v="Valid"/>
  </r>
  <r>
    <s v="TKT000263"/>
    <x v="6"/>
    <s v="01/31/2026 12:26"/>
    <s v="01/31/2026 15:14"/>
    <x v="2"/>
    <s v="Relocation Requests"/>
    <s v="High"/>
    <x v="4"/>
    <x v="2"/>
    <n v="2.8"/>
    <n v="4"/>
    <s v="Yes"/>
    <n v="4"/>
    <s v="No"/>
    <s v="Closed"/>
    <s v="Fixed"/>
    <x v="1"/>
    <x v="0"/>
    <s v="Match "/>
    <x v="0"/>
    <m/>
    <s v="Valid"/>
    <s v="Contract &amp; Billing"/>
    <s v="Valid"/>
  </r>
  <r>
    <s v="TKT000264"/>
    <x v="1"/>
    <s v="03/16/2026 11:42"/>
    <s v="03/17/2026 00:36"/>
    <x v="0"/>
    <s v="Driver &amp; Setup"/>
    <s v="Medium"/>
    <x v="0"/>
    <x v="0"/>
    <n v="12.9"/>
    <n v="8"/>
    <s v="No"/>
    <n v="1"/>
    <s v="No"/>
    <s v="Closed"/>
    <s v="Escalated"/>
    <x v="2"/>
    <x v="1"/>
    <s v="Match "/>
    <x v="1"/>
    <m/>
    <s v="Valid"/>
    <s v="Connectivity &amp; Software"/>
    <s v="Valid"/>
  </r>
  <r>
    <s v="TKT000265"/>
    <x v="3"/>
    <s v="03/13/2026 13:42"/>
    <s v="03/13/2026 19:00"/>
    <x v="1"/>
    <s v="Color Calibration"/>
    <s v="Medium"/>
    <x v="9"/>
    <x v="3"/>
    <n v="5.3"/>
    <n v="8"/>
    <s v="Yes"/>
    <n v="5"/>
    <s v="No"/>
    <s v="Closed"/>
    <s v="Fixed"/>
    <x v="0"/>
    <x v="0"/>
    <s v="Match "/>
    <x v="0"/>
    <m/>
    <s v="Valid"/>
    <s v="Print Quality"/>
    <s v="Valid"/>
  </r>
  <r>
    <s v="TKT000266"/>
    <x v="8"/>
    <s v="02/19/2026 11:06"/>
    <s v="02/19/2026 22:24"/>
    <x v="0"/>
    <s v="Network Dropouts"/>
    <s v="Medium"/>
    <x v="9"/>
    <x v="0"/>
    <n v="11.3"/>
    <n v="8"/>
    <s v="No"/>
    <n v="1"/>
    <s v="Yes"/>
    <s v="Closed"/>
    <s v="Pending"/>
    <x v="3"/>
    <x v="1"/>
    <s v="Match "/>
    <x v="1"/>
    <m/>
    <s v="Valid"/>
    <s v="Connectivity &amp; Software"/>
    <s v="Valid"/>
  </r>
  <r>
    <s v="TKT000267"/>
    <x v="1"/>
    <s v="03/09/2026 14:52"/>
    <s v="03/10/2026 13:10"/>
    <x v="3"/>
    <s v="Parts Wear"/>
    <s v="Medium"/>
    <x v="6"/>
    <x v="1"/>
    <n v="22.3"/>
    <n v="8"/>
    <s v="No"/>
    <n v="1"/>
    <s v="No"/>
    <s v="Closed"/>
    <s v="Escalated"/>
    <x v="2"/>
    <x v="1"/>
    <s v="Match "/>
    <x v="1"/>
    <m/>
    <s v="Valid"/>
    <s v="Hardware &amp; Mechanical"/>
    <s v="Valid"/>
  </r>
  <r>
    <s v="TKT000268"/>
    <x v="0"/>
    <s v="01/30/2026 09:17"/>
    <s v="01/30/2026 17:29"/>
    <x v="1"/>
    <s v="Defective Prints"/>
    <s v="Medium"/>
    <x v="5"/>
    <x v="3"/>
    <n v="8.1999999999999993"/>
    <n v="8"/>
    <s v="No"/>
    <n v="3"/>
    <s v="No"/>
    <s v="Closed"/>
    <s v="Escalated"/>
    <x v="2"/>
    <x v="1"/>
    <s v="Match "/>
    <x v="1"/>
    <m/>
    <s v="Valid"/>
    <s v="Print Quality"/>
    <s v="Valid"/>
  </r>
  <r>
    <s v="TKT000269"/>
    <x v="5"/>
    <s v="02/14/2026 09:21"/>
    <s v="02/14/2026 21:33"/>
    <x v="0"/>
    <s v="Driver &amp; Setup"/>
    <s v="Low"/>
    <x v="3"/>
    <x v="0"/>
    <n v="12.2"/>
    <n v="24"/>
    <s v="Yes"/>
    <n v="5"/>
    <s v="No"/>
    <s v="Closed"/>
    <s v="Fixed"/>
    <x v="1"/>
    <x v="0"/>
    <s v="Match "/>
    <x v="0"/>
    <m/>
    <s v="Valid"/>
    <s v="Connectivity &amp; Software"/>
    <s v="Valid"/>
  </r>
  <r>
    <s v="TKT000270"/>
    <x v="6"/>
    <s v="02/04/2026 17:10"/>
    <s v="02/04/2026 21:52"/>
    <x v="2"/>
    <s v="Relocation Requests"/>
    <s v="Low"/>
    <x v="0"/>
    <x v="2"/>
    <n v="4.7"/>
    <n v="24"/>
    <s v="Yes"/>
    <n v="4"/>
    <s v="No"/>
    <s v="Closed"/>
    <s v="Fixed"/>
    <x v="0"/>
    <x v="0"/>
    <s v="Match "/>
    <x v="0"/>
    <m/>
    <s v="Valid"/>
    <s v="Contract &amp; Billing"/>
    <s v="Valid"/>
  </r>
  <r>
    <s v="TKT000271"/>
    <x v="4"/>
    <s v="02/03/2026 08:14"/>
    <s v="02/04/2026 02:56"/>
    <x v="3"/>
    <s v="Paper Jam"/>
    <s v="Low"/>
    <x v="9"/>
    <x v="4"/>
    <n v="18.7"/>
    <n v="24"/>
    <s v="Yes"/>
    <n v="4"/>
    <s v="No"/>
    <s v="Closed"/>
    <s v="Fixed"/>
    <x v="3"/>
    <x v="0"/>
    <s v="Match "/>
    <x v="0"/>
    <m/>
    <s v="Valid"/>
    <s v="Hardware &amp; Mechanical"/>
    <s v="Valid"/>
  </r>
  <r>
    <s v="TKT000272"/>
    <x v="3"/>
    <s v="03/28/2026 14:38"/>
    <s v="03/29/2026 10:32"/>
    <x v="3"/>
    <s v="Paper Jam"/>
    <s v="Low"/>
    <x v="1"/>
    <x v="4"/>
    <n v="19.899999999999999"/>
    <n v="24"/>
    <s v="Yes"/>
    <n v="4"/>
    <s v="No"/>
    <s v="Closed"/>
    <s v="Fixed"/>
    <x v="3"/>
    <x v="0"/>
    <s v="Match "/>
    <x v="0"/>
    <m/>
    <s v="Valid"/>
    <s v="Hardware &amp; Mechanical"/>
    <s v="Valid"/>
  </r>
  <r>
    <s v="TKT000273"/>
    <x v="8"/>
    <s v="03/25/2026 08:30"/>
    <s v="03/25/2026 17:42"/>
    <x v="4"/>
    <s v="Toner Replenishment"/>
    <s v="High"/>
    <x v="1"/>
    <x v="5"/>
    <n v="9.1999999999999993"/>
    <n v="4"/>
    <s v="No"/>
    <n v="1"/>
    <s v="Yes"/>
    <s v="Closed"/>
    <s v="Escalated"/>
    <x v="2"/>
    <x v="1"/>
    <s v="Match "/>
    <x v="1"/>
    <m/>
    <s v="Valid"/>
    <s v="Supplies &amp; Logistics"/>
    <s v="Valid"/>
  </r>
  <r>
    <s v="TKT000274"/>
    <x v="5"/>
    <s v="03/17/2026 12:00"/>
    <s v="03/17/2026 13:54"/>
    <x v="2"/>
    <s v="Lease Terms"/>
    <s v="Low"/>
    <x v="3"/>
    <x v="2"/>
    <n v="1.9"/>
    <n v="24"/>
    <s v="Yes"/>
    <n v="4"/>
    <s v="No"/>
    <s v="Closed"/>
    <s v="Fixed"/>
    <x v="2"/>
    <x v="0"/>
    <s v="Match "/>
    <x v="0"/>
    <m/>
    <s v="Valid"/>
    <s v="Contract &amp; Billing"/>
    <s v="Valid"/>
  </r>
  <r>
    <s v="TKT000275"/>
    <x v="6"/>
    <s v="01/21/2026 14:27"/>
    <s v="01/21/2026 22:27"/>
    <x v="0"/>
    <s v="Scan-to-Email"/>
    <s v="High"/>
    <x v="3"/>
    <x v="0"/>
    <n v="8"/>
    <n v="4"/>
    <s v="No"/>
    <n v="1"/>
    <s v="Yes"/>
    <s v="Closed"/>
    <s v="Pending"/>
    <x v="1"/>
    <x v="1"/>
    <s v="Match "/>
    <x v="1"/>
    <m/>
    <s v="Valid"/>
    <s v="Connectivity &amp; Software"/>
    <s v="Valid"/>
  </r>
  <r>
    <s v="TKT000276"/>
    <x v="8"/>
    <s v="03/10/2026 14:25"/>
    <s v="03/10/2026 23:31"/>
    <x v="0"/>
    <s v="Scan-to-Email"/>
    <s v="Medium"/>
    <x v="4"/>
    <x v="0"/>
    <n v="9.1"/>
    <n v="8"/>
    <s v="No"/>
    <n v="3"/>
    <s v="Yes"/>
    <s v="Closed"/>
    <s v="Pending"/>
    <x v="3"/>
    <x v="1"/>
    <s v="Match "/>
    <x v="1"/>
    <m/>
    <s v="Valid"/>
    <s v="Connectivity &amp; Software"/>
    <s v="Valid"/>
  </r>
  <r>
    <s v="TKT000277"/>
    <x v="2"/>
    <s v="03/15/2026 10:03"/>
    <s v="03/15/2026 19:21"/>
    <x v="3"/>
    <s v="Parts Wear"/>
    <s v="Low"/>
    <x v="5"/>
    <x v="1"/>
    <n v="9.3000000000000007"/>
    <n v="24"/>
    <s v="Yes"/>
    <n v="4"/>
    <s v="No"/>
    <s v="Closed"/>
    <s v="Fixed"/>
    <x v="3"/>
    <x v="0"/>
    <s v="Match "/>
    <x v="0"/>
    <m/>
    <s v="Valid"/>
    <s v="Hardware &amp; Mechanical"/>
    <s v="Valid"/>
  </r>
  <r>
    <s v="TKT000278"/>
    <x v="8"/>
    <s v="02/21/2026 10:52"/>
    <s v="02/22/2026 04:10"/>
    <x v="3"/>
    <s v="Device Errors"/>
    <s v="Medium"/>
    <x v="5"/>
    <x v="4"/>
    <n v="17.3"/>
    <n v="8"/>
    <s v="No"/>
    <m/>
    <s v="Yes"/>
    <s v="Closed"/>
    <s v="Pending"/>
    <x v="1"/>
    <x v="1"/>
    <s v="Match "/>
    <x v="1"/>
    <m/>
    <s v="Valid"/>
    <s v="Hardware &amp; Mechanical"/>
    <s v="Valid"/>
  </r>
  <r>
    <s v="TKT000279"/>
    <x v="1"/>
    <s v="02/23/2026 17:01"/>
    <s v="02/24/2026 09:31"/>
    <x v="3"/>
    <s v="Device Errors"/>
    <s v="Medium"/>
    <x v="6"/>
    <x v="4"/>
    <n v="16.5"/>
    <n v="8"/>
    <s v="No"/>
    <n v="2"/>
    <s v="No"/>
    <s v="Closed"/>
    <s v="Escalated"/>
    <x v="2"/>
    <x v="1"/>
    <s v="Match "/>
    <x v="1"/>
    <m/>
    <s v="Valid"/>
    <s v="Hardware &amp; Mechanical"/>
    <s v="Valid"/>
  </r>
  <r>
    <s v="TKT000280"/>
    <x v="9"/>
    <s v="03/12/2026 15:46"/>
    <s v="03/13/2026 00:10"/>
    <x v="4"/>
    <s v="Toner Replenishment"/>
    <s v="High"/>
    <x v="0"/>
    <x v="5"/>
    <n v="8.4"/>
    <n v="4"/>
    <s v="No"/>
    <n v="1"/>
    <s v="Yes"/>
    <s v="Closed"/>
    <s v="Escalated"/>
    <x v="2"/>
    <x v="1"/>
    <s v="Match "/>
    <x v="1"/>
    <m/>
    <s v="Valid"/>
    <s v="Supplies &amp; Logistics"/>
    <s v="Valid"/>
  </r>
  <r>
    <s v="TKT000281"/>
    <x v="1"/>
    <s v="03/28/2026 11:46"/>
    <s v="03/28/2026 19:40"/>
    <x v="0"/>
    <s v="Scan-to-Email"/>
    <s v="Medium"/>
    <x v="5"/>
    <x v="0"/>
    <n v="7.9"/>
    <n v="8"/>
    <s v="Yes"/>
    <n v="4"/>
    <s v="No"/>
    <s v="Closed"/>
    <s v="Fixed"/>
    <x v="2"/>
    <x v="0"/>
    <s v="Match "/>
    <x v="0"/>
    <m/>
    <s v="Valid"/>
    <s v="Connectivity &amp; Software"/>
    <s v="Valid"/>
  </r>
  <r>
    <s v="TKT000282"/>
    <x v="6"/>
    <s v="03/28/2026 14:59"/>
    <s v="03/29/2026 00:11"/>
    <x v="4"/>
    <s v="Toner Replenishment"/>
    <s v="Medium"/>
    <x v="5"/>
    <x v="5"/>
    <n v="9.1999999999999993"/>
    <n v="8"/>
    <s v="No"/>
    <n v="2"/>
    <s v="Yes"/>
    <s v="Closed"/>
    <s v="Pending"/>
    <x v="0"/>
    <x v="1"/>
    <s v="Match "/>
    <x v="1"/>
    <m/>
    <s v="Valid"/>
    <s v="Supplies &amp; Logistics"/>
    <s v="Valid"/>
  </r>
  <r>
    <s v="TKT000283"/>
    <x v="2"/>
    <s v="02/08/2026 11:48"/>
    <s v="02/09/2026 07:42"/>
    <x v="0"/>
    <s v="Network Dropouts"/>
    <s v="Low"/>
    <x v="0"/>
    <x v="0"/>
    <n v="19.899999999999999"/>
    <n v="24"/>
    <s v="Yes"/>
    <n v="5"/>
    <s v="No"/>
    <s v="Closed"/>
    <s v="Fixed"/>
    <x v="0"/>
    <x v="0"/>
    <s v="Match "/>
    <x v="0"/>
    <m/>
    <s v="Valid"/>
    <s v="Connectivity &amp; Software"/>
    <s v="Valid"/>
  </r>
  <r>
    <s v="TKT000284"/>
    <x v="6"/>
    <s v="02/14/2026 16:38"/>
    <s v="02/14/2026 22:20"/>
    <x v="1"/>
    <s v="Finishing Errors"/>
    <s v="Low"/>
    <x v="6"/>
    <x v="1"/>
    <n v="5.7"/>
    <n v="24"/>
    <s v="Yes"/>
    <n v="4"/>
    <s v="No"/>
    <s v="Closed"/>
    <s v="Fixed"/>
    <x v="1"/>
    <x v="0"/>
    <s v="Match "/>
    <x v="0"/>
    <m/>
    <s v="Valid"/>
    <s v="Print Quality"/>
    <s v="Valid"/>
  </r>
  <r>
    <s v="TKT000285"/>
    <x v="2"/>
    <s v="01/01/2026 13:20"/>
    <s v="01/01/2026 23:32"/>
    <x v="1"/>
    <s v="Finishing Errors"/>
    <s v="Low"/>
    <x v="5"/>
    <x v="1"/>
    <n v="10.199999999999999"/>
    <n v="24"/>
    <s v="Yes"/>
    <n v="5"/>
    <s v="No"/>
    <s v="Closed"/>
    <s v="Fixed"/>
    <x v="0"/>
    <x v="0"/>
    <s v="Match "/>
    <x v="0"/>
    <m/>
    <s v="Valid"/>
    <s v="Print Quality"/>
    <s v="Valid"/>
  </r>
  <r>
    <s v="TKT000286"/>
    <x v="1"/>
    <s v="03/10/2026 14:25"/>
    <s v="03/11/2026 17:43"/>
    <x v="3"/>
    <s v="Paper Jam"/>
    <s v="Medium"/>
    <x v="0"/>
    <x v="4"/>
    <n v="27.3"/>
    <n v="8"/>
    <s v="No"/>
    <n v="1"/>
    <s v="No"/>
    <s v="Closed"/>
    <s v="Pending"/>
    <x v="2"/>
    <x v="1"/>
    <s v="Match "/>
    <x v="1"/>
    <m/>
    <s v="Valid"/>
    <s v="Hardware &amp; Mechanical"/>
    <s v="Valid"/>
  </r>
  <r>
    <s v="TKT000287"/>
    <x v="6"/>
    <s v="01/29/2026 17:36"/>
    <s v="01/30/2026 00:06"/>
    <x v="0"/>
    <s v="Network Dropouts"/>
    <s v="Low"/>
    <x v="2"/>
    <x v="0"/>
    <n v="6.5"/>
    <n v="24"/>
    <s v="Yes"/>
    <n v="4"/>
    <s v="No"/>
    <s v="Closed"/>
    <s v="Fixed"/>
    <x v="0"/>
    <x v="0"/>
    <s v="Match "/>
    <x v="0"/>
    <m/>
    <s v="Valid"/>
    <s v="Connectivity &amp; Software"/>
    <s v="Valid"/>
  </r>
  <r>
    <s v="TKT000288"/>
    <x v="1"/>
    <s v="03/04/2026 08:46"/>
    <s v="03/04/2026 16:34"/>
    <x v="4"/>
    <s v="Toner Replenishment"/>
    <s v="Low"/>
    <x v="8"/>
    <x v="5"/>
    <n v="7.8"/>
    <n v="24"/>
    <s v="Yes"/>
    <n v="4"/>
    <s v="No"/>
    <s v="Closed"/>
    <s v="Fixed"/>
    <x v="3"/>
    <x v="0"/>
    <s v="Match "/>
    <x v="0"/>
    <m/>
    <s v="Valid"/>
    <s v="Supplies &amp; Logistics"/>
    <s v="Valid"/>
  </r>
  <r>
    <s v="TKT000289"/>
    <x v="7"/>
    <s v="03/17/2026 09:20"/>
    <s v="03/17/2026 23:14"/>
    <x v="3"/>
    <s v="Paper Jam"/>
    <s v="Low"/>
    <x v="6"/>
    <x v="4"/>
    <n v="13.9"/>
    <n v="24"/>
    <s v="Yes"/>
    <n v="5"/>
    <s v="No"/>
    <s v="Closed"/>
    <s v="Fixed"/>
    <x v="0"/>
    <x v="0"/>
    <s v="Match "/>
    <x v="0"/>
    <m/>
    <s v="Valid"/>
    <s v="Hardware &amp; Mechanical"/>
    <s v="Valid"/>
  </r>
  <r>
    <s v="TKT000290"/>
    <x v="3"/>
    <s v="02/02/2026 12:22"/>
    <s v="02/02/2026 15:34"/>
    <x v="2"/>
    <s v="Relocation Requests"/>
    <s v="High"/>
    <x v="8"/>
    <x v="2"/>
    <n v="3.2"/>
    <n v="4"/>
    <s v="Yes"/>
    <n v="5"/>
    <s v="No"/>
    <s v="Closed"/>
    <s v="Fixed"/>
    <x v="3"/>
    <x v="0"/>
    <s v="Match "/>
    <x v="0"/>
    <m/>
    <s v="Valid"/>
    <s v="Contract &amp; Billing"/>
    <s v="Valid"/>
  </r>
  <r>
    <s v="TKT000291"/>
    <x v="1"/>
    <s v="03/09/2026 16:40"/>
    <s v="03/10/2026 02:34"/>
    <x v="0"/>
    <s v="Network Dropouts"/>
    <s v="Low"/>
    <x v="6"/>
    <x v="0"/>
    <n v="9.9"/>
    <n v="24"/>
    <s v="Yes"/>
    <n v="5"/>
    <s v="No"/>
    <s v="Closed"/>
    <s v="Fixed"/>
    <x v="1"/>
    <x v="0"/>
    <s v="Match "/>
    <x v="0"/>
    <m/>
    <s v="Valid"/>
    <s v="Connectivity &amp; Software"/>
    <s v="Valid"/>
  </r>
  <r>
    <s v="TKT000292"/>
    <x v="3"/>
    <s v="03/08/2026 09:18"/>
    <s v="03/08/2026 20:06"/>
    <x v="0"/>
    <s v="Driver &amp; Setup"/>
    <s v="Medium"/>
    <x v="9"/>
    <x v="0"/>
    <n v="10.8"/>
    <n v="8"/>
    <s v="No"/>
    <n v="3"/>
    <s v="No"/>
    <s v="Closed"/>
    <s v="Escalated"/>
    <x v="3"/>
    <x v="1"/>
    <s v="Match "/>
    <x v="1"/>
    <m/>
    <s v="Valid"/>
    <s v="Connectivity &amp; Software"/>
    <s v="Valid"/>
  </r>
  <r>
    <s v="TKT000293"/>
    <x v="0"/>
    <s v="03/04/2026 13:30"/>
    <s v="03/05/2026 08:48"/>
    <x v="3"/>
    <s v="Device Errors"/>
    <s v="Medium"/>
    <x v="3"/>
    <x v="4"/>
    <n v="19.3"/>
    <n v="8"/>
    <s v="No"/>
    <n v="3"/>
    <s v="No"/>
    <s v="Closed"/>
    <s v="Escalated"/>
    <x v="3"/>
    <x v="1"/>
    <s v="Match "/>
    <x v="1"/>
    <m/>
    <s v="Valid"/>
    <s v="Hardware &amp; Mechanical"/>
    <s v="Valid"/>
  </r>
  <r>
    <s v="TKT000294"/>
    <x v="8"/>
    <s v="02/26/2026 13:22"/>
    <s v="02/27/2026 02:22"/>
    <x v="0"/>
    <s v="Network Dropouts"/>
    <s v="High"/>
    <x v="7"/>
    <x v="0"/>
    <n v="13"/>
    <n v="4"/>
    <s v="No"/>
    <n v="1"/>
    <s v="Yes"/>
    <s v="Closed"/>
    <s v="Pending"/>
    <x v="2"/>
    <x v="1"/>
    <s v="Match "/>
    <x v="1"/>
    <m/>
    <s v="Valid"/>
    <s v="Connectivity &amp; Software"/>
    <s v="Valid"/>
  </r>
  <r>
    <s v="TKT000295"/>
    <x v="4"/>
    <s v="01/13/2026 12:39"/>
    <s v="01/14/2026 00:51"/>
    <x v="0"/>
    <s v="Driver &amp; Setup"/>
    <s v="Low"/>
    <x v="0"/>
    <x v="0"/>
    <n v="12.2"/>
    <n v="24"/>
    <s v="Yes"/>
    <n v="5"/>
    <s v="No"/>
    <s v="Closed"/>
    <s v="Fixed"/>
    <x v="3"/>
    <x v="0"/>
    <s v="Match "/>
    <x v="0"/>
    <m/>
    <s v="Valid"/>
    <s v="Connectivity &amp; Software"/>
    <s v="Valid"/>
  </r>
  <r>
    <s v="TKT000296"/>
    <x v="1"/>
    <s v="03/04/2026 09:45"/>
    <s v="03/04/2026 17:21"/>
    <x v="0"/>
    <s v="Scan-to-Email"/>
    <s v="High"/>
    <x v="5"/>
    <x v="0"/>
    <n v="7.6"/>
    <n v="4"/>
    <s v="No"/>
    <n v="3"/>
    <s v="Yes"/>
    <s v="Closed"/>
    <s v="Pending"/>
    <x v="1"/>
    <x v="1"/>
    <s v="Match "/>
    <x v="1"/>
    <m/>
    <s v="Valid"/>
    <s v="Connectivity &amp; Software"/>
    <s v="Valid"/>
  </r>
  <r>
    <s v="TKT000297"/>
    <x v="6"/>
    <s v="03/13/2026 12:26"/>
    <s v="03/13/2026 21:50"/>
    <x v="1"/>
    <s v="Color Calibration"/>
    <s v="High"/>
    <x v="5"/>
    <x v="3"/>
    <n v="9.4"/>
    <n v="4"/>
    <s v="No"/>
    <n v="1"/>
    <s v="No"/>
    <s v="Closed"/>
    <s v="Escalated"/>
    <x v="3"/>
    <x v="1"/>
    <s v="Match "/>
    <x v="1"/>
    <m/>
    <s v="Valid"/>
    <s v="Print Quality"/>
    <s v="Valid"/>
  </r>
  <r>
    <s v="TKT000298"/>
    <x v="3"/>
    <s v="02/15/2026 14:39"/>
    <s v="02/15/2026 21:57"/>
    <x v="0"/>
    <s v="Driver &amp; Setup"/>
    <s v="Low"/>
    <x v="4"/>
    <x v="0"/>
    <n v="7.3"/>
    <n v="24"/>
    <s v="Yes"/>
    <n v="4"/>
    <s v="No"/>
    <s v="Closed"/>
    <s v="Fixed"/>
    <x v="0"/>
    <x v="0"/>
    <s v="Match "/>
    <x v="0"/>
    <m/>
    <s v="Valid"/>
    <s v="Connectivity &amp; Software"/>
    <s v="Valid"/>
  </r>
  <r>
    <s v="TKT000299"/>
    <x v="1"/>
    <s v="03/11/2026 11:28"/>
    <s v="03/11/2026 16:46"/>
    <x v="1"/>
    <s v="Defective Prints"/>
    <s v="Medium"/>
    <x v="4"/>
    <x v="3"/>
    <n v="5.3"/>
    <n v="8"/>
    <s v="Yes"/>
    <n v="5"/>
    <s v="No"/>
    <s v="Closed"/>
    <s v="Fixed"/>
    <x v="2"/>
    <x v="0"/>
    <s v="Match "/>
    <x v="0"/>
    <m/>
    <s v="Valid"/>
    <s v="Print Quality"/>
    <s v="Valid"/>
  </r>
  <r>
    <s v="TKT000300"/>
    <x v="1"/>
    <s v="01/15/2026 15:07"/>
    <s v="01/16/2026 10:19"/>
    <x v="0"/>
    <s v="Driver &amp; Setup"/>
    <s v="Low"/>
    <x v="0"/>
    <x v="0"/>
    <n v="19.2"/>
    <n v="24"/>
    <s v="No"/>
    <n v="3"/>
    <s v="Yes"/>
    <s v="Closed"/>
    <s v="Pending"/>
    <x v="1"/>
    <x v="0"/>
    <s v="Mismatch"/>
    <x v="0"/>
    <m/>
    <s v="Valid"/>
    <s v="Connectivity &amp; Software"/>
    <s v="Valid"/>
  </r>
  <r>
    <s v="TKT000301"/>
    <x v="8"/>
    <s v="03/05/2026 17:55"/>
    <s v="03/06/2026 01:25"/>
    <x v="0"/>
    <s v="Scan-to-Email"/>
    <s v="Medium"/>
    <x v="4"/>
    <x v="0"/>
    <n v="7.5"/>
    <n v="8"/>
    <s v="Yes"/>
    <n v="5"/>
    <s v="No"/>
    <s v="Closed"/>
    <s v="Fixed"/>
    <x v="1"/>
    <x v="0"/>
    <s v="Match "/>
    <x v="0"/>
    <m/>
    <s v="Valid"/>
    <s v="Connectivity &amp; Software"/>
    <s v="Valid"/>
  </r>
  <r>
    <s v="TKT000302"/>
    <x v="1"/>
    <s v="03/04/2026 15:30"/>
    <s v="03/05/2026 03:54"/>
    <x v="3"/>
    <s v="Paper Jam"/>
    <s v="Low"/>
    <x v="6"/>
    <x v="4"/>
    <n v="12.4"/>
    <n v="24"/>
    <s v="Yes"/>
    <n v="5"/>
    <s v="No"/>
    <s v="Closed"/>
    <s v="Fixed"/>
    <x v="2"/>
    <x v="0"/>
    <s v="Match "/>
    <x v="0"/>
    <m/>
    <s v="Valid"/>
    <s v="Hardware &amp; Mechanical"/>
    <s v="Valid"/>
  </r>
  <r>
    <s v="TKT000303"/>
    <x v="8"/>
    <s v="01/27/2026 13:36"/>
    <s v="01/28/2026 07:18"/>
    <x v="3"/>
    <s v="Paper Jam"/>
    <s v="High"/>
    <x v="0"/>
    <x v="4"/>
    <n v="17.7"/>
    <n v="4"/>
    <s v="No"/>
    <n v="1"/>
    <s v="No"/>
    <s v="Closed"/>
    <s v="Escalated"/>
    <x v="2"/>
    <x v="1"/>
    <s v="Match "/>
    <x v="1"/>
    <m/>
    <s v="Valid"/>
    <s v="Hardware &amp; Mechanical"/>
    <s v="Valid"/>
  </r>
  <r>
    <s v="TKT000304"/>
    <x v="1"/>
    <s v="01/24/2026 14:38"/>
    <s v="01/25/2026 05:50"/>
    <x v="0"/>
    <s v="Network Dropouts"/>
    <s v="Low"/>
    <x v="9"/>
    <x v="0"/>
    <n v="15.2"/>
    <n v="24"/>
    <s v="Yes"/>
    <n v="5"/>
    <s v="No"/>
    <s v="Closed"/>
    <s v="Fixed"/>
    <x v="0"/>
    <x v="0"/>
    <s v="Match "/>
    <x v="0"/>
    <m/>
    <s v="Valid"/>
    <s v="Connectivity &amp; Software"/>
    <s v="Valid"/>
  </r>
  <r>
    <s v="TKT000305"/>
    <x v="1"/>
    <s v="02/21/2026 11:03"/>
    <s v="02/21/2026 13:21"/>
    <x v="2"/>
    <s v="Relocation Requests"/>
    <s v="Low"/>
    <x v="7"/>
    <x v="2"/>
    <n v="2.2999999999999998"/>
    <n v="24"/>
    <s v="Yes"/>
    <n v="4"/>
    <s v="No"/>
    <s v="Closed"/>
    <s v="Fixed"/>
    <x v="0"/>
    <x v="0"/>
    <s v="Match "/>
    <x v="0"/>
    <m/>
    <s v="Valid"/>
    <s v="Contract &amp; Billing"/>
    <s v="Valid"/>
  </r>
  <r>
    <s v="TKT000306"/>
    <x v="1"/>
    <s v="02/20/2026 14:57"/>
    <s v="02/21/2026 11:03"/>
    <x v="3"/>
    <s v="Device Errors"/>
    <s v="Medium"/>
    <x v="7"/>
    <x v="4"/>
    <n v="20.100000000000001"/>
    <n v="8"/>
    <s v="No"/>
    <n v="3"/>
    <s v="Yes"/>
    <s v="Closed"/>
    <s v="Pending"/>
    <x v="0"/>
    <x v="1"/>
    <s v="Match "/>
    <x v="1"/>
    <m/>
    <s v="Valid"/>
    <s v="Hardware &amp; Mechanical"/>
    <s v="Valid"/>
  </r>
  <r>
    <s v="TKT000307"/>
    <x v="7"/>
    <s v="03/23/2026 10:12"/>
    <s v="03/23/2026 21:48"/>
    <x v="0"/>
    <s v="Scan-to-Email"/>
    <s v="Low"/>
    <x v="7"/>
    <x v="0"/>
    <n v="11.6"/>
    <n v="24"/>
    <s v="Yes"/>
    <n v="4"/>
    <s v="No"/>
    <s v="Closed"/>
    <s v="Fixed"/>
    <x v="1"/>
    <x v="0"/>
    <s v="Match "/>
    <x v="0"/>
    <m/>
    <s v="Valid"/>
    <s v="Connectivity &amp; Software"/>
    <s v="Valid"/>
  </r>
  <r>
    <s v="TKT000308"/>
    <x v="6"/>
    <s v="02/09/2026 15:46"/>
    <s v="02/10/2026 02:28"/>
    <x v="0"/>
    <s v="Driver &amp; Setup"/>
    <s v="Medium"/>
    <x v="6"/>
    <x v="0"/>
    <n v="10.7"/>
    <n v="8"/>
    <s v="No"/>
    <n v="1"/>
    <s v="No"/>
    <s v="Closed"/>
    <s v="Pending"/>
    <x v="0"/>
    <x v="1"/>
    <s v="Match "/>
    <x v="1"/>
    <m/>
    <s v="Valid"/>
    <s v="Connectivity &amp; Software"/>
    <s v="Valid"/>
  </r>
  <r>
    <s v="TKT000309"/>
    <x v="4"/>
    <s v="02/01/2026 15:53"/>
    <s v="02/01/2026 19:11"/>
    <x v="2"/>
    <s v="Relocation Requests"/>
    <s v="High"/>
    <x v="1"/>
    <x v="2"/>
    <n v="3.3"/>
    <n v="4"/>
    <s v="Yes"/>
    <n v="5"/>
    <s v="No"/>
    <s v="Closed"/>
    <s v="Fixed"/>
    <x v="3"/>
    <x v="0"/>
    <s v="Match "/>
    <x v="0"/>
    <m/>
    <s v="Valid"/>
    <s v="Contract &amp; Billing"/>
    <s v="Valid"/>
  </r>
  <r>
    <s v="TKT000310"/>
    <x v="2"/>
    <s v="01/28/2026 10:45"/>
    <s v="01/29/2026 01:57"/>
    <x v="0"/>
    <s v="Network Dropouts"/>
    <s v="Medium"/>
    <x v="3"/>
    <x v="0"/>
    <n v="15.2"/>
    <n v="8"/>
    <s v="No"/>
    <n v="1"/>
    <s v="No"/>
    <s v="Closed"/>
    <s v="Escalated"/>
    <x v="2"/>
    <x v="1"/>
    <s v="Match "/>
    <x v="1"/>
    <m/>
    <s v="Valid"/>
    <s v="Connectivity &amp; Software"/>
    <s v="Valid"/>
  </r>
  <r>
    <s v="TKT000311"/>
    <x v="0"/>
    <s v="01/14/2026 16:23"/>
    <s v="01/14/2026 21:29"/>
    <x v="4"/>
    <s v="Toner Replenishment"/>
    <s v="Medium"/>
    <x v="2"/>
    <x v="5"/>
    <n v="5.0999999999999996"/>
    <n v="8"/>
    <s v="Yes"/>
    <n v="4"/>
    <s v="No"/>
    <s v="Closed"/>
    <s v="Fixed"/>
    <x v="2"/>
    <x v="0"/>
    <s v="Match "/>
    <x v="0"/>
    <m/>
    <s v="Valid"/>
    <s v="Supplies &amp; Logistics"/>
    <s v="Valid"/>
  </r>
  <r>
    <s v="TKT000312"/>
    <x v="8"/>
    <s v="01/07/2026 11:24"/>
    <s v="01/07/2026 15:30"/>
    <x v="4"/>
    <s v="Toner Replenishment"/>
    <s v="Low"/>
    <x v="3"/>
    <x v="5"/>
    <n v="4.0999999999999996"/>
    <n v="24"/>
    <s v="Yes"/>
    <n v="5"/>
    <s v="No"/>
    <s v="Closed"/>
    <s v="Fixed"/>
    <x v="0"/>
    <x v="0"/>
    <s v="Match "/>
    <x v="0"/>
    <m/>
    <s v="Valid"/>
    <s v="Supplies &amp; Logistics"/>
    <s v="Valid"/>
  </r>
  <r>
    <s v="TKT000313"/>
    <x v="1"/>
    <s v="02/06/2026 11:50"/>
    <s v="02/06/2026 22:56"/>
    <x v="1"/>
    <s v="Defective Prints"/>
    <s v="Low"/>
    <x v="7"/>
    <x v="3"/>
    <n v="11.1"/>
    <n v="24"/>
    <s v="Yes"/>
    <n v="5"/>
    <s v="No"/>
    <s v="Closed"/>
    <s v="Fixed"/>
    <x v="3"/>
    <x v="0"/>
    <s v="Match "/>
    <x v="0"/>
    <m/>
    <s v="Valid"/>
    <s v="Print Quality"/>
    <s v="Valid"/>
  </r>
  <r>
    <s v="TKT000314"/>
    <x v="2"/>
    <s v="02/25/2026 16:33"/>
    <s v="02/26/2026 13:09"/>
    <x v="0"/>
    <s v="Network Dropouts"/>
    <s v="Low"/>
    <x v="0"/>
    <x v="0"/>
    <n v="20.6"/>
    <n v="24"/>
    <s v="Yes"/>
    <n v="4"/>
    <s v="No"/>
    <s v="Closed"/>
    <s v="Fixed"/>
    <x v="3"/>
    <x v="0"/>
    <s v="Match "/>
    <x v="0"/>
    <m/>
    <s v="Valid"/>
    <s v="Connectivity &amp; Software"/>
    <s v="Valid"/>
  </r>
  <r>
    <s v="TKT000315"/>
    <x v="1"/>
    <s v="03/01/2026 17:56"/>
    <s v="03/02/2026 04:08"/>
    <x v="0"/>
    <s v="Scan-to-Email"/>
    <s v="Low"/>
    <x v="5"/>
    <x v="0"/>
    <n v="10.199999999999999"/>
    <n v="24"/>
    <s v="Yes"/>
    <n v="4"/>
    <s v="No"/>
    <s v="Closed"/>
    <s v="Fixed"/>
    <x v="0"/>
    <x v="0"/>
    <s v="Match "/>
    <x v="0"/>
    <m/>
    <s v="Valid"/>
    <s v="Connectivity &amp; Software"/>
    <s v="Valid"/>
  </r>
  <r>
    <s v="TKT000316"/>
    <x v="7"/>
    <s v="02/12/2026 09:36"/>
    <s v="02/12/2026 16:36"/>
    <x v="1"/>
    <s v="Finishing Errors"/>
    <s v="Low"/>
    <x v="6"/>
    <x v="1"/>
    <n v="7"/>
    <n v="24"/>
    <s v="No"/>
    <m/>
    <s v="No"/>
    <s v="Closed"/>
    <s v="Pending"/>
    <x v="1"/>
    <x v="0"/>
    <s v="Mismatch"/>
    <x v="0"/>
    <m/>
    <s v="Valid"/>
    <s v="Print Quality"/>
    <s v="Valid"/>
  </r>
  <r>
    <s v="TKT000317"/>
    <x v="0"/>
    <s v="02/05/2026 14:20"/>
    <s v="02/06/2026 05:26"/>
    <x v="3"/>
    <s v="Device Errors"/>
    <s v="High"/>
    <x v="7"/>
    <x v="4"/>
    <n v="15.1"/>
    <n v="4"/>
    <s v="No"/>
    <n v="2"/>
    <s v="Yes"/>
    <s v="Closed"/>
    <s v="Pending"/>
    <x v="0"/>
    <x v="1"/>
    <s v="Match "/>
    <x v="1"/>
    <m/>
    <s v="Valid"/>
    <s v="Hardware &amp; Mechanical"/>
    <s v="Valid"/>
  </r>
  <r>
    <s v="TKT000318"/>
    <x v="1"/>
    <s v="03/08/2026 08:01"/>
    <s v="03/08/2026 17:07"/>
    <x v="0"/>
    <s v="Network Dropouts"/>
    <s v="High"/>
    <x v="3"/>
    <x v="0"/>
    <n v="9.1"/>
    <n v="4"/>
    <s v="No"/>
    <n v="3"/>
    <s v="Yes"/>
    <s v="Closed"/>
    <s v="Escalated"/>
    <x v="1"/>
    <x v="1"/>
    <s v="Match "/>
    <x v="1"/>
    <m/>
    <s v="Valid"/>
    <s v="Connectivity &amp; Software"/>
    <s v="Valid"/>
  </r>
  <r>
    <s v="TKT000319"/>
    <x v="4"/>
    <s v="03/24/2026 08:53"/>
    <s v="03/24/2026 22:23"/>
    <x v="3"/>
    <s v="Parts Wear"/>
    <s v="Low"/>
    <x v="1"/>
    <x v="1"/>
    <n v="13.5"/>
    <n v="24"/>
    <s v="Yes"/>
    <n v="4"/>
    <s v="No"/>
    <s v="Closed"/>
    <s v="Fixed"/>
    <x v="2"/>
    <x v="0"/>
    <s v="Match "/>
    <x v="0"/>
    <m/>
    <s v="Valid"/>
    <s v="Hardware &amp; Mechanical"/>
    <s v="Valid"/>
  </r>
  <r>
    <s v="TKT000320"/>
    <x v="3"/>
    <s v="03/07/2026 12:38"/>
    <s v="03/07/2026 16:56"/>
    <x v="4"/>
    <s v="Paper Supply"/>
    <s v="High"/>
    <x v="1"/>
    <x v="5"/>
    <n v="4.3"/>
    <n v="4"/>
    <s v="No"/>
    <n v="3"/>
    <s v="Yes"/>
    <s v="Closed"/>
    <s v="Escalated"/>
    <x v="2"/>
    <x v="1"/>
    <s v="Match "/>
    <x v="1"/>
    <m/>
    <s v="Valid"/>
    <s v="Supplies &amp; Logistics"/>
    <s v="Valid"/>
  </r>
  <r>
    <s v="TKT000321"/>
    <x v="4"/>
    <s v="03/14/2026 15:42"/>
    <s v="03/15/2026 06:48"/>
    <x v="0"/>
    <s v="Scan-to-Email"/>
    <s v="Low"/>
    <x v="1"/>
    <x v="0"/>
    <n v="15.1"/>
    <n v="24"/>
    <s v="Yes"/>
    <n v="5"/>
    <s v="No"/>
    <s v="Closed"/>
    <s v="Fixed"/>
    <x v="0"/>
    <x v="0"/>
    <s v="Match "/>
    <x v="0"/>
    <m/>
    <s v="Valid"/>
    <s v="Connectivity &amp; Software"/>
    <s v="Valid"/>
  </r>
  <r>
    <s v="TKT000322"/>
    <x v="1"/>
    <s v="02/16/2026 17:17"/>
    <s v="02/16/2026 22:17"/>
    <x v="1"/>
    <s v="Color Calibration"/>
    <s v="Medium"/>
    <x v="6"/>
    <x v="3"/>
    <n v="5"/>
    <n v="8"/>
    <s v="Yes"/>
    <n v="5"/>
    <s v="No"/>
    <s v="Closed"/>
    <s v="Fixed"/>
    <x v="2"/>
    <x v="0"/>
    <s v="Match "/>
    <x v="0"/>
    <m/>
    <s v="Valid"/>
    <s v="Print Quality"/>
    <s v="Valid"/>
  </r>
  <r>
    <s v="TKT000323"/>
    <x v="0"/>
    <s v="03/01/2026 08:56"/>
    <s v="03/02/2026 04:38"/>
    <x v="3"/>
    <s v="Paper Jam"/>
    <s v="Low"/>
    <x v="0"/>
    <x v="4"/>
    <n v="19.7"/>
    <n v="24"/>
    <s v="Yes"/>
    <n v="4"/>
    <s v="No"/>
    <s v="Closed"/>
    <s v="Fixed"/>
    <x v="2"/>
    <x v="0"/>
    <s v="Match "/>
    <x v="0"/>
    <m/>
    <s v="Valid"/>
    <s v="Hardware &amp; Mechanical"/>
    <s v="Valid"/>
  </r>
  <r>
    <s v="TKT000324"/>
    <x v="2"/>
    <s v="02/05/2026 12:26"/>
    <s v="02/05/2026 22:26"/>
    <x v="0"/>
    <s v="Scan-to-Email"/>
    <s v="Medium"/>
    <x v="1"/>
    <x v="0"/>
    <n v="10"/>
    <n v="8"/>
    <s v="No"/>
    <n v="1"/>
    <s v="Yes"/>
    <s v="Closed"/>
    <s v="Escalated"/>
    <x v="0"/>
    <x v="1"/>
    <s v="Match "/>
    <x v="1"/>
    <m/>
    <s v="Valid"/>
    <s v="Connectivity &amp; Software"/>
    <s v="Valid"/>
  </r>
  <r>
    <s v="TKT000325"/>
    <x v="6"/>
    <s v="02/18/2026 09:00"/>
    <s v="02/18/2026 17:12"/>
    <x v="1"/>
    <s v="Color Calibration"/>
    <s v="Medium"/>
    <x v="1"/>
    <x v="3"/>
    <n v="8.1999999999999993"/>
    <n v="8"/>
    <s v="No"/>
    <n v="3"/>
    <s v="Yes"/>
    <s v="Closed"/>
    <s v="Escalated"/>
    <x v="0"/>
    <x v="1"/>
    <s v="Match "/>
    <x v="1"/>
    <m/>
    <s v="Valid"/>
    <s v="Print Quality"/>
    <s v="Valid"/>
  </r>
  <r>
    <s v="TKT000326"/>
    <x v="4"/>
    <s v="01/03/2026 08:56"/>
    <s v="01/03/2026 17:26"/>
    <x v="4"/>
    <s v="Paper Supply"/>
    <s v="Medium"/>
    <x v="9"/>
    <x v="5"/>
    <n v="8.5"/>
    <n v="8"/>
    <s v="No"/>
    <n v="2"/>
    <s v="No"/>
    <s v="Closed"/>
    <s v="Escalated"/>
    <x v="2"/>
    <x v="1"/>
    <s v="Match "/>
    <x v="1"/>
    <m/>
    <s v="Valid"/>
    <s v="Supplies &amp; Logistics"/>
    <s v="Valid"/>
  </r>
  <r>
    <s v="TKT000327"/>
    <x v="1"/>
    <s v="03/14/2026 08:52"/>
    <s v="03/14/2026 19:04"/>
    <x v="3"/>
    <s v="Parts Wear"/>
    <s v="Low"/>
    <x v="5"/>
    <x v="1"/>
    <n v="10.199999999999999"/>
    <n v="24"/>
    <s v="Yes"/>
    <n v="5"/>
    <s v="No"/>
    <s v="Closed"/>
    <s v="Fixed"/>
    <x v="3"/>
    <x v="0"/>
    <s v="Match "/>
    <x v="0"/>
    <m/>
    <s v="Valid"/>
    <s v="Hardware &amp; Mechanical"/>
    <s v="Valid"/>
  </r>
  <r>
    <s v="TKT000328"/>
    <x v="7"/>
    <s v="03/19/2026 11:31"/>
    <s v="03/20/2026 06:43"/>
    <x v="3"/>
    <s v="Parts Wear"/>
    <s v="Medium"/>
    <x v="1"/>
    <x v="1"/>
    <n v="19.2"/>
    <n v="8"/>
    <s v="No"/>
    <m/>
    <s v="No"/>
    <s v="Closed"/>
    <s v="Pending"/>
    <x v="3"/>
    <x v="1"/>
    <s v="Match "/>
    <x v="1"/>
    <m/>
    <s v="Valid"/>
    <s v="Hardware &amp; Mechanical"/>
    <s v="Valid"/>
  </r>
  <r>
    <s v="TKT000329"/>
    <x v="3"/>
    <s v="02/05/2026 14:12"/>
    <s v="02/05/2026 21:42"/>
    <x v="1"/>
    <s v="Finishing Errors"/>
    <s v="Low"/>
    <x v="2"/>
    <x v="1"/>
    <n v="7.5"/>
    <n v="24"/>
    <s v="Yes"/>
    <n v="4"/>
    <s v="No"/>
    <s v="Closed"/>
    <s v="Fixed"/>
    <x v="1"/>
    <x v="0"/>
    <s v="Match "/>
    <x v="0"/>
    <m/>
    <s v="Valid"/>
    <s v="Print Quality"/>
    <s v="Valid"/>
  </r>
  <r>
    <s v="TKT000330"/>
    <x v="5"/>
    <s v="02/21/2026 12:51"/>
    <s v="02/21/2026 21:45"/>
    <x v="0"/>
    <s v="Scan-to-Email"/>
    <s v="Low"/>
    <x v="5"/>
    <x v="0"/>
    <n v="8.9"/>
    <n v="24"/>
    <s v="Yes"/>
    <n v="4"/>
    <s v="No"/>
    <s v="Closed"/>
    <s v="Fixed"/>
    <x v="3"/>
    <x v="0"/>
    <s v="Match "/>
    <x v="0"/>
    <m/>
    <s v="Valid"/>
    <s v="Connectivity &amp; Software"/>
    <s v="Valid"/>
  </r>
  <r>
    <s v="TKT000331"/>
    <x v="2"/>
    <s v="03/17/2026 11:11"/>
    <s v="03/18/2026 03:59"/>
    <x v="3"/>
    <s v="Device Errors"/>
    <s v="High"/>
    <x v="8"/>
    <x v="4"/>
    <n v="16.8"/>
    <n v="4"/>
    <s v="No"/>
    <m/>
    <s v="No"/>
    <s v="Closed"/>
    <s v="Escalated"/>
    <x v="1"/>
    <x v="1"/>
    <s v="Match "/>
    <x v="1"/>
    <m/>
    <s v="Valid"/>
    <s v="Hardware &amp; Mechanical"/>
    <s v="Valid"/>
  </r>
  <r>
    <s v="TKT000332"/>
    <x v="4"/>
    <s v="02/20/2026 11:11"/>
    <s v="02/20/2026 22:17"/>
    <x v="0"/>
    <s v="Network Dropouts"/>
    <s v="Medium"/>
    <x v="7"/>
    <x v="0"/>
    <n v="11.1"/>
    <n v="8"/>
    <s v="No"/>
    <n v="2"/>
    <s v="Yes"/>
    <s v="Closed"/>
    <s v="Pending"/>
    <x v="3"/>
    <x v="1"/>
    <s v="Match "/>
    <x v="1"/>
    <m/>
    <s v="Valid"/>
    <s v="Connectivity &amp; Software"/>
    <s v="Valid"/>
  </r>
  <r>
    <s v="TKT000333"/>
    <x v="1"/>
    <s v="02/17/2026 10:13"/>
    <s v="02/17/2026 23:07"/>
    <x v="0"/>
    <s v="Driver &amp; Setup"/>
    <s v="Medium"/>
    <x v="1"/>
    <x v="0"/>
    <n v="12.9"/>
    <n v="8"/>
    <s v="No"/>
    <n v="3"/>
    <s v="No"/>
    <s v="Closed"/>
    <s v="Escalated"/>
    <x v="1"/>
    <x v="1"/>
    <s v="Match "/>
    <x v="1"/>
    <m/>
    <s v="Valid"/>
    <s v="Connectivity &amp; Software"/>
    <s v="Valid"/>
  </r>
  <r>
    <s v="TKT000334"/>
    <x v="1"/>
    <s v="02/12/2026 10:15"/>
    <s v="02/12/2026 15:03"/>
    <x v="1"/>
    <s v="Defective Prints"/>
    <s v="Low"/>
    <x v="9"/>
    <x v="3"/>
    <n v="4.8"/>
    <n v="24"/>
    <s v="Yes"/>
    <n v="5"/>
    <s v="No"/>
    <s v="Closed"/>
    <s v="Fixed"/>
    <x v="2"/>
    <x v="0"/>
    <s v="Match "/>
    <x v="0"/>
    <m/>
    <s v="Valid"/>
    <s v="Print Quality"/>
    <s v="Valid"/>
  </r>
  <r>
    <s v="TKT000335"/>
    <x v="9"/>
    <s v="03/13/2026 08:00"/>
    <s v="03/13/2026 22:54"/>
    <x v="0"/>
    <s v="Driver &amp; Setup"/>
    <s v="Medium"/>
    <x v="5"/>
    <x v="0"/>
    <n v="14.9"/>
    <n v="8"/>
    <s v="No"/>
    <n v="1"/>
    <s v="Yes"/>
    <s v="Closed"/>
    <s v="Escalated"/>
    <x v="1"/>
    <x v="1"/>
    <s v="Match "/>
    <x v="1"/>
    <m/>
    <s v="Valid"/>
    <s v="Connectivity &amp; Software"/>
    <s v="Valid"/>
  </r>
  <r>
    <s v="TKT000336"/>
    <x v="3"/>
    <s v="02/02/2026 14:49"/>
    <s v="02/03/2026 10:07"/>
    <x v="3"/>
    <s v="Device Errors"/>
    <s v="Low"/>
    <x v="8"/>
    <x v="4"/>
    <n v="19.3"/>
    <n v="24"/>
    <s v="Yes"/>
    <n v="5"/>
    <s v="No"/>
    <s v="Closed"/>
    <s v="Fixed"/>
    <x v="2"/>
    <x v="0"/>
    <s v="Match "/>
    <x v="0"/>
    <m/>
    <s v="Valid"/>
    <s v="Hardware &amp; Mechanical"/>
    <s v="Valid"/>
  </r>
  <r>
    <s v="TKT000337"/>
    <x v="3"/>
    <s v="03/25/2026 13:32"/>
    <s v="03/26/2026 07:26"/>
    <x v="3"/>
    <s v="Device Errors"/>
    <s v="High"/>
    <x v="6"/>
    <x v="4"/>
    <n v="17.899999999999999"/>
    <n v="4"/>
    <s v="No"/>
    <n v="2"/>
    <s v="No"/>
    <s v="Closed"/>
    <s v="Escalated"/>
    <x v="2"/>
    <x v="1"/>
    <s v="Match "/>
    <x v="1"/>
    <m/>
    <s v="Valid"/>
    <s v="Hardware &amp; Mechanical"/>
    <s v="Valid"/>
  </r>
  <r>
    <s v="TKT000338"/>
    <x v="3"/>
    <s v="01/09/2026 10:55"/>
    <s v="01/09/2026 23:37"/>
    <x v="3"/>
    <s v="Device Errors"/>
    <s v="High"/>
    <x v="3"/>
    <x v="4"/>
    <n v="12.7"/>
    <n v="4"/>
    <s v="No"/>
    <n v="3"/>
    <s v="Yes"/>
    <s v="Closed"/>
    <s v="Pending"/>
    <x v="2"/>
    <x v="1"/>
    <s v="Match "/>
    <x v="1"/>
    <m/>
    <s v="Valid"/>
    <s v="Hardware &amp; Mechanical"/>
    <s v="Valid"/>
  </r>
  <r>
    <s v="TKT000339"/>
    <x v="3"/>
    <s v="02/23/2026 12:02"/>
    <s v="02/23/2026 19:08"/>
    <x v="3"/>
    <s v="Device Errors"/>
    <s v="Medium"/>
    <x v="2"/>
    <x v="4"/>
    <n v="7.1"/>
    <n v="8"/>
    <s v="Yes"/>
    <m/>
    <s v="No"/>
    <s v="Closed"/>
    <s v="Fixed"/>
    <x v="2"/>
    <x v="0"/>
    <s v="Match "/>
    <x v="0"/>
    <m/>
    <s v="Valid"/>
    <s v="Hardware &amp; Mechanical"/>
    <s v="Valid"/>
  </r>
  <r>
    <s v="TKT000340"/>
    <x v="4"/>
    <s v="02/09/2026 16:50"/>
    <s v="02/10/2026 03:56"/>
    <x v="1"/>
    <s v="Color Calibration"/>
    <s v="Medium"/>
    <x v="1"/>
    <x v="3"/>
    <n v="11.1"/>
    <n v="8"/>
    <s v="No"/>
    <n v="1"/>
    <s v="No"/>
    <s v="Closed"/>
    <s v="Pending"/>
    <x v="0"/>
    <x v="1"/>
    <s v="Match "/>
    <x v="1"/>
    <m/>
    <s v="Valid"/>
    <s v="Print Quality"/>
    <s v="Valid"/>
  </r>
  <r>
    <s v="TKT000341"/>
    <x v="1"/>
    <s v="03/27/2026 16:11"/>
    <s v="03/28/2026 00:17"/>
    <x v="1"/>
    <s v="Finishing Errors"/>
    <s v="Low"/>
    <x v="8"/>
    <x v="1"/>
    <n v="8.1"/>
    <n v="24"/>
    <s v="Yes"/>
    <n v="5"/>
    <s v="No"/>
    <s v="Closed"/>
    <s v="Fixed"/>
    <x v="1"/>
    <x v="0"/>
    <s v="Match "/>
    <x v="0"/>
    <m/>
    <s v="Valid"/>
    <s v="Print Quality"/>
    <s v="Valid"/>
  </r>
  <r>
    <s v="TKT000342"/>
    <x v="5"/>
    <s v="03/12/2026 10:50"/>
    <s v="03/12/2026 22:14"/>
    <x v="3"/>
    <s v="Paper Jam"/>
    <s v="Medium"/>
    <x v="5"/>
    <x v="4"/>
    <n v="11.4"/>
    <n v="8"/>
    <s v="No"/>
    <n v="1"/>
    <s v="No"/>
    <s v="Closed"/>
    <s v="Pending"/>
    <x v="3"/>
    <x v="1"/>
    <s v="Match "/>
    <x v="1"/>
    <m/>
    <s v="Valid"/>
    <s v="Hardware &amp; Mechanical"/>
    <s v="Valid"/>
  </r>
  <r>
    <s v="TKT000343"/>
    <x v="1"/>
    <s v="03/23/2026 15:23"/>
    <s v="03/23/2026 18:41"/>
    <x v="2"/>
    <s v="Lease Terms"/>
    <s v="Medium"/>
    <x v="5"/>
    <x v="2"/>
    <n v="3.3"/>
    <n v="8"/>
    <s v="Yes"/>
    <n v="5"/>
    <s v="No"/>
    <s v="Closed"/>
    <s v="Fixed"/>
    <x v="1"/>
    <x v="0"/>
    <s v="Match "/>
    <x v="0"/>
    <m/>
    <s v="Valid"/>
    <s v="Contract &amp; Billing"/>
    <s v="Valid"/>
  </r>
  <r>
    <s v="TKT000344"/>
    <x v="6"/>
    <s v="01/22/2026 14:52"/>
    <s v="01/22/2026 21:34"/>
    <x v="1"/>
    <s v="Color Calibration"/>
    <s v="Medium"/>
    <x v="3"/>
    <x v="3"/>
    <n v="6.7"/>
    <n v="8"/>
    <s v="Yes"/>
    <n v="4"/>
    <s v="No"/>
    <s v="Closed"/>
    <s v="Fixed"/>
    <x v="1"/>
    <x v="0"/>
    <s v="Match "/>
    <x v="0"/>
    <m/>
    <s v="Valid"/>
    <s v="Print Quality"/>
    <s v="Valid"/>
  </r>
  <r>
    <s v="TKT000345"/>
    <x v="1"/>
    <s v="01/14/2026 10:23"/>
    <s v="01/14/2026 16:35"/>
    <x v="1"/>
    <s v="Color Calibration"/>
    <s v="Medium"/>
    <x v="6"/>
    <x v="3"/>
    <n v="6.2"/>
    <n v="8"/>
    <s v="Yes"/>
    <n v="5"/>
    <s v="No"/>
    <s v="Closed"/>
    <s v="Fixed"/>
    <x v="3"/>
    <x v="0"/>
    <s v="Match "/>
    <x v="0"/>
    <m/>
    <s v="Valid"/>
    <s v="Print Quality"/>
    <s v="Valid"/>
  </r>
  <r>
    <s v="TKT000346"/>
    <x v="8"/>
    <s v="03/07/2026 13:23"/>
    <s v="03/07/2026 15:59"/>
    <x v="2"/>
    <s v="Relocation Requests"/>
    <s v="High"/>
    <x v="5"/>
    <x v="2"/>
    <n v="2.6"/>
    <n v="4"/>
    <s v="Yes"/>
    <n v="5"/>
    <s v="No"/>
    <s v="Closed"/>
    <s v="Fixed"/>
    <x v="3"/>
    <x v="0"/>
    <s v="Match "/>
    <x v="0"/>
    <m/>
    <s v="Valid"/>
    <s v="Contract &amp; Billing"/>
    <s v="Valid"/>
  </r>
  <r>
    <s v="TKT000347"/>
    <x v="5"/>
    <s v="03/03/2026 09:30"/>
    <s v="03/03/2026 15:30"/>
    <x v="0"/>
    <s v="Scan-to-Email"/>
    <s v="High"/>
    <x v="1"/>
    <x v="0"/>
    <n v="6"/>
    <n v="4"/>
    <s v="No"/>
    <n v="3"/>
    <s v="No"/>
    <s v="Closed"/>
    <s v="Pending"/>
    <x v="1"/>
    <x v="1"/>
    <s v="Match "/>
    <x v="1"/>
    <m/>
    <s v="Valid"/>
    <s v="Connectivity &amp; Software"/>
    <s v="Valid"/>
  </r>
  <r>
    <s v="TKT000348"/>
    <x v="4"/>
    <s v="02/15/2026 08:02"/>
    <s v="02/15/2026 18:20"/>
    <x v="1"/>
    <s v="Color Calibration"/>
    <s v="High"/>
    <x v="1"/>
    <x v="3"/>
    <n v="10.3"/>
    <n v="4"/>
    <s v="No"/>
    <n v="2"/>
    <s v="Yes"/>
    <s v="Closed"/>
    <s v="Pending"/>
    <x v="0"/>
    <x v="1"/>
    <s v="Match "/>
    <x v="1"/>
    <m/>
    <s v="Valid"/>
    <s v="Print Quality"/>
    <s v="Valid"/>
  </r>
  <r>
    <s v="TKT000349"/>
    <x v="5"/>
    <s v="03/28/2026 15:35"/>
    <s v="03/29/2026 03:23"/>
    <x v="1"/>
    <s v="Finishing Errors"/>
    <s v="Medium"/>
    <x v="9"/>
    <x v="1"/>
    <n v="11.8"/>
    <n v="8"/>
    <s v="No"/>
    <n v="1"/>
    <s v="No"/>
    <s v="Closed"/>
    <s v="Pending"/>
    <x v="2"/>
    <x v="1"/>
    <s v="Match "/>
    <x v="1"/>
    <m/>
    <s v="Valid"/>
    <s v="Print Quality"/>
    <s v="Valid"/>
  </r>
  <r>
    <s v="TKT000350"/>
    <x v="8"/>
    <s v="03/19/2026 16:17"/>
    <s v="03/19/2026 23:05"/>
    <x v="0"/>
    <s v="Driver &amp; Setup"/>
    <s v="Medium"/>
    <x v="5"/>
    <x v="0"/>
    <n v="6.8"/>
    <n v="8"/>
    <s v="Yes"/>
    <n v="4"/>
    <s v="No"/>
    <s v="Closed"/>
    <s v="Fixed"/>
    <x v="3"/>
    <x v="0"/>
    <s v="Match "/>
    <x v="0"/>
    <m/>
    <s v="Valid"/>
    <s v="Connectivity &amp; Software"/>
    <s v="Valid"/>
  </r>
  <r>
    <s v="TKT000351"/>
    <x v="3"/>
    <s v="03/23/2026 09:31"/>
    <s v="03/24/2026 08:55"/>
    <x v="3"/>
    <s v="Device Errors"/>
    <s v="High"/>
    <x v="0"/>
    <x v="4"/>
    <n v="23.4"/>
    <n v="4"/>
    <s v="No"/>
    <n v="3"/>
    <s v="Yes"/>
    <s v="Closed"/>
    <s v="Pending"/>
    <x v="2"/>
    <x v="1"/>
    <s v="Match "/>
    <x v="1"/>
    <m/>
    <s v="Valid"/>
    <s v="Hardware &amp; Mechanical"/>
    <s v="Valid"/>
  </r>
  <r>
    <s v="TKT000352"/>
    <x v="6"/>
    <s v="02/11/2026 08:18"/>
    <s v="02/11/2026 14:24"/>
    <x v="4"/>
    <s v="Toner Replenishment"/>
    <s v="Low"/>
    <x v="1"/>
    <x v="5"/>
    <n v="6.1"/>
    <n v="24"/>
    <s v="No"/>
    <n v="1"/>
    <s v="Yes"/>
    <s v="Closed"/>
    <s v="Escalated"/>
    <x v="1"/>
    <x v="0"/>
    <s v="Mismatch"/>
    <x v="0"/>
    <m/>
    <s v="Valid"/>
    <s v="Supplies &amp; Logistics"/>
    <s v="Valid"/>
  </r>
  <r>
    <s v="TKT000353"/>
    <x v="6"/>
    <s v="02/08/2026 08:12"/>
    <s v="02/08/2026 22:12"/>
    <x v="3"/>
    <s v="Paper Jam"/>
    <s v="Medium"/>
    <x v="5"/>
    <x v="4"/>
    <n v="14"/>
    <n v="8"/>
    <s v="No"/>
    <n v="1"/>
    <s v="Yes"/>
    <s v="Closed"/>
    <s v="Escalated"/>
    <x v="2"/>
    <x v="1"/>
    <s v="Match "/>
    <x v="1"/>
    <m/>
    <s v="Valid"/>
    <s v="Hardware &amp; Mechanical"/>
    <s v="Valid"/>
  </r>
  <r>
    <s v="TKT000354"/>
    <x v="9"/>
    <s v="03/23/2026 12:07"/>
    <s v="03/23/2026 16:37"/>
    <x v="2"/>
    <s v="Relocation Requests"/>
    <s v="Medium"/>
    <x v="9"/>
    <x v="2"/>
    <n v="4.5"/>
    <n v="8"/>
    <s v="Yes"/>
    <m/>
    <s v="No"/>
    <s v="Closed"/>
    <s v="Fixed"/>
    <x v="3"/>
    <x v="0"/>
    <s v="Match "/>
    <x v="0"/>
    <m/>
    <s v="Valid"/>
    <s v="Contract &amp; Billing"/>
    <s v="Valid"/>
  </r>
  <r>
    <s v="TKT000355"/>
    <x v="6"/>
    <s v="03/13/2026 11:39"/>
    <s v="03/13/2026 16:57"/>
    <x v="2"/>
    <s v="Lease Terms"/>
    <s v="Medium"/>
    <x v="0"/>
    <x v="2"/>
    <n v="5.3"/>
    <n v="8"/>
    <s v="Yes"/>
    <n v="4"/>
    <s v="No"/>
    <s v="Closed"/>
    <s v="Fixed"/>
    <x v="1"/>
    <x v="0"/>
    <s v="Match "/>
    <x v="0"/>
    <m/>
    <s v="Valid"/>
    <s v="Contract &amp; Billing"/>
    <s v="Valid"/>
  </r>
  <r>
    <s v="TKT000356"/>
    <x v="6"/>
    <s v="03/19/2026 15:40"/>
    <s v="03/20/2026 02:16"/>
    <x v="1"/>
    <s v="Color Calibration"/>
    <s v="High"/>
    <x v="0"/>
    <x v="3"/>
    <n v="10.6"/>
    <n v="4"/>
    <s v="No"/>
    <n v="2"/>
    <s v="No"/>
    <s v="Closed"/>
    <s v="Escalated"/>
    <x v="0"/>
    <x v="1"/>
    <s v="Match "/>
    <x v="1"/>
    <m/>
    <s v="Valid"/>
    <s v="Print Quality"/>
    <s v="Valid"/>
  </r>
  <r>
    <s v="TKT000357"/>
    <x v="1"/>
    <s v="03/13/2026 13:51"/>
    <s v="03/14/2026 04:03"/>
    <x v="3"/>
    <s v="Parts Wear"/>
    <s v="Low"/>
    <x v="5"/>
    <x v="1"/>
    <n v="14.2"/>
    <n v="24"/>
    <s v="Yes"/>
    <n v="5"/>
    <s v="No"/>
    <s v="Closed"/>
    <s v="Fixed"/>
    <x v="0"/>
    <x v="0"/>
    <s v="Match "/>
    <x v="0"/>
    <m/>
    <s v="Valid"/>
    <s v="Hardware &amp; Mechanical"/>
    <s v="Valid"/>
  </r>
  <r>
    <s v="TKT000358"/>
    <x v="1"/>
    <s v="02/12/2026 11:17"/>
    <s v="02/12/2026 16:35"/>
    <x v="4"/>
    <s v="Paper Supply"/>
    <s v="Medium"/>
    <x v="9"/>
    <x v="5"/>
    <n v="5.3"/>
    <n v="8"/>
    <s v="Yes"/>
    <n v="4"/>
    <s v="No"/>
    <s v="Closed"/>
    <s v="Fixed"/>
    <x v="3"/>
    <x v="0"/>
    <s v="Match "/>
    <x v="0"/>
    <m/>
    <s v="Valid"/>
    <s v="Supplies &amp; Logistics"/>
    <s v="Valid"/>
  </r>
  <r>
    <s v="TKT000359"/>
    <x v="8"/>
    <s v="03/23/2026 15:39"/>
    <s v="03/24/2026 02:51"/>
    <x v="1"/>
    <s v="Finishing Errors"/>
    <s v="Low"/>
    <x v="1"/>
    <x v="1"/>
    <n v="11.2"/>
    <n v="24"/>
    <s v="Yes"/>
    <n v="4"/>
    <s v="No"/>
    <s v="Closed"/>
    <s v="Fixed"/>
    <x v="3"/>
    <x v="0"/>
    <s v="Match "/>
    <x v="0"/>
    <m/>
    <s v="Valid"/>
    <s v="Print Quality"/>
    <s v="Valid"/>
  </r>
  <r>
    <s v="TKT000360"/>
    <x v="4"/>
    <s v="03/11/2026 16:09"/>
    <s v="03/12/2026 02:09"/>
    <x v="3"/>
    <s v="Parts Wear"/>
    <s v="High"/>
    <x v="1"/>
    <x v="1"/>
    <n v="10"/>
    <n v="4"/>
    <s v="No"/>
    <n v="3"/>
    <s v="No"/>
    <s v="Closed"/>
    <s v="Pending"/>
    <x v="1"/>
    <x v="1"/>
    <s v="Match "/>
    <x v="1"/>
    <m/>
    <s v="Valid"/>
    <s v="Hardware &amp; Mechanical"/>
    <s v="Valid"/>
  </r>
  <r>
    <s v="TKT000361"/>
    <x v="0"/>
    <s v="03/09/2026 08:19"/>
    <s v="03/09/2026 14:37"/>
    <x v="0"/>
    <s v="Network Dropouts"/>
    <s v="Low"/>
    <x v="5"/>
    <x v="0"/>
    <n v="6.3"/>
    <n v="24"/>
    <s v="Yes"/>
    <n v="5"/>
    <s v="No"/>
    <s v="Closed"/>
    <s v="Fixed"/>
    <x v="1"/>
    <x v="0"/>
    <s v="Match "/>
    <x v="0"/>
    <m/>
    <s v="Valid"/>
    <s v="Connectivity &amp; Software"/>
    <s v="Valid"/>
  </r>
  <r>
    <s v="TKT000362"/>
    <x v="8"/>
    <s v="03/21/2026 14:39"/>
    <s v="03/21/2026 22:03"/>
    <x v="0"/>
    <s v="Driver &amp; Setup"/>
    <s v="Medium"/>
    <x v="4"/>
    <x v="0"/>
    <n v="7.4"/>
    <n v="8"/>
    <s v="Yes"/>
    <n v="4"/>
    <s v="No"/>
    <s v="Closed"/>
    <s v="Fixed"/>
    <x v="0"/>
    <x v="0"/>
    <s v="Match "/>
    <x v="0"/>
    <m/>
    <s v="Valid"/>
    <s v="Connectivity &amp; Software"/>
    <s v="Valid"/>
  </r>
  <r>
    <s v="TKT000363"/>
    <x v="6"/>
    <s v="02/02/2026 16:25"/>
    <s v="02/03/2026 10:01"/>
    <x v="3"/>
    <s v="Paper Jam"/>
    <s v="Medium"/>
    <x v="1"/>
    <x v="4"/>
    <n v="17.600000000000001"/>
    <n v="8"/>
    <s v="No"/>
    <n v="1"/>
    <s v="No"/>
    <s v="Closed"/>
    <s v="Escalated"/>
    <x v="1"/>
    <x v="1"/>
    <s v="Match "/>
    <x v="1"/>
    <m/>
    <s v="Valid"/>
    <s v="Hardware &amp; Mechanical"/>
    <s v="Valid"/>
  </r>
  <r>
    <s v="TKT000364"/>
    <x v="7"/>
    <s v="03/29/2026 13:19"/>
    <s v="03/29/2026 21:31"/>
    <x v="0"/>
    <s v="Network Dropouts"/>
    <s v="High"/>
    <x v="6"/>
    <x v="0"/>
    <n v="8.1999999999999993"/>
    <n v="4"/>
    <s v="No"/>
    <n v="1"/>
    <s v="No"/>
    <s v="Closed"/>
    <s v="Escalated"/>
    <x v="1"/>
    <x v="1"/>
    <s v="Match "/>
    <x v="1"/>
    <m/>
    <s v="Valid"/>
    <s v="Connectivity &amp; Software"/>
    <s v="Valid"/>
  </r>
  <r>
    <s v="TKT000365"/>
    <x v="4"/>
    <s v="02/02/2026 08:51"/>
    <s v="02/02/2026 17:09"/>
    <x v="0"/>
    <s v="Scan-to-Email"/>
    <s v="Medium"/>
    <x v="2"/>
    <x v="0"/>
    <n v="8.3000000000000007"/>
    <n v="8"/>
    <s v="No"/>
    <n v="2"/>
    <s v="No"/>
    <s v="Closed"/>
    <s v="Escalated"/>
    <x v="2"/>
    <x v="1"/>
    <s v="Match "/>
    <x v="1"/>
    <m/>
    <s v="Valid"/>
    <s v="Connectivity &amp; Software"/>
    <s v="Valid"/>
  </r>
  <r>
    <s v="TKT000366"/>
    <x v="8"/>
    <s v="02/19/2026 08:16"/>
    <s v="02/19/2026 20:16"/>
    <x v="1"/>
    <s v="Defective Prints"/>
    <s v="Medium"/>
    <x v="6"/>
    <x v="3"/>
    <n v="12"/>
    <n v="8"/>
    <s v="No"/>
    <n v="2"/>
    <s v="No"/>
    <s v="Closed"/>
    <s v="Pending"/>
    <x v="3"/>
    <x v="1"/>
    <s v="Match "/>
    <x v="1"/>
    <m/>
    <s v="Valid"/>
    <s v="Print Quality"/>
    <s v="Valid"/>
  </r>
  <r>
    <s v="TKT000367"/>
    <x v="4"/>
    <s v="01/20/2026 13:07"/>
    <s v="01/21/2026 03:31"/>
    <x v="0"/>
    <s v="Scan-to-Email"/>
    <s v="Medium"/>
    <x v="3"/>
    <x v="0"/>
    <n v="14.4"/>
    <n v="8"/>
    <s v="No"/>
    <n v="2"/>
    <s v="Yes"/>
    <s v="Closed"/>
    <s v="Escalated"/>
    <x v="1"/>
    <x v="1"/>
    <s v="Match "/>
    <x v="1"/>
    <m/>
    <s v="Valid"/>
    <s v="Connectivity &amp; Software"/>
    <s v="Valid"/>
  </r>
  <r>
    <s v="TKT000368"/>
    <x v="9"/>
    <s v="01/29/2026 11:36"/>
    <s v="01/29/2026 23:18"/>
    <x v="3"/>
    <s v="Parts Wear"/>
    <s v="Medium"/>
    <x v="4"/>
    <x v="1"/>
    <n v="11.7"/>
    <n v="8"/>
    <s v="No"/>
    <n v="3"/>
    <s v="No"/>
    <s v="Closed"/>
    <s v="Escalated"/>
    <x v="2"/>
    <x v="1"/>
    <s v="Match "/>
    <x v="1"/>
    <m/>
    <s v="Valid"/>
    <s v="Hardware &amp; Mechanical"/>
    <s v="Valid"/>
  </r>
  <r>
    <s v="TKT000369"/>
    <x v="2"/>
    <s v="03/25/2026 14:17"/>
    <s v="03/25/2026 16:53"/>
    <x v="2"/>
    <s v="Lease Terms"/>
    <s v="High"/>
    <x v="4"/>
    <x v="2"/>
    <n v="2.6"/>
    <n v="4"/>
    <s v="Yes"/>
    <n v="5"/>
    <s v="No"/>
    <s v="Closed"/>
    <s v="Fixed"/>
    <x v="1"/>
    <x v="0"/>
    <s v="Match "/>
    <x v="0"/>
    <m/>
    <s v="Valid"/>
    <s v="Contract &amp; Billing"/>
    <s v="Valid"/>
  </r>
  <r>
    <s v="TKT000370"/>
    <x v="3"/>
    <s v="03/09/2026 12:26"/>
    <s v="03/09/2026 21:32"/>
    <x v="0"/>
    <s v="Network Dropouts"/>
    <s v="Medium"/>
    <x v="7"/>
    <x v="0"/>
    <n v="9.1"/>
    <n v="8"/>
    <s v="No"/>
    <n v="1"/>
    <s v="Yes"/>
    <s v="Closed"/>
    <s v="Escalated"/>
    <x v="0"/>
    <x v="1"/>
    <s v="Match "/>
    <x v="1"/>
    <m/>
    <s v="Valid"/>
    <s v="Connectivity &amp; Software"/>
    <s v="Valid"/>
  </r>
  <r>
    <s v="TKT000371"/>
    <x v="0"/>
    <s v="03/10/2026 14:15"/>
    <s v="03/11/2026 03:09"/>
    <x v="3"/>
    <s v="Parts Wear"/>
    <s v="Low"/>
    <x v="3"/>
    <x v="1"/>
    <n v="12.9"/>
    <n v="24"/>
    <s v="Yes"/>
    <n v="4"/>
    <s v="No"/>
    <s v="Closed"/>
    <s v="Fixed"/>
    <x v="2"/>
    <x v="0"/>
    <s v="Match "/>
    <x v="0"/>
    <m/>
    <s v="Valid"/>
    <s v="Hardware &amp; Mechanical"/>
    <s v="Valid"/>
  </r>
  <r>
    <s v="TKT000372"/>
    <x v="1"/>
    <s v="01/30/2026 16:46"/>
    <s v="01/31/2026 03:16"/>
    <x v="1"/>
    <s v="Color Calibration"/>
    <s v="Medium"/>
    <x v="9"/>
    <x v="3"/>
    <n v="10.5"/>
    <n v="8"/>
    <s v="No"/>
    <n v="1"/>
    <s v="Yes"/>
    <s v="Closed"/>
    <s v="Escalated"/>
    <x v="3"/>
    <x v="1"/>
    <s v="Match "/>
    <x v="1"/>
    <m/>
    <s v="Valid"/>
    <s v="Print Quality"/>
    <s v="Valid"/>
  </r>
  <r>
    <s v="TKT000373"/>
    <x v="4"/>
    <s v="03/29/2026 14:39"/>
    <s v="03/29/2026 23:27"/>
    <x v="1"/>
    <s v="Color Calibration"/>
    <s v="Medium"/>
    <x v="3"/>
    <x v="3"/>
    <n v="8.8000000000000007"/>
    <n v="8"/>
    <s v="No"/>
    <n v="1"/>
    <s v="Yes"/>
    <s v="Closed"/>
    <s v="Pending"/>
    <x v="0"/>
    <x v="1"/>
    <s v="Match "/>
    <x v="1"/>
    <m/>
    <s v="Valid"/>
    <s v="Print Quality"/>
    <s v="Valid"/>
  </r>
  <r>
    <s v="TKT000374"/>
    <x v="2"/>
    <s v="01/08/2026 15:55"/>
    <s v="01/09/2026 09:37"/>
    <x v="1"/>
    <s v="Color Calibration"/>
    <s v="Low"/>
    <x v="0"/>
    <x v="3"/>
    <n v="17.7"/>
    <n v="24"/>
    <s v="Yes"/>
    <n v="4"/>
    <s v="No"/>
    <s v="Closed"/>
    <s v="Fixed"/>
    <x v="2"/>
    <x v="0"/>
    <s v="Match "/>
    <x v="0"/>
    <m/>
    <s v="Valid"/>
    <s v="Print Quality"/>
    <s v="Valid"/>
  </r>
  <r>
    <s v="TKT000375"/>
    <x v="1"/>
    <s v="01/06/2026 12:49"/>
    <s v="01/06/2026 21:43"/>
    <x v="3"/>
    <s v="Parts Wear"/>
    <s v="Medium"/>
    <x v="1"/>
    <x v="1"/>
    <n v="8.9"/>
    <n v="8"/>
    <s v="No"/>
    <n v="3"/>
    <s v="Yes"/>
    <s v="Closed"/>
    <s v="Escalated"/>
    <x v="2"/>
    <x v="1"/>
    <s v="Match "/>
    <x v="1"/>
    <m/>
    <s v="Valid"/>
    <s v="Hardware &amp; Mechanical"/>
    <s v="Valid"/>
  </r>
  <r>
    <s v="TKT000376"/>
    <x v="6"/>
    <s v="03/04/2026 14:00"/>
    <s v="03/04/2026 17:12"/>
    <x v="2"/>
    <s v="Relocation Requests"/>
    <s v="Low"/>
    <x v="3"/>
    <x v="2"/>
    <n v="3.2"/>
    <n v="24"/>
    <s v="Yes"/>
    <n v="5"/>
    <s v="No"/>
    <s v="Closed"/>
    <s v="Fixed"/>
    <x v="1"/>
    <x v="0"/>
    <s v="Match "/>
    <x v="0"/>
    <m/>
    <s v="Valid"/>
    <s v="Contract &amp; Billing"/>
    <s v="Valid"/>
  </r>
  <r>
    <s v="TKT000377"/>
    <x v="6"/>
    <s v="01/16/2026 08:24"/>
    <s v="01/17/2026 00:18"/>
    <x v="0"/>
    <s v="Driver &amp; Setup"/>
    <s v="Medium"/>
    <x v="7"/>
    <x v="0"/>
    <n v="15.9"/>
    <n v="8"/>
    <s v="No"/>
    <n v="2"/>
    <s v="Yes"/>
    <s v="Closed"/>
    <s v="Pending"/>
    <x v="1"/>
    <x v="1"/>
    <s v="Match "/>
    <x v="1"/>
    <m/>
    <s v="Valid"/>
    <s v="Connectivity &amp; Software"/>
    <s v="Valid"/>
  </r>
  <r>
    <s v="TKT000378"/>
    <x v="9"/>
    <s v="03/07/2026 08:46"/>
    <s v="03/07/2026 19:16"/>
    <x v="0"/>
    <s v="Scan-to-Email"/>
    <s v="Low"/>
    <x v="4"/>
    <x v="0"/>
    <n v="10.5"/>
    <n v="24"/>
    <s v="Yes"/>
    <n v="4"/>
    <s v="No"/>
    <s v="Closed"/>
    <s v="Fixed"/>
    <x v="1"/>
    <x v="0"/>
    <s v="Match "/>
    <x v="0"/>
    <m/>
    <s v="Valid"/>
    <s v="Connectivity &amp; Software"/>
    <s v="Valid"/>
  </r>
  <r>
    <s v="TKT000379"/>
    <x v="1"/>
    <s v="03/18/2026 14:51"/>
    <s v="03/19/2026 08:15"/>
    <x v="3"/>
    <s v="Paper Jam"/>
    <s v="High"/>
    <x v="1"/>
    <x v="4"/>
    <n v="17.399999999999999"/>
    <n v="4"/>
    <s v="No"/>
    <n v="2"/>
    <s v="Yes"/>
    <s v="Closed"/>
    <s v="Escalated"/>
    <x v="2"/>
    <x v="1"/>
    <s v="Match "/>
    <x v="1"/>
    <m/>
    <s v="Valid"/>
    <s v="Hardware &amp; Mechanical"/>
    <s v="Valid"/>
  </r>
  <r>
    <s v="TKT000380"/>
    <x v="1"/>
    <s v="03/16/2026 08:40"/>
    <s v="03/16/2026 23:28"/>
    <x v="0"/>
    <s v="Network Dropouts"/>
    <s v="Low"/>
    <x v="3"/>
    <x v="0"/>
    <n v="14.8"/>
    <n v="24"/>
    <s v="Yes"/>
    <n v="4"/>
    <s v="No"/>
    <s v="Closed"/>
    <s v="Fixed"/>
    <x v="3"/>
    <x v="0"/>
    <s v="Match "/>
    <x v="0"/>
    <m/>
    <s v="Valid"/>
    <s v="Connectivity &amp; Software"/>
    <s v="Valid"/>
  </r>
  <r>
    <s v="TKT000381"/>
    <x v="5"/>
    <s v="02/02/2026 11:16"/>
    <s v="02/03/2026 05:10"/>
    <x v="3"/>
    <s v="Paper Jam"/>
    <s v="Medium"/>
    <x v="6"/>
    <x v="4"/>
    <n v="17.899999999999999"/>
    <n v="8"/>
    <s v="No"/>
    <n v="1"/>
    <s v="Yes"/>
    <s v="Closed"/>
    <s v="Pending"/>
    <x v="0"/>
    <x v="1"/>
    <s v="Match "/>
    <x v="1"/>
    <m/>
    <s v="Valid"/>
    <s v="Hardware &amp; Mechanical"/>
    <s v="Valid"/>
  </r>
  <r>
    <s v="TKT000382"/>
    <x v="4"/>
    <s v="03/19/2026 09:21"/>
    <s v="03/19/2026 17:03"/>
    <x v="1"/>
    <s v="Finishing Errors"/>
    <s v="High"/>
    <x v="9"/>
    <x v="1"/>
    <n v="7.7"/>
    <n v="4"/>
    <s v="No"/>
    <n v="3"/>
    <s v="No"/>
    <s v="Closed"/>
    <s v="Pending"/>
    <x v="0"/>
    <x v="1"/>
    <s v="Match "/>
    <x v="1"/>
    <m/>
    <s v="Valid"/>
    <s v="Print Quality"/>
    <s v="Valid"/>
  </r>
  <r>
    <s v="TKT000383"/>
    <x v="3"/>
    <s v="03/14/2026 11:55"/>
    <s v="03/14/2026 16:49"/>
    <x v="4"/>
    <s v="Toner Replenishment"/>
    <s v="High"/>
    <x v="6"/>
    <x v="5"/>
    <n v="4.9000000000000004"/>
    <n v="4"/>
    <s v="No"/>
    <n v="3"/>
    <s v="No"/>
    <s v="Closed"/>
    <s v="Pending"/>
    <x v="1"/>
    <x v="1"/>
    <s v="Match "/>
    <x v="1"/>
    <m/>
    <s v="Valid"/>
    <s v="Supplies &amp; Logistics"/>
    <s v="Valid"/>
  </r>
  <r>
    <s v="TKT000384"/>
    <x v="4"/>
    <s v="02/20/2026 16:20"/>
    <s v="02/21/2026 09:44"/>
    <x v="0"/>
    <s v="Scan-to-Email"/>
    <s v="High"/>
    <x v="0"/>
    <x v="0"/>
    <n v="17.399999999999999"/>
    <n v="4"/>
    <s v="No"/>
    <n v="1"/>
    <s v="No"/>
    <s v="Closed"/>
    <s v="Escalated"/>
    <x v="2"/>
    <x v="1"/>
    <s v="Match "/>
    <x v="1"/>
    <m/>
    <s v="Valid"/>
    <s v="Connectivity &amp; Software"/>
    <s v="Valid"/>
  </r>
  <r>
    <s v="TKT000385"/>
    <x v="6"/>
    <s v="03/29/2026 09:23"/>
    <s v="03/29/2026 23:41"/>
    <x v="0"/>
    <s v="Driver &amp; Setup"/>
    <s v="High"/>
    <x v="5"/>
    <x v="0"/>
    <n v="14.3"/>
    <n v="4"/>
    <s v="No"/>
    <n v="3"/>
    <s v="Yes"/>
    <s v="Closed"/>
    <s v="Pending"/>
    <x v="1"/>
    <x v="1"/>
    <s v="Match "/>
    <x v="1"/>
    <m/>
    <s v="Valid"/>
    <s v="Connectivity &amp; Software"/>
    <s v="Valid"/>
  </r>
  <r>
    <s v="TKT000386"/>
    <x v="9"/>
    <s v="01/19/2026 10:57"/>
    <s v="01/19/2026 17:21"/>
    <x v="4"/>
    <s v="Toner Replenishment"/>
    <s v="Medium"/>
    <x v="8"/>
    <x v="5"/>
    <n v="6.4"/>
    <n v="8"/>
    <s v="Yes"/>
    <n v="4"/>
    <s v="No"/>
    <s v="Closed"/>
    <s v="Fixed"/>
    <x v="3"/>
    <x v="0"/>
    <s v="Match "/>
    <x v="0"/>
    <m/>
    <s v="Valid"/>
    <s v="Supplies &amp; Logistics"/>
    <s v="Valid"/>
  </r>
  <r>
    <s v="TKT000387"/>
    <x v="3"/>
    <s v="03/15/2026 14:45"/>
    <s v="03/15/2026 22:51"/>
    <x v="1"/>
    <s v="Color Calibration"/>
    <s v="Medium"/>
    <x v="6"/>
    <x v="3"/>
    <n v="8.1"/>
    <n v="8"/>
    <s v="No"/>
    <n v="3"/>
    <s v="Yes"/>
    <s v="Closed"/>
    <s v="Pending"/>
    <x v="0"/>
    <x v="1"/>
    <s v="Match "/>
    <x v="1"/>
    <m/>
    <s v="Valid"/>
    <s v="Print Quality"/>
    <s v="Valid"/>
  </r>
  <r>
    <s v="TKT000388"/>
    <x v="3"/>
    <s v="03/17/2026 14:36"/>
    <s v="03/17/2026 23:42"/>
    <x v="1"/>
    <s v="Defective Prints"/>
    <s v="Low"/>
    <x v="1"/>
    <x v="3"/>
    <n v="9.1"/>
    <n v="24"/>
    <s v="Yes"/>
    <n v="4"/>
    <s v="No"/>
    <s v="Closed"/>
    <s v="Fixed"/>
    <x v="2"/>
    <x v="0"/>
    <s v="Match "/>
    <x v="0"/>
    <m/>
    <s v="Valid"/>
    <s v="Print Quality"/>
    <s v="Valid"/>
  </r>
  <r>
    <s v="TKT000389"/>
    <x v="2"/>
    <s v="03/15/2026 12:07"/>
    <s v="03/15/2026 16:19"/>
    <x v="1"/>
    <s v="Finishing Errors"/>
    <s v="High"/>
    <x v="2"/>
    <x v="1"/>
    <n v="4.2"/>
    <n v="4"/>
    <s v="No"/>
    <n v="2"/>
    <s v="Yes"/>
    <s v="Closed"/>
    <s v="Pending"/>
    <x v="1"/>
    <x v="1"/>
    <s v="Match "/>
    <x v="1"/>
    <m/>
    <s v="Valid"/>
    <s v="Print Quality"/>
    <s v="Valid"/>
  </r>
  <r>
    <s v="TKT000390"/>
    <x v="3"/>
    <s v="03/14/2026 14:47"/>
    <s v="03/15/2026 04:17"/>
    <x v="3"/>
    <s v="Paper Jam"/>
    <s v="Low"/>
    <x v="8"/>
    <x v="4"/>
    <n v="13.5"/>
    <n v="24"/>
    <s v="Yes"/>
    <n v="4"/>
    <s v="No"/>
    <s v="Closed"/>
    <s v="Fixed"/>
    <x v="1"/>
    <x v="0"/>
    <s v="Match "/>
    <x v="0"/>
    <m/>
    <s v="Valid"/>
    <s v="Hardware &amp; Mechanical"/>
    <s v="Valid"/>
  </r>
  <r>
    <s v="TKT000391"/>
    <x v="4"/>
    <s v="02/26/2026 13:30"/>
    <s v="02/27/2026 04:24"/>
    <x v="0"/>
    <s v="Driver &amp; Setup"/>
    <s v="Medium"/>
    <x v="3"/>
    <x v="0"/>
    <n v="14.9"/>
    <n v="8"/>
    <s v="No"/>
    <n v="2"/>
    <s v="Yes"/>
    <s v="Closed"/>
    <s v="Pending"/>
    <x v="0"/>
    <x v="1"/>
    <s v="Match "/>
    <x v="1"/>
    <m/>
    <s v="Valid"/>
    <s v="Connectivity &amp; Software"/>
    <s v="Valid"/>
  </r>
  <r>
    <s v="TKT000392"/>
    <x v="4"/>
    <s v="01/24/2026 15:06"/>
    <s v="01/24/2026 21:42"/>
    <x v="1"/>
    <s v="Color Calibration"/>
    <s v="Medium"/>
    <x v="4"/>
    <x v="3"/>
    <n v="6.6"/>
    <n v="8"/>
    <s v="Yes"/>
    <n v="5"/>
    <s v="No"/>
    <s v="Closed"/>
    <s v="Fixed"/>
    <x v="2"/>
    <x v="0"/>
    <s v="Match "/>
    <x v="0"/>
    <m/>
    <s v="Valid"/>
    <s v="Print Quality"/>
    <s v="Valid"/>
  </r>
  <r>
    <s v="TKT000393"/>
    <x v="3"/>
    <s v="01/14/2026 09:50"/>
    <s v="01/14/2026 16:14"/>
    <x v="1"/>
    <s v="Color Calibration"/>
    <s v="Medium"/>
    <x v="4"/>
    <x v="3"/>
    <n v="6.4"/>
    <n v="8"/>
    <s v="Yes"/>
    <n v="4"/>
    <s v="No"/>
    <s v="Closed"/>
    <s v="Fixed"/>
    <x v="1"/>
    <x v="0"/>
    <s v="Match "/>
    <x v="0"/>
    <m/>
    <s v="Valid"/>
    <s v="Print Quality"/>
    <s v="Valid"/>
  </r>
  <r>
    <s v="TKT000394"/>
    <x v="3"/>
    <s v="02/18/2026 14:15"/>
    <s v="02/19/2026 03:33"/>
    <x v="0"/>
    <s v="Network Dropouts"/>
    <s v="Medium"/>
    <x v="6"/>
    <x v="0"/>
    <n v="13.3"/>
    <n v="8"/>
    <s v="No"/>
    <n v="1"/>
    <s v="No"/>
    <s v="Closed"/>
    <s v="Pending"/>
    <x v="0"/>
    <x v="1"/>
    <s v="Match "/>
    <x v="1"/>
    <m/>
    <s v="Valid"/>
    <s v="Connectivity &amp; Software"/>
    <s v="Valid"/>
  </r>
  <r>
    <s v="TKT000395"/>
    <x v="1"/>
    <s v="02/10/2026 10:23"/>
    <s v="02/10/2026 22:17"/>
    <x v="1"/>
    <s v="Finishing Errors"/>
    <s v="Medium"/>
    <x v="3"/>
    <x v="1"/>
    <n v="11.9"/>
    <n v="8"/>
    <s v="No"/>
    <n v="2"/>
    <s v="No"/>
    <s v="Closed"/>
    <s v="Escalated"/>
    <x v="3"/>
    <x v="1"/>
    <s v="Match "/>
    <x v="1"/>
    <m/>
    <s v="Valid"/>
    <s v="Print Quality"/>
    <s v="Valid"/>
  </r>
  <r>
    <s v="TKT000396"/>
    <x v="6"/>
    <s v="02/22/2026 15:53"/>
    <s v="02/22/2026 23:11"/>
    <x v="4"/>
    <s v="Toner Replenishment"/>
    <s v="High"/>
    <x v="8"/>
    <x v="5"/>
    <n v="7.3"/>
    <n v="4"/>
    <s v="No"/>
    <n v="1"/>
    <s v="No"/>
    <s v="Closed"/>
    <s v="Pending"/>
    <x v="2"/>
    <x v="1"/>
    <s v="Match "/>
    <x v="1"/>
    <m/>
    <s v="Valid"/>
    <s v="Supplies &amp; Logistics"/>
    <s v="Valid"/>
  </r>
  <r>
    <s v="TKT000397"/>
    <x v="6"/>
    <s v="03/11/2026 10:40"/>
    <s v="03/11/2026 14:10"/>
    <x v="2"/>
    <s v="Relocation Requests"/>
    <s v="Medium"/>
    <x v="8"/>
    <x v="2"/>
    <n v="3.5"/>
    <n v="8"/>
    <s v="Yes"/>
    <n v="4"/>
    <s v="No"/>
    <s v="Closed"/>
    <s v="Fixed"/>
    <x v="3"/>
    <x v="0"/>
    <s v="Match "/>
    <x v="0"/>
    <m/>
    <s v="Valid"/>
    <s v="Contract &amp; Billing"/>
    <s v="Valid"/>
  </r>
  <r>
    <s v="TKT000398"/>
    <x v="0"/>
    <s v="01/19/2026 13:12"/>
    <s v="01/20/2026 04:12"/>
    <x v="3"/>
    <s v="Device Errors"/>
    <s v="Low"/>
    <x v="8"/>
    <x v="4"/>
    <n v="15"/>
    <n v="24"/>
    <s v="Yes"/>
    <n v="4"/>
    <s v="No"/>
    <s v="Closed"/>
    <s v="Fixed"/>
    <x v="0"/>
    <x v="0"/>
    <s v="Match "/>
    <x v="0"/>
    <m/>
    <s v="Valid"/>
    <s v="Hardware &amp; Mechanical"/>
    <s v="Valid"/>
  </r>
  <r>
    <s v="TKT000399"/>
    <x v="1"/>
    <s v="03/03/2026 14:43"/>
    <s v="03/03/2026 21:37"/>
    <x v="0"/>
    <s v="Scan-to-Email"/>
    <s v="Medium"/>
    <x v="4"/>
    <x v="0"/>
    <n v="6.9"/>
    <n v="8"/>
    <s v="Yes"/>
    <n v="5"/>
    <s v="No"/>
    <s v="Closed"/>
    <s v="Fixed"/>
    <x v="3"/>
    <x v="0"/>
    <s v="Match "/>
    <x v="0"/>
    <m/>
    <s v="Valid"/>
    <s v="Connectivity &amp; Software"/>
    <s v="Valid"/>
  </r>
  <r>
    <s v="TKT000400"/>
    <x v="6"/>
    <s v="02/21/2026 09:59"/>
    <s v="02/21/2026 20:17"/>
    <x v="1"/>
    <s v="Defective Prints"/>
    <s v="Medium"/>
    <x v="1"/>
    <x v="3"/>
    <n v="10.3"/>
    <n v="8"/>
    <s v="No"/>
    <n v="1"/>
    <s v="No"/>
    <s v="Closed"/>
    <s v="Pending"/>
    <x v="1"/>
    <x v="1"/>
    <s v="Match "/>
    <x v="1"/>
    <m/>
    <s v="Valid"/>
    <s v="Print Quality"/>
    <s v="Valid"/>
  </r>
  <r>
    <s v="TKT000401"/>
    <x v="1"/>
    <s v="01/04/2026 16:21"/>
    <s v="01/05/2026 02:45"/>
    <x v="0"/>
    <s v="Network Dropouts"/>
    <s v="Low"/>
    <x v="4"/>
    <x v="0"/>
    <n v="10.4"/>
    <n v="24"/>
    <s v="Yes"/>
    <n v="4"/>
    <s v="No"/>
    <s v="Closed"/>
    <s v="Fixed"/>
    <x v="2"/>
    <x v="0"/>
    <s v="Match "/>
    <x v="0"/>
    <m/>
    <s v="Valid"/>
    <s v="Connectivity &amp; Software"/>
    <s v="Valid"/>
  </r>
  <r>
    <s v="TKT000402"/>
    <x v="3"/>
    <s v="02/07/2026 11:34"/>
    <s v="02/07/2026 19:34"/>
    <x v="1"/>
    <s v="Finishing Errors"/>
    <s v="Low"/>
    <x v="5"/>
    <x v="1"/>
    <n v="8"/>
    <n v="24"/>
    <s v="Yes"/>
    <n v="4"/>
    <s v="No"/>
    <s v="Closed"/>
    <s v="Fixed"/>
    <x v="0"/>
    <x v="0"/>
    <s v="Match "/>
    <x v="0"/>
    <m/>
    <s v="Valid"/>
    <s v="Print Quality"/>
    <s v="Valid"/>
  </r>
  <r>
    <s v="TKT000403"/>
    <x v="1"/>
    <s v="02/05/2026 14:28"/>
    <s v="02/06/2026 00:34"/>
    <x v="0"/>
    <s v="Network Dropouts"/>
    <s v="Medium"/>
    <x v="5"/>
    <x v="0"/>
    <n v="10.1"/>
    <n v="8"/>
    <s v="No"/>
    <n v="2"/>
    <s v="No"/>
    <s v="Closed"/>
    <s v="Pending"/>
    <x v="2"/>
    <x v="1"/>
    <s v="Match "/>
    <x v="1"/>
    <m/>
    <s v="Valid"/>
    <s v="Connectivity &amp; Software"/>
    <s v="Valid"/>
  </r>
  <r>
    <s v="TKT000404"/>
    <x v="5"/>
    <s v="01/03/2026 10:33"/>
    <s v="01/04/2026 03:09"/>
    <x v="3"/>
    <s v="Parts Wear"/>
    <s v="High"/>
    <x v="8"/>
    <x v="1"/>
    <n v="16.600000000000001"/>
    <n v="4"/>
    <s v="No"/>
    <n v="2"/>
    <s v="No"/>
    <s v="Closed"/>
    <s v="Pending"/>
    <x v="1"/>
    <x v="1"/>
    <s v="Match "/>
    <x v="1"/>
    <m/>
    <s v="Valid"/>
    <s v="Hardware &amp; Mechanical"/>
    <s v="Valid"/>
  </r>
  <r>
    <s v="TKT000405"/>
    <x v="4"/>
    <s v="02/28/2026 16:14"/>
    <s v="02/28/2026 21:50"/>
    <x v="0"/>
    <s v="Driver &amp; Setup"/>
    <s v="Medium"/>
    <x v="4"/>
    <x v="0"/>
    <n v="5.6"/>
    <n v="8"/>
    <s v="Yes"/>
    <n v="4"/>
    <s v="No"/>
    <s v="Closed"/>
    <s v="Fixed"/>
    <x v="0"/>
    <x v="0"/>
    <s v="Match "/>
    <x v="0"/>
    <m/>
    <s v="Valid"/>
    <s v="Connectivity &amp; Software"/>
    <s v="Valid"/>
  </r>
  <r>
    <s v="TKT000406"/>
    <x v="2"/>
    <s v="03/07/2026 08:22"/>
    <s v="03/07/2026 14:52"/>
    <x v="4"/>
    <s v="Paper Supply"/>
    <s v="Medium"/>
    <x v="9"/>
    <x v="5"/>
    <n v="6.5"/>
    <n v="8"/>
    <s v="Yes"/>
    <n v="5"/>
    <s v="No"/>
    <s v="Closed"/>
    <s v="Fixed"/>
    <x v="3"/>
    <x v="0"/>
    <s v="Match "/>
    <x v="0"/>
    <m/>
    <s v="Valid"/>
    <s v="Supplies &amp; Logistics"/>
    <s v="Valid"/>
  </r>
  <r>
    <s v="TKT000407"/>
    <x v="1"/>
    <s v="01/02/2026 11:34"/>
    <s v="01/02/2026 18:28"/>
    <x v="4"/>
    <s v="Paper Supply"/>
    <s v="Medium"/>
    <x v="3"/>
    <x v="5"/>
    <n v="6.9"/>
    <n v="8"/>
    <s v="Yes"/>
    <n v="4"/>
    <s v="No"/>
    <s v="Closed"/>
    <s v="Fixed"/>
    <x v="2"/>
    <x v="0"/>
    <s v="Match "/>
    <x v="0"/>
    <m/>
    <s v="Valid"/>
    <s v="Supplies &amp; Logistics"/>
    <s v="Valid"/>
  </r>
  <r>
    <s v="TKT000408"/>
    <x v="1"/>
    <s v="01/03/2026 17:47"/>
    <s v="01/04/2026 02:17"/>
    <x v="3"/>
    <s v="Parts Wear"/>
    <s v="High"/>
    <x v="3"/>
    <x v="1"/>
    <n v="8.5"/>
    <n v="4"/>
    <s v="No"/>
    <n v="3"/>
    <s v="Yes"/>
    <s v="Closed"/>
    <s v="Escalated"/>
    <x v="2"/>
    <x v="1"/>
    <s v="Match "/>
    <x v="1"/>
    <m/>
    <s v="Valid"/>
    <s v="Hardware &amp; Mechanical"/>
    <s v="Valid"/>
  </r>
  <r>
    <s v="TKT000409"/>
    <x v="4"/>
    <s v="02/17/2026 12:31"/>
    <s v="02/18/2026 06:31"/>
    <x v="3"/>
    <s v="Device Errors"/>
    <s v="High"/>
    <x v="7"/>
    <x v="4"/>
    <n v="18"/>
    <n v="4"/>
    <s v="No"/>
    <n v="2"/>
    <s v="Yes"/>
    <s v="Closed"/>
    <s v="Escalated"/>
    <x v="2"/>
    <x v="1"/>
    <s v="Match "/>
    <x v="1"/>
    <m/>
    <s v="Valid"/>
    <s v="Hardware &amp; Mechanical"/>
    <s v="Valid"/>
  </r>
  <r>
    <s v="TKT000410"/>
    <x v="6"/>
    <s v="03/22/2026 12:05"/>
    <s v="03/22/2026 21:05"/>
    <x v="1"/>
    <s v="Finishing Errors"/>
    <s v="Medium"/>
    <x v="0"/>
    <x v="1"/>
    <n v="9"/>
    <n v="8"/>
    <s v="No"/>
    <n v="1"/>
    <s v="Yes"/>
    <s v="Closed"/>
    <s v="Escalated"/>
    <x v="2"/>
    <x v="1"/>
    <s v="Match "/>
    <x v="1"/>
    <m/>
    <s v="Valid"/>
    <s v="Print Quality"/>
    <s v="Valid"/>
  </r>
  <r>
    <s v="TKT000411"/>
    <x v="3"/>
    <s v="03/15/2026 09:08"/>
    <s v="03/15/2026 19:26"/>
    <x v="0"/>
    <s v="Driver &amp; Setup"/>
    <s v="High"/>
    <x v="2"/>
    <x v="0"/>
    <n v="10.3"/>
    <n v="4"/>
    <s v="No"/>
    <n v="3"/>
    <s v="No"/>
    <s v="Closed"/>
    <s v="Escalated"/>
    <x v="3"/>
    <x v="1"/>
    <s v="Match "/>
    <x v="1"/>
    <m/>
    <s v="Valid"/>
    <s v="Connectivity &amp; Software"/>
    <s v="Valid"/>
  </r>
  <r>
    <s v="TKT000412"/>
    <x v="2"/>
    <s v="02/08/2026 12:54"/>
    <s v="02/09/2026 02:54"/>
    <x v="3"/>
    <s v="Device Errors"/>
    <s v="Low"/>
    <x v="5"/>
    <x v="4"/>
    <n v="14"/>
    <n v="24"/>
    <s v="Yes"/>
    <n v="4"/>
    <s v="No"/>
    <s v="Closed"/>
    <s v="Fixed"/>
    <x v="3"/>
    <x v="0"/>
    <s v="Match "/>
    <x v="0"/>
    <m/>
    <s v="Valid"/>
    <s v="Hardware &amp; Mechanical"/>
    <s v="Valid"/>
  </r>
  <r>
    <s v="TKT000413"/>
    <x v="2"/>
    <s v="02/24/2026 16:31"/>
    <s v="02/25/2026 07:07"/>
    <x v="0"/>
    <s v="Scan-to-Email"/>
    <s v="Medium"/>
    <x v="3"/>
    <x v="0"/>
    <n v="14.6"/>
    <n v="8"/>
    <s v="No"/>
    <n v="1"/>
    <s v="Yes"/>
    <s v="Closed"/>
    <s v="Pending"/>
    <x v="0"/>
    <x v="1"/>
    <s v="Match "/>
    <x v="1"/>
    <m/>
    <s v="Valid"/>
    <s v="Connectivity &amp; Software"/>
    <s v="Valid"/>
  </r>
  <r>
    <s v="TKT000414"/>
    <x v="0"/>
    <s v="01/13/2026 17:32"/>
    <s v="01/13/2026 22:20"/>
    <x v="2"/>
    <s v="Lease Terms"/>
    <s v="Medium"/>
    <x v="1"/>
    <x v="2"/>
    <n v="4.8"/>
    <n v="8"/>
    <s v="Yes"/>
    <n v="4"/>
    <s v="No"/>
    <s v="Closed"/>
    <s v="Fixed"/>
    <x v="1"/>
    <x v="0"/>
    <s v="Match "/>
    <x v="0"/>
    <m/>
    <s v="Valid"/>
    <s v="Contract &amp; Billing"/>
    <s v="Valid"/>
  </r>
  <r>
    <s v="TKT000415"/>
    <x v="4"/>
    <s v="03/25/2026 10:44"/>
    <s v="03/25/2026 16:56"/>
    <x v="4"/>
    <s v="Toner Replenishment"/>
    <s v="Medium"/>
    <x v="9"/>
    <x v="5"/>
    <n v="6.2"/>
    <n v="8"/>
    <s v="Yes"/>
    <n v="5"/>
    <s v="No"/>
    <s v="Closed"/>
    <s v="Fixed"/>
    <x v="0"/>
    <x v="0"/>
    <s v="Match "/>
    <x v="0"/>
    <m/>
    <s v="Valid"/>
    <s v="Supplies &amp; Logistics"/>
    <s v="Valid"/>
  </r>
  <r>
    <s v="TKT000416"/>
    <x v="4"/>
    <s v="03/29/2026 13:44"/>
    <s v="03/30/2026 01:56"/>
    <x v="0"/>
    <s v="Driver &amp; Setup"/>
    <s v="Medium"/>
    <x v="8"/>
    <x v="0"/>
    <n v="12.2"/>
    <n v="8"/>
    <s v="No"/>
    <n v="2"/>
    <s v="Yes"/>
    <s v="Closed"/>
    <s v="Escalated"/>
    <x v="1"/>
    <x v="1"/>
    <s v="Match "/>
    <x v="1"/>
    <m/>
    <s v="Valid"/>
    <s v="Connectivity &amp; Software"/>
    <s v="Valid"/>
  </r>
  <r>
    <s v="TKT000417"/>
    <x v="6"/>
    <s v="03/11/2026 16:13"/>
    <s v="03/12/2026 01:37"/>
    <x v="0"/>
    <s v="Driver &amp; Setup"/>
    <s v="Medium"/>
    <x v="9"/>
    <x v="0"/>
    <n v="9.4"/>
    <n v="8"/>
    <s v="No"/>
    <n v="2"/>
    <s v="Yes"/>
    <s v="Closed"/>
    <s v="Pending"/>
    <x v="0"/>
    <x v="1"/>
    <s v="Match "/>
    <x v="1"/>
    <m/>
    <s v="Valid"/>
    <s v="Connectivity &amp; Software"/>
    <s v="Valid"/>
  </r>
  <r>
    <s v="TKT000418"/>
    <x v="5"/>
    <s v="03/02/2026 17:43"/>
    <s v="03/02/2026 23:13"/>
    <x v="1"/>
    <s v="Color Calibration"/>
    <s v="Medium"/>
    <x v="2"/>
    <x v="3"/>
    <n v="5.5"/>
    <n v="8"/>
    <s v="Yes"/>
    <n v="5"/>
    <s v="No"/>
    <s v="Closed"/>
    <s v="Fixed"/>
    <x v="3"/>
    <x v="0"/>
    <s v="Match "/>
    <x v="0"/>
    <m/>
    <s v="Valid"/>
    <s v="Print Quality"/>
    <s v="Valid"/>
  </r>
  <r>
    <s v="TKT000419"/>
    <x v="6"/>
    <s v="01/23/2026 17:40"/>
    <s v="01/24/2026 01:04"/>
    <x v="0"/>
    <s v="Driver &amp; Setup"/>
    <s v="Low"/>
    <x v="2"/>
    <x v="0"/>
    <n v="7.4"/>
    <n v="24"/>
    <s v="Yes"/>
    <n v="4"/>
    <s v="No"/>
    <s v="Closed"/>
    <s v="Fixed"/>
    <x v="3"/>
    <x v="0"/>
    <s v="Match "/>
    <x v="0"/>
    <m/>
    <s v="Valid"/>
    <s v="Connectivity &amp; Software"/>
    <s v="Valid"/>
  </r>
  <r>
    <s v="TKT000420"/>
    <x v="1"/>
    <s v="01/07/2026 13:16"/>
    <s v="01/08/2026 01:22"/>
    <x v="3"/>
    <s v="Parts Wear"/>
    <s v="Medium"/>
    <x v="4"/>
    <x v="1"/>
    <n v="12.1"/>
    <n v="8"/>
    <s v="No"/>
    <n v="3"/>
    <s v="No"/>
    <s v="Closed"/>
    <s v="Pending"/>
    <x v="0"/>
    <x v="1"/>
    <s v="Match "/>
    <x v="1"/>
    <m/>
    <s v="Valid"/>
    <s v="Hardware &amp; Mechanical"/>
    <s v="Valid"/>
  </r>
  <r>
    <s v="TKT000421"/>
    <x v="3"/>
    <s v="01/25/2026 10:54"/>
    <s v="01/25/2026 20:12"/>
    <x v="4"/>
    <s v="Toner Replenishment"/>
    <s v="Medium"/>
    <x v="9"/>
    <x v="5"/>
    <n v="9.3000000000000007"/>
    <n v="8"/>
    <s v="No"/>
    <n v="2"/>
    <s v="No"/>
    <s v="Closed"/>
    <s v="Escalated"/>
    <x v="1"/>
    <x v="1"/>
    <s v="Match "/>
    <x v="1"/>
    <m/>
    <s v="Valid"/>
    <s v="Supplies &amp; Logistics"/>
    <s v="Valid"/>
  </r>
  <r>
    <s v="TKT000422"/>
    <x v="1"/>
    <s v="03/02/2026 12:44"/>
    <s v="03/02/2026 22:32"/>
    <x v="0"/>
    <s v="Scan-to-Email"/>
    <s v="High"/>
    <x v="3"/>
    <x v="0"/>
    <n v="9.8000000000000007"/>
    <n v="4"/>
    <s v="No"/>
    <n v="1"/>
    <s v="Yes"/>
    <s v="Closed"/>
    <s v="Escalated"/>
    <x v="3"/>
    <x v="1"/>
    <s v="Match "/>
    <x v="1"/>
    <m/>
    <s v="Valid"/>
    <s v="Connectivity &amp; Software"/>
    <s v="Valid"/>
  </r>
  <r>
    <s v="TKT000423"/>
    <x v="1"/>
    <s v="02/28/2026 09:54"/>
    <s v="02/28/2026 12:30"/>
    <x v="2"/>
    <s v="Lease Terms"/>
    <s v="Medium"/>
    <x v="0"/>
    <x v="2"/>
    <n v="2.6"/>
    <n v="8"/>
    <s v="Yes"/>
    <n v="4"/>
    <s v="No"/>
    <s v="Closed"/>
    <s v="Fixed"/>
    <x v="2"/>
    <x v="0"/>
    <s v="Match "/>
    <x v="0"/>
    <m/>
    <s v="Valid"/>
    <s v="Contract &amp; Billing"/>
    <s v="Valid"/>
  </r>
  <r>
    <s v="TKT000424"/>
    <x v="3"/>
    <s v="02/11/2026 15:00"/>
    <s v="02/11/2026 23:30"/>
    <x v="0"/>
    <s v="Driver &amp; Setup"/>
    <s v="Medium"/>
    <x v="8"/>
    <x v="0"/>
    <n v="8.5"/>
    <n v="8"/>
    <s v="No"/>
    <n v="2"/>
    <s v="Yes"/>
    <s v="Closed"/>
    <s v="Escalated"/>
    <x v="3"/>
    <x v="1"/>
    <s v="Match "/>
    <x v="1"/>
    <m/>
    <s v="Valid"/>
    <s v="Connectivity &amp; Software"/>
    <s v="Valid"/>
  </r>
  <r>
    <s v="TKT000425"/>
    <x v="5"/>
    <s v="01/26/2026 17:28"/>
    <s v="01/27/2026 03:52"/>
    <x v="0"/>
    <s v="Driver &amp; Setup"/>
    <s v="Medium"/>
    <x v="6"/>
    <x v="0"/>
    <n v="10.4"/>
    <n v="8"/>
    <s v="No"/>
    <n v="3"/>
    <s v="No"/>
    <s v="Closed"/>
    <s v="Pending"/>
    <x v="1"/>
    <x v="1"/>
    <s v="Match "/>
    <x v="1"/>
    <m/>
    <s v="Valid"/>
    <s v="Connectivity &amp; Software"/>
    <s v="Valid"/>
  </r>
  <r>
    <s v="TKT000426"/>
    <x v="0"/>
    <s v="01/23/2026 14:34"/>
    <s v="01/24/2026 01:04"/>
    <x v="1"/>
    <s v="Finishing Errors"/>
    <s v="Medium"/>
    <x v="8"/>
    <x v="1"/>
    <n v="10.5"/>
    <n v="8"/>
    <s v="No"/>
    <n v="3"/>
    <s v="Yes"/>
    <s v="Closed"/>
    <s v="Pending"/>
    <x v="2"/>
    <x v="1"/>
    <s v="Match "/>
    <x v="1"/>
    <m/>
    <s v="Valid"/>
    <s v="Print Quality"/>
    <s v="Valid"/>
  </r>
  <r>
    <s v="TKT000427"/>
    <x v="2"/>
    <s v="02/18/2026 16:28"/>
    <s v="02/18/2026 21:22"/>
    <x v="1"/>
    <s v="Color Calibration"/>
    <s v="High"/>
    <x v="1"/>
    <x v="3"/>
    <n v="4.9000000000000004"/>
    <n v="4"/>
    <s v="No"/>
    <n v="1"/>
    <s v="Yes"/>
    <s v="Closed"/>
    <s v="Escalated"/>
    <x v="0"/>
    <x v="1"/>
    <s v="Match "/>
    <x v="1"/>
    <m/>
    <s v="Valid"/>
    <s v="Print Quality"/>
    <s v="Valid"/>
  </r>
  <r>
    <s v="TKT000428"/>
    <x v="5"/>
    <s v="01/26/2026 08:08"/>
    <s v="01/26/2026 13:14"/>
    <x v="4"/>
    <s v="Toner Replenishment"/>
    <s v="Medium"/>
    <x v="9"/>
    <x v="5"/>
    <n v="5.0999999999999996"/>
    <n v="8"/>
    <s v="Yes"/>
    <n v="5"/>
    <s v="No"/>
    <s v="Closed"/>
    <s v="Fixed"/>
    <x v="0"/>
    <x v="0"/>
    <s v="Match "/>
    <x v="0"/>
    <m/>
    <s v="Valid"/>
    <s v="Supplies &amp; Logistics"/>
    <s v="Valid"/>
  </r>
  <r>
    <s v="TKT000429"/>
    <x v="4"/>
    <s v="03/06/2026 12:32"/>
    <s v="03/07/2026 04:20"/>
    <x v="0"/>
    <s v="Network Dropouts"/>
    <s v="Medium"/>
    <x v="8"/>
    <x v="0"/>
    <n v="15.8"/>
    <n v="8"/>
    <s v="No"/>
    <n v="3"/>
    <s v="No"/>
    <s v="Closed"/>
    <s v="Escalated"/>
    <x v="2"/>
    <x v="1"/>
    <s v="Match "/>
    <x v="1"/>
    <m/>
    <s v="Valid"/>
    <s v="Connectivity &amp; Software"/>
    <s v="Valid"/>
  </r>
  <r>
    <s v="TKT000430"/>
    <x v="3"/>
    <s v="03/21/2026 15:26"/>
    <s v="03/22/2026 05:20"/>
    <x v="0"/>
    <s v="Driver &amp; Setup"/>
    <s v="High"/>
    <x v="3"/>
    <x v="0"/>
    <n v="13.9"/>
    <n v="4"/>
    <s v="No"/>
    <n v="2"/>
    <s v="Yes"/>
    <s v="Closed"/>
    <s v="Pending"/>
    <x v="0"/>
    <x v="1"/>
    <s v="Match "/>
    <x v="1"/>
    <m/>
    <s v="Valid"/>
    <s v="Connectivity &amp; Software"/>
    <s v="Valid"/>
  </r>
  <r>
    <s v="TKT000431"/>
    <x v="6"/>
    <s v="02/06/2026 13:21"/>
    <s v="02/07/2026 07:39"/>
    <x v="3"/>
    <s v="Paper Jam"/>
    <s v="Medium"/>
    <x v="7"/>
    <x v="4"/>
    <n v="18.3"/>
    <n v="8"/>
    <s v="No"/>
    <n v="2"/>
    <s v="Yes"/>
    <s v="Closed"/>
    <s v="Pending"/>
    <x v="2"/>
    <x v="1"/>
    <s v="Match "/>
    <x v="1"/>
    <m/>
    <s v="Valid"/>
    <s v="Hardware &amp; Mechanical"/>
    <s v="Valid"/>
  </r>
  <r>
    <s v="TKT000432"/>
    <x v="6"/>
    <s v="02/19/2026 08:44"/>
    <s v="02/19/2026 18:56"/>
    <x v="0"/>
    <s v="Scan-to-Email"/>
    <s v="Medium"/>
    <x v="8"/>
    <x v="0"/>
    <n v="10.199999999999999"/>
    <n v="8"/>
    <s v="No"/>
    <n v="3"/>
    <s v="No"/>
    <s v="Closed"/>
    <s v="Escalated"/>
    <x v="2"/>
    <x v="1"/>
    <s v="Match "/>
    <x v="1"/>
    <m/>
    <s v="Valid"/>
    <s v="Connectivity &amp; Software"/>
    <s v="Valid"/>
  </r>
  <r>
    <s v="TKT000433"/>
    <x v="7"/>
    <s v="01/15/2026 10:48"/>
    <s v="01/15/2026 22:00"/>
    <x v="3"/>
    <s v="Parts Wear"/>
    <s v="Medium"/>
    <x v="3"/>
    <x v="1"/>
    <n v="11.2"/>
    <n v="8"/>
    <s v="No"/>
    <n v="1"/>
    <s v="No"/>
    <s v="Closed"/>
    <s v="Escalated"/>
    <x v="2"/>
    <x v="1"/>
    <s v="Match "/>
    <x v="1"/>
    <m/>
    <s v="Valid"/>
    <s v="Hardware &amp; Mechanical"/>
    <s v="Valid"/>
  </r>
  <r>
    <s v="TKT000434"/>
    <x v="7"/>
    <s v="01/18/2026 12:11"/>
    <s v="01/19/2026 09:47"/>
    <x v="3"/>
    <s v="Parts Wear"/>
    <s v="Medium"/>
    <x v="6"/>
    <x v="1"/>
    <n v="21.6"/>
    <n v="8"/>
    <s v="No"/>
    <n v="2"/>
    <s v="Yes"/>
    <s v="Closed"/>
    <s v="Pending"/>
    <x v="3"/>
    <x v="1"/>
    <s v="Match "/>
    <x v="1"/>
    <m/>
    <s v="Valid"/>
    <s v="Hardware &amp; Mechanical"/>
    <s v="Valid"/>
  </r>
  <r>
    <s v="TKT000435"/>
    <x v="9"/>
    <s v="02/10/2026 17:05"/>
    <s v="02/11/2026 01:35"/>
    <x v="0"/>
    <s v="Scan-to-Email"/>
    <s v="Medium"/>
    <x v="4"/>
    <x v="0"/>
    <n v="8.5"/>
    <n v="8"/>
    <s v="No"/>
    <n v="3"/>
    <s v="No"/>
    <s v="Closed"/>
    <s v="Escalated"/>
    <x v="0"/>
    <x v="1"/>
    <s v="Match "/>
    <x v="1"/>
    <m/>
    <s v="Valid"/>
    <s v="Connectivity &amp; Software"/>
    <s v="Valid"/>
  </r>
  <r>
    <s v="TKT000436"/>
    <x v="3"/>
    <s v="01/04/2026 10:31"/>
    <s v="01/04/2026 22:19"/>
    <x v="3"/>
    <s v="Parts Wear"/>
    <s v="Low"/>
    <x v="5"/>
    <x v="1"/>
    <n v="11.8"/>
    <n v="24"/>
    <s v="Yes"/>
    <n v="4"/>
    <s v="No"/>
    <s v="Closed"/>
    <s v="Fixed"/>
    <x v="2"/>
    <x v="0"/>
    <s v="Match "/>
    <x v="0"/>
    <m/>
    <s v="Valid"/>
    <s v="Hardware &amp; Mechanical"/>
    <s v="Valid"/>
  </r>
  <r>
    <s v="TKT000437"/>
    <x v="6"/>
    <s v="02/20/2026 08:41"/>
    <s v="02/20/2026 18:59"/>
    <x v="3"/>
    <s v="Device Errors"/>
    <s v="Low"/>
    <x v="1"/>
    <x v="4"/>
    <n v="10.3"/>
    <n v="24"/>
    <s v="Yes"/>
    <n v="5"/>
    <s v="No"/>
    <s v="Closed"/>
    <s v="Fixed"/>
    <x v="3"/>
    <x v="0"/>
    <s v="Match "/>
    <x v="0"/>
    <m/>
    <s v="Valid"/>
    <s v="Hardware &amp; Mechanical"/>
    <s v="Valid"/>
  </r>
  <r>
    <s v="TKT000438"/>
    <x v="3"/>
    <s v="03/20/2026 09:18"/>
    <s v="03/20/2026 16:06"/>
    <x v="1"/>
    <s v="Finishing Errors"/>
    <s v="Medium"/>
    <x v="7"/>
    <x v="1"/>
    <n v="6.8"/>
    <n v="8"/>
    <s v="Yes"/>
    <n v="4"/>
    <s v="No"/>
    <s v="Closed"/>
    <s v="Fixed"/>
    <x v="1"/>
    <x v="0"/>
    <s v="Match "/>
    <x v="0"/>
    <m/>
    <s v="Valid"/>
    <s v="Print Quality"/>
    <s v="Valid"/>
  </r>
  <r>
    <s v="TKT000439"/>
    <x v="1"/>
    <s v="03/22/2026 11:58"/>
    <s v="03/22/2026 18:46"/>
    <x v="0"/>
    <s v="Scan-to-Email"/>
    <s v="Low"/>
    <x v="8"/>
    <x v="0"/>
    <n v="6.8"/>
    <n v="24"/>
    <s v="Yes"/>
    <n v="4"/>
    <s v="No"/>
    <s v="Closed"/>
    <s v="Fixed"/>
    <x v="2"/>
    <x v="0"/>
    <s v="Match "/>
    <x v="0"/>
    <m/>
    <s v="Valid"/>
    <s v="Connectivity &amp; Software"/>
    <s v="Valid"/>
  </r>
  <r>
    <s v="TKT000440"/>
    <x v="1"/>
    <s v="01/09/2026 16:16"/>
    <s v="01/10/2026 03:28"/>
    <x v="0"/>
    <s v="Driver &amp; Setup"/>
    <s v="Medium"/>
    <x v="3"/>
    <x v="0"/>
    <n v="11.2"/>
    <n v="8"/>
    <s v="No"/>
    <n v="2"/>
    <s v="Yes"/>
    <s v="Closed"/>
    <s v="Escalated"/>
    <x v="3"/>
    <x v="1"/>
    <s v="Match "/>
    <x v="1"/>
    <m/>
    <s v="Valid"/>
    <s v="Connectivity &amp; Software"/>
    <s v="Valid"/>
  </r>
  <r>
    <s v="TKT000441"/>
    <x v="3"/>
    <s v="03/27/2026 09:45"/>
    <s v="03/27/2026 16:21"/>
    <x v="4"/>
    <s v="Paper Supply"/>
    <s v="High"/>
    <x v="1"/>
    <x v="5"/>
    <n v="6.6"/>
    <n v="4"/>
    <s v="No"/>
    <n v="1"/>
    <s v="Yes"/>
    <s v="Closed"/>
    <s v="Escalated"/>
    <x v="1"/>
    <x v="1"/>
    <s v="Match "/>
    <x v="1"/>
    <m/>
    <s v="Valid"/>
    <s v="Supplies &amp; Logistics"/>
    <s v="Valid"/>
  </r>
  <r>
    <s v="TKT000442"/>
    <x v="1"/>
    <s v="02/04/2026 15:45"/>
    <s v="02/04/2026 20:27"/>
    <x v="2"/>
    <s v="Lease Terms"/>
    <s v="High"/>
    <x v="5"/>
    <x v="2"/>
    <n v="4.7"/>
    <n v="4"/>
    <s v="No"/>
    <n v="3"/>
    <s v="Yes"/>
    <s v="Closed"/>
    <s v="Escalated"/>
    <x v="1"/>
    <x v="1"/>
    <s v="Match "/>
    <x v="1"/>
    <m/>
    <s v="Valid"/>
    <s v="Contract &amp; Billing"/>
    <s v="Valid"/>
  </r>
  <r>
    <s v="TKT000443"/>
    <x v="1"/>
    <s v="01/15/2026 13:17"/>
    <s v="01/16/2026 00:23"/>
    <x v="0"/>
    <s v="Driver &amp; Setup"/>
    <s v="Medium"/>
    <x v="7"/>
    <x v="0"/>
    <n v="11.1"/>
    <n v="8"/>
    <s v="No"/>
    <n v="2"/>
    <s v="No"/>
    <s v="Closed"/>
    <s v="Escalated"/>
    <x v="1"/>
    <x v="1"/>
    <s v="Match "/>
    <x v="1"/>
    <m/>
    <s v="Valid"/>
    <s v="Connectivity &amp; Software"/>
    <s v="Valid"/>
  </r>
  <r>
    <s v="TKT000444"/>
    <x v="4"/>
    <s v="02/20/2026 10:09"/>
    <s v="02/21/2026 08:27"/>
    <x v="3"/>
    <s v="Paper Jam"/>
    <s v="Medium"/>
    <x v="6"/>
    <x v="4"/>
    <n v="22.3"/>
    <n v="8"/>
    <s v="No"/>
    <n v="1"/>
    <s v="Yes"/>
    <s v="Closed"/>
    <s v="Escalated"/>
    <x v="2"/>
    <x v="1"/>
    <s v="Match "/>
    <x v="1"/>
    <m/>
    <s v="Valid"/>
    <s v="Hardware &amp; Mechanical"/>
    <s v="Valid"/>
  </r>
  <r>
    <s v="TKT000445"/>
    <x v="9"/>
    <s v="03/17/2026 11:59"/>
    <s v="03/17/2026 21:17"/>
    <x v="3"/>
    <s v="Parts Wear"/>
    <s v="Medium"/>
    <x v="9"/>
    <x v="1"/>
    <n v="9.3000000000000007"/>
    <n v="8"/>
    <s v="No"/>
    <n v="1"/>
    <s v="No"/>
    <s v="Closed"/>
    <s v="Escalated"/>
    <x v="1"/>
    <x v="1"/>
    <s v="Match "/>
    <x v="1"/>
    <m/>
    <s v="Valid"/>
    <s v="Hardware &amp; Mechanical"/>
    <s v="Valid"/>
  </r>
  <r>
    <s v="TKT000446"/>
    <x v="1"/>
    <s v="03/13/2026 12:09"/>
    <s v="03/14/2026 00:27"/>
    <x v="1"/>
    <s v="Defective Prints"/>
    <s v="Medium"/>
    <x v="0"/>
    <x v="3"/>
    <n v="12.3"/>
    <n v="8"/>
    <s v="No"/>
    <n v="3"/>
    <s v="No"/>
    <s v="Closed"/>
    <s v="Escalated"/>
    <x v="2"/>
    <x v="1"/>
    <s v="Match "/>
    <x v="1"/>
    <m/>
    <s v="Valid"/>
    <s v="Print Quality"/>
    <s v="Valid"/>
  </r>
  <r>
    <s v="TKT000447"/>
    <x v="6"/>
    <s v="01/14/2026 13:53"/>
    <s v="01/15/2026 02:35"/>
    <x v="3"/>
    <s v="Paper Jam"/>
    <s v="High"/>
    <x v="4"/>
    <x v="4"/>
    <n v="12.7"/>
    <n v="4"/>
    <s v="No"/>
    <n v="2"/>
    <s v="No"/>
    <s v="Closed"/>
    <s v="Pending"/>
    <x v="3"/>
    <x v="1"/>
    <s v="Match "/>
    <x v="1"/>
    <m/>
    <s v="Valid"/>
    <s v="Hardware &amp; Mechanical"/>
    <s v="Valid"/>
  </r>
  <r>
    <s v="TKT000448"/>
    <x v="6"/>
    <s v="01/11/2026 16:27"/>
    <s v="01/12/2026 12:51"/>
    <x v="3"/>
    <s v="Device Errors"/>
    <s v="High"/>
    <x v="7"/>
    <x v="4"/>
    <n v="20.399999999999999"/>
    <n v="4"/>
    <s v="No"/>
    <n v="1"/>
    <s v="Yes"/>
    <s v="Closed"/>
    <s v="Escalated"/>
    <x v="1"/>
    <x v="1"/>
    <s v="Match "/>
    <x v="1"/>
    <m/>
    <s v="Valid"/>
    <s v="Hardware &amp; Mechanical"/>
    <s v="Valid"/>
  </r>
  <r>
    <s v="TKT000449"/>
    <x v="5"/>
    <s v="03/14/2026 09:47"/>
    <s v="03/14/2026 18:23"/>
    <x v="1"/>
    <s v="Color Calibration"/>
    <s v="Medium"/>
    <x v="5"/>
    <x v="3"/>
    <n v="8.6"/>
    <n v="8"/>
    <s v="No"/>
    <n v="1"/>
    <s v="No"/>
    <s v="Closed"/>
    <s v="Escalated"/>
    <x v="0"/>
    <x v="1"/>
    <s v="Match "/>
    <x v="1"/>
    <m/>
    <s v="Valid"/>
    <s v="Print Quality"/>
    <s v="Valid"/>
  </r>
  <r>
    <s v="TKT000450"/>
    <x v="8"/>
    <s v="03/08/2026 08:55"/>
    <s v="03/08/2026 17:07"/>
    <x v="0"/>
    <s v="Scan-to-Email"/>
    <s v="Medium"/>
    <x v="2"/>
    <x v="0"/>
    <n v="8.1999999999999993"/>
    <n v="8"/>
    <s v="No"/>
    <n v="1"/>
    <s v="No"/>
    <s v="Closed"/>
    <s v="Escalated"/>
    <x v="3"/>
    <x v="1"/>
    <s v="Match "/>
    <x v="1"/>
    <m/>
    <s v="Valid"/>
    <s v="Connectivity &amp; Software"/>
    <s v="Valid"/>
  </r>
  <r>
    <s v="TKT000451"/>
    <x v="3"/>
    <s v="01/23/2026 12:00"/>
    <s v="01/23/2026 18:18"/>
    <x v="1"/>
    <s v="Defective Prints"/>
    <s v="Low"/>
    <x v="1"/>
    <x v="3"/>
    <n v="6.3"/>
    <n v="24"/>
    <s v="Yes"/>
    <n v="5"/>
    <s v="No"/>
    <s v="Closed"/>
    <s v="Fixed"/>
    <x v="0"/>
    <x v="0"/>
    <s v="Match "/>
    <x v="0"/>
    <m/>
    <s v="Valid"/>
    <s v="Print Quality"/>
    <s v="Valid"/>
  </r>
  <r>
    <s v="TKT000452"/>
    <x v="3"/>
    <s v="02/16/2026 08:02"/>
    <s v="02/17/2026 04:08"/>
    <x v="3"/>
    <s v="Parts Wear"/>
    <s v="Medium"/>
    <x v="0"/>
    <x v="1"/>
    <n v="20.100000000000001"/>
    <n v="8"/>
    <s v="No"/>
    <n v="3"/>
    <s v="No"/>
    <s v="Closed"/>
    <s v="Pending"/>
    <x v="3"/>
    <x v="1"/>
    <s v="Match "/>
    <x v="1"/>
    <m/>
    <s v="Valid"/>
    <s v="Hardware &amp; Mechanical"/>
    <s v="Valid"/>
  </r>
  <r>
    <s v="TKT000453"/>
    <x v="3"/>
    <s v="02/27/2026 11:50"/>
    <s v="02/27/2026 18:56"/>
    <x v="3"/>
    <s v="Device Errors"/>
    <s v="Medium"/>
    <x v="4"/>
    <x v="4"/>
    <n v="7.1"/>
    <n v="8"/>
    <s v="Yes"/>
    <n v="5"/>
    <s v="No"/>
    <s v="Closed"/>
    <s v="Fixed"/>
    <x v="3"/>
    <x v="0"/>
    <s v="Match "/>
    <x v="0"/>
    <m/>
    <s v="Valid"/>
    <s v="Hardware &amp; Mechanical"/>
    <s v="Valid"/>
  </r>
  <r>
    <s v="TKT000454"/>
    <x v="1"/>
    <s v="01/26/2026 14:49"/>
    <s v="01/27/2026 03:25"/>
    <x v="3"/>
    <s v="Parts Wear"/>
    <s v="Medium"/>
    <x v="3"/>
    <x v="1"/>
    <n v="12.6"/>
    <n v="8"/>
    <s v="No"/>
    <n v="1"/>
    <s v="No"/>
    <s v="Closed"/>
    <s v="Pending"/>
    <x v="3"/>
    <x v="1"/>
    <s v="Match "/>
    <x v="1"/>
    <m/>
    <s v="Valid"/>
    <s v="Hardware &amp; Mechanical"/>
    <s v="Valid"/>
  </r>
  <r>
    <s v="TKT000455"/>
    <x v="9"/>
    <s v="03/09/2026 11:07"/>
    <s v="03/10/2026 01:13"/>
    <x v="0"/>
    <s v="Scan-to-Email"/>
    <s v="Medium"/>
    <x v="7"/>
    <x v="0"/>
    <n v="14.1"/>
    <n v="8"/>
    <s v="No"/>
    <n v="1"/>
    <s v="No"/>
    <s v="Closed"/>
    <s v="Pending"/>
    <x v="0"/>
    <x v="1"/>
    <s v="Match "/>
    <x v="1"/>
    <m/>
    <s v="Valid"/>
    <s v="Connectivity &amp; Software"/>
    <s v="Valid"/>
  </r>
  <r>
    <s v="TKT000456"/>
    <x v="9"/>
    <s v="01/01/2026 13:24"/>
    <s v="01/01/2026 20:42"/>
    <x v="1"/>
    <s v="Color Calibration"/>
    <s v="Low"/>
    <x v="2"/>
    <x v="3"/>
    <n v="7.3"/>
    <n v="24"/>
    <s v="Yes"/>
    <n v="4"/>
    <s v="No"/>
    <s v="Closed"/>
    <s v="Fixed"/>
    <x v="2"/>
    <x v="0"/>
    <s v="Match "/>
    <x v="0"/>
    <m/>
    <s v="Valid"/>
    <s v="Print Quality"/>
    <s v="Valid"/>
  </r>
  <r>
    <s v="TKT000457"/>
    <x v="4"/>
    <s v="01/09/2026 09:11"/>
    <s v="01/10/2026 04:29"/>
    <x v="3"/>
    <s v="Parts Wear"/>
    <s v="High"/>
    <x v="8"/>
    <x v="1"/>
    <n v="19.3"/>
    <n v="4"/>
    <s v="No"/>
    <n v="3"/>
    <s v="No"/>
    <s v="Closed"/>
    <s v="Escalated"/>
    <x v="1"/>
    <x v="1"/>
    <s v="Match "/>
    <x v="1"/>
    <m/>
    <s v="Valid"/>
    <s v="Hardware &amp; Mechanical"/>
    <s v="Valid"/>
  </r>
  <r>
    <s v="TKT000458"/>
    <x v="4"/>
    <s v="01/19/2026 08:36"/>
    <s v="01/19/2026 18:30"/>
    <x v="0"/>
    <s v="Driver &amp; Setup"/>
    <s v="Low"/>
    <x v="2"/>
    <x v="0"/>
    <n v="9.9"/>
    <n v="24"/>
    <s v="No"/>
    <n v="3"/>
    <s v="Yes"/>
    <s v="Closed"/>
    <s v="Pending"/>
    <x v="1"/>
    <x v="0"/>
    <s v="Mismatch"/>
    <x v="0"/>
    <m/>
    <s v="Valid"/>
    <s v="Connectivity &amp; Software"/>
    <s v="Valid"/>
  </r>
  <r>
    <s v="TKT000459"/>
    <x v="3"/>
    <s v="02/27/2026 13:13"/>
    <s v="02/27/2026 22:43"/>
    <x v="0"/>
    <s v="Network Dropouts"/>
    <s v="High"/>
    <x v="3"/>
    <x v="0"/>
    <n v="9.5"/>
    <n v="4"/>
    <s v="No"/>
    <n v="2"/>
    <s v="Yes"/>
    <s v="Closed"/>
    <s v="Pending"/>
    <x v="1"/>
    <x v="1"/>
    <s v="Match "/>
    <x v="1"/>
    <m/>
    <s v="Valid"/>
    <s v="Connectivity &amp; Software"/>
    <s v="Valid"/>
  </r>
  <r>
    <s v="TKT000460"/>
    <x v="9"/>
    <s v="02/19/2026 16:24"/>
    <s v="02/19/2026 21:18"/>
    <x v="1"/>
    <s v="Defective Prints"/>
    <s v="High"/>
    <x v="5"/>
    <x v="3"/>
    <n v="4.9000000000000004"/>
    <n v="4"/>
    <s v="No"/>
    <n v="2"/>
    <s v="Yes"/>
    <s v="Closed"/>
    <s v="Escalated"/>
    <x v="2"/>
    <x v="1"/>
    <s v="Match "/>
    <x v="1"/>
    <m/>
    <s v="Valid"/>
    <s v="Print Quality"/>
    <s v="Valid"/>
  </r>
  <r>
    <s v="TKT000461"/>
    <x v="9"/>
    <s v="03/05/2026 16:22"/>
    <s v="03/06/2026 07:22"/>
    <x v="0"/>
    <s v="Driver &amp; Setup"/>
    <s v="Low"/>
    <x v="9"/>
    <x v="0"/>
    <n v="15"/>
    <n v="24"/>
    <s v="Yes"/>
    <n v="4"/>
    <s v="No"/>
    <s v="Closed"/>
    <s v="Fixed"/>
    <x v="2"/>
    <x v="0"/>
    <s v="Match "/>
    <x v="0"/>
    <m/>
    <s v="Valid"/>
    <s v="Connectivity &amp; Software"/>
    <s v="Valid"/>
  </r>
  <r>
    <s v="TKT000462"/>
    <x v="6"/>
    <s v="03/05/2026 12:16"/>
    <s v="03/05/2026 19:40"/>
    <x v="0"/>
    <s v="Driver &amp; Setup"/>
    <s v="Medium"/>
    <x v="1"/>
    <x v="0"/>
    <n v="7.4"/>
    <n v="8"/>
    <s v="Yes"/>
    <n v="4"/>
    <s v="No"/>
    <s v="Closed"/>
    <s v="Fixed"/>
    <x v="3"/>
    <x v="0"/>
    <s v="Match "/>
    <x v="0"/>
    <m/>
    <s v="Valid"/>
    <s v="Connectivity &amp; Software"/>
    <s v="Valid"/>
  </r>
  <r>
    <s v="TKT000463"/>
    <x v="2"/>
    <s v="02/27/2026 09:06"/>
    <s v="02/27/2026 20:48"/>
    <x v="1"/>
    <s v="Color Calibration"/>
    <s v="Medium"/>
    <x v="3"/>
    <x v="3"/>
    <n v="11.7"/>
    <n v="8"/>
    <s v="No"/>
    <n v="3"/>
    <s v="Yes"/>
    <s v="Closed"/>
    <s v="Pending"/>
    <x v="3"/>
    <x v="1"/>
    <s v="Match "/>
    <x v="1"/>
    <m/>
    <s v="Valid"/>
    <s v="Print Quality"/>
    <s v="Valid"/>
  </r>
  <r>
    <s v="TKT000464"/>
    <x v="1"/>
    <s v="01/05/2026 15:49"/>
    <s v="01/05/2026 17:49"/>
    <x v="2"/>
    <s v="Relocation Requests"/>
    <s v="Low"/>
    <x v="1"/>
    <x v="2"/>
    <n v="2"/>
    <n v="24"/>
    <s v="Yes"/>
    <n v="5"/>
    <s v="No"/>
    <s v="Closed"/>
    <s v="Fixed"/>
    <x v="3"/>
    <x v="0"/>
    <s v="Match "/>
    <x v="0"/>
    <m/>
    <s v="Valid"/>
    <s v="Contract &amp; Billing"/>
    <s v="Valid"/>
  </r>
  <r>
    <s v="TKT000465"/>
    <x v="1"/>
    <s v="02/13/2026 11:36"/>
    <s v="02/13/2026 20:18"/>
    <x v="4"/>
    <s v="Toner Replenishment"/>
    <s v="Medium"/>
    <x v="8"/>
    <x v="5"/>
    <n v="8.6999999999999993"/>
    <n v="8"/>
    <s v="No"/>
    <n v="2"/>
    <s v="Yes"/>
    <s v="Closed"/>
    <s v="Escalated"/>
    <x v="2"/>
    <x v="1"/>
    <s v="Match "/>
    <x v="1"/>
    <m/>
    <s v="Valid"/>
    <s v="Supplies &amp; Logistics"/>
    <s v="Valid"/>
  </r>
  <r>
    <s v="TKT000466"/>
    <x v="6"/>
    <s v="03/16/2026 13:23"/>
    <s v="03/17/2026 04:59"/>
    <x v="1"/>
    <s v="Defective Prints"/>
    <s v="Low"/>
    <x v="0"/>
    <x v="3"/>
    <n v="15.6"/>
    <n v="24"/>
    <s v="No"/>
    <n v="2"/>
    <s v="No"/>
    <s v="Closed"/>
    <s v="Escalated"/>
    <x v="1"/>
    <x v="0"/>
    <s v="Mismatch"/>
    <x v="0"/>
    <m/>
    <s v="Valid"/>
    <s v="Print Quality"/>
    <s v="Valid"/>
  </r>
  <r>
    <s v="TKT000467"/>
    <x v="9"/>
    <s v="01/05/2026 09:52"/>
    <s v="01/05/2026 21:04"/>
    <x v="0"/>
    <s v="Driver &amp; Setup"/>
    <s v="Low"/>
    <x v="5"/>
    <x v="0"/>
    <n v="11.2"/>
    <n v="24"/>
    <s v="Yes"/>
    <n v="5"/>
    <s v="No"/>
    <s v="Closed"/>
    <s v="Fixed"/>
    <x v="2"/>
    <x v="0"/>
    <s v="Match "/>
    <x v="0"/>
    <m/>
    <s v="Valid"/>
    <s v="Connectivity &amp; Software"/>
    <s v="Valid"/>
  </r>
  <r>
    <s v="TKT000468"/>
    <x v="1"/>
    <s v="02/28/2026 17:37"/>
    <s v="03/01/2026 01:49"/>
    <x v="0"/>
    <s v="Scan-to-Email"/>
    <s v="Low"/>
    <x v="7"/>
    <x v="0"/>
    <n v="8.1999999999999993"/>
    <n v="24"/>
    <s v="Yes"/>
    <n v="5"/>
    <s v="No"/>
    <s v="Closed"/>
    <s v="Fixed"/>
    <x v="3"/>
    <x v="0"/>
    <s v="Match "/>
    <x v="0"/>
    <m/>
    <s v="Valid"/>
    <s v="Connectivity &amp; Software"/>
    <s v="Valid"/>
  </r>
  <r>
    <s v="TKT000469"/>
    <x v="6"/>
    <s v="03/09/2026 17:58"/>
    <s v="03/10/2026 06:04"/>
    <x v="0"/>
    <s v="Network Dropouts"/>
    <s v="Medium"/>
    <x v="6"/>
    <x v="0"/>
    <n v="12.1"/>
    <n v="8"/>
    <s v="No"/>
    <n v="3"/>
    <s v="No"/>
    <s v="Closed"/>
    <s v="Pending"/>
    <x v="2"/>
    <x v="1"/>
    <s v="Match "/>
    <x v="1"/>
    <m/>
    <s v="Valid"/>
    <s v="Connectivity &amp; Software"/>
    <s v="Valid"/>
  </r>
  <r>
    <s v="TKT000470"/>
    <x v="8"/>
    <s v="03/28/2026 15:50"/>
    <s v="03/29/2026 06:38"/>
    <x v="3"/>
    <s v="Paper Jam"/>
    <s v="Low"/>
    <x v="2"/>
    <x v="4"/>
    <n v="14.8"/>
    <n v="24"/>
    <s v="Yes"/>
    <n v="4"/>
    <s v="No"/>
    <s v="Closed"/>
    <s v="Fixed"/>
    <x v="3"/>
    <x v="0"/>
    <s v="Match "/>
    <x v="0"/>
    <m/>
    <s v="Valid"/>
    <s v="Hardware &amp; Mechanical"/>
    <s v="Valid"/>
  </r>
  <r>
    <s v="TKT000471"/>
    <x v="1"/>
    <s v="02/27/2026 13:17"/>
    <s v="02/27/2026 20:35"/>
    <x v="4"/>
    <s v="Toner Replenishment"/>
    <s v="Low"/>
    <x v="3"/>
    <x v="5"/>
    <n v="7.3"/>
    <n v="24"/>
    <s v="Yes"/>
    <n v="4"/>
    <s v="No"/>
    <s v="Closed"/>
    <s v="Fixed"/>
    <x v="0"/>
    <x v="0"/>
    <s v="Match "/>
    <x v="0"/>
    <m/>
    <s v="Valid"/>
    <s v="Supplies &amp; Logistics"/>
    <s v="Valid"/>
  </r>
  <r>
    <s v="TKT000472"/>
    <x v="6"/>
    <s v="01/26/2026 16:34"/>
    <s v="01/27/2026 06:34"/>
    <x v="3"/>
    <s v="Paper Jam"/>
    <s v="Medium"/>
    <x v="9"/>
    <x v="4"/>
    <n v="14"/>
    <n v="8"/>
    <s v="No"/>
    <n v="3"/>
    <s v="No"/>
    <s v="Closed"/>
    <s v="Escalated"/>
    <x v="1"/>
    <x v="1"/>
    <s v="Match "/>
    <x v="1"/>
    <m/>
    <s v="Valid"/>
    <s v="Hardware &amp; Mechanical"/>
    <s v="Valid"/>
  </r>
  <r>
    <s v="TKT000473"/>
    <x v="8"/>
    <s v="03/23/2026 16:54"/>
    <s v="03/24/2026 02:30"/>
    <x v="1"/>
    <s v="Defective Prints"/>
    <s v="Medium"/>
    <x v="7"/>
    <x v="3"/>
    <n v="9.6"/>
    <n v="8"/>
    <s v="No"/>
    <n v="1"/>
    <s v="No"/>
    <s v="Closed"/>
    <s v="Pending"/>
    <x v="1"/>
    <x v="1"/>
    <s v="Match "/>
    <x v="1"/>
    <m/>
    <s v="Valid"/>
    <s v="Print Quality"/>
    <s v="Valid"/>
  </r>
  <r>
    <s v="TKT000474"/>
    <x v="0"/>
    <s v="03/08/2026 09:07"/>
    <s v="03/09/2026 05:55"/>
    <x v="0"/>
    <s v="Scan-to-Email"/>
    <s v="Medium"/>
    <x v="0"/>
    <x v="0"/>
    <n v="20.8"/>
    <n v="8"/>
    <s v="No"/>
    <n v="1"/>
    <s v="Yes"/>
    <s v="Closed"/>
    <s v="Pending"/>
    <x v="3"/>
    <x v="1"/>
    <s v="Match "/>
    <x v="1"/>
    <m/>
    <s v="Valid"/>
    <s v="Connectivity &amp; Software"/>
    <s v="Valid"/>
  </r>
  <r>
    <s v="TKT000475"/>
    <x v="0"/>
    <s v="02/19/2026 17:39"/>
    <s v="02/20/2026 03:45"/>
    <x v="3"/>
    <s v="Paper Jam"/>
    <s v="High"/>
    <x v="3"/>
    <x v="4"/>
    <n v="10.1"/>
    <n v="4"/>
    <s v="No"/>
    <n v="3"/>
    <s v="No"/>
    <s v="Closed"/>
    <s v="Pending"/>
    <x v="3"/>
    <x v="1"/>
    <s v="Match "/>
    <x v="1"/>
    <m/>
    <s v="Valid"/>
    <s v="Hardware &amp; Mechanical"/>
    <s v="Valid"/>
  </r>
  <r>
    <s v="TKT000476"/>
    <x v="1"/>
    <s v="02/26/2026 11:47"/>
    <s v="02/27/2026 01:35"/>
    <x v="3"/>
    <s v="Device Errors"/>
    <s v="Low"/>
    <x v="5"/>
    <x v="4"/>
    <n v="13.8"/>
    <n v="24"/>
    <s v="Yes"/>
    <n v="4"/>
    <s v="No"/>
    <s v="Closed"/>
    <s v="Fixed"/>
    <x v="2"/>
    <x v="0"/>
    <s v="Match "/>
    <x v="0"/>
    <m/>
    <s v="Valid"/>
    <s v="Hardware &amp; Mechanical"/>
    <s v="Valid"/>
  </r>
  <r>
    <s v="TKT000477"/>
    <x v="8"/>
    <s v="01/25/2026 17:58"/>
    <s v="01/26/2026 16:10"/>
    <x v="3"/>
    <s v="Paper Jam"/>
    <s v="Medium"/>
    <x v="7"/>
    <x v="4"/>
    <n v="22.2"/>
    <n v="8"/>
    <s v="No"/>
    <n v="2"/>
    <s v="No"/>
    <s v="Closed"/>
    <s v="Pending"/>
    <x v="0"/>
    <x v="1"/>
    <s v="Match "/>
    <x v="1"/>
    <m/>
    <s v="Valid"/>
    <s v="Hardware &amp; Mechanical"/>
    <s v="Valid"/>
  </r>
  <r>
    <s v="TKT000478"/>
    <x v="7"/>
    <s v="03/07/2026 14:00"/>
    <s v="03/08/2026 00:48"/>
    <x v="1"/>
    <s v="Color Calibration"/>
    <s v="Medium"/>
    <x v="1"/>
    <x v="3"/>
    <n v="10.8"/>
    <n v="8"/>
    <s v="No"/>
    <n v="3"/>
    <s v="No"/>
    <s v="Closed"/>
    <s v="Escalated"/>
    <x v="1"/>
    <x v="1"/>
    <s v="Match "/>
    <x v="1"/>
    <m/>
    <s v="Valid"/>
    <s v="Print Quality"/>
    <s v="Valid"/>
  </r>
  <r>
    <s v="TKT000479"/>
    <x v="0"/>
    <s v="03/22/2026 08:18"/>
    <s v="03/22/2026 11:18"/>
    <x v="2"/>
    <s v="Relocation Requests"/>
    <s v="High"/>
    <x v="7"/>
    <x v="2"/>
    <n v="3"/>
    <n v="4"/>
    <s v="Yes"/>
    <n v="5"/>
    <s v="No"/>
    <s v="Closed"/>
    <s v="Fixed"/>
    <x v="3"/>
    <x v="0"/>
    <s v="Match "/>
    <x v="0"/>
    <m/>
    <s v="Valid"/>
    <s v="Contract &amp; Billing"/>
    <s v="Valid"/>
  </r>
  <r>
    <s v="TKT000480"/>
    <x v="6"/>
    <s v="03/22/2026 15:23"/>
    <s v="03/22/2026 23:29"/>
    <x v="3"/>
    <s v="Paper Jam"/>
    <s v="Low"/>
    <x v="2"/>
    <x v="4"/>
    <n v="8.1"/>
    <n v="24"/>
    <s v="Yes"/>
    <n v="4"/>
    <s v="No"/>
    <s v="Closed"/>
    <s v="Fixed"/>
    <x v="1"/>
    <x v="0"/>
    <s v="Match "/>
    <x v="0"/>
    <m/>
    <s v="Valid"/>
    <s v="Hardware &amp; Mechanical"/>
    <s v="Valid"/>
  </r>
  <r>
    <s v="TKT000481"/>
    <x v="0"/>
    <s v="01/14/2026 10:49"/>
    <s v="01/15/2026 00:01"/>
    <x v="0"/>
    <s v="Scan-to-Email"/>
    <s v="Medium"/>
    <x v="8"/>
    <x v="0"/>
    <n v="13.2"/>
    <n v="8"/>
    <s v="No"/>
    <n v="3"/>
    <s v="Yes"/>
    <s v="Closed"/>
    <s v="Pending"/>
    <x v="1"/>
    <x v="1"/>
    <s v="Match "/>
    <x v="1"/>
    <m/>
    <s v="Valid"/>
    <s v="Connectivity &amp; Software"/>
    <s v="Valid"/>
  </r>
  <r>
    <s v="TKT000482"/>
    <x v="1"/>
    <s v="01/07/2026 14:56"/>
    <s v="01/07/2026 22:02"/>
    <x v="0"/>
    <s v="Scan-to-Email"/>
    <s v="High"/>
    <x v="5"/>
    <x v="0"/>
    <n v="7.1"/>
    <n v="4"/>
    <s v="No"/>
    <n v="3"/>
    <s v="Yes"/>
    <s v="Closed"/>
    <s v="Pending"/>
    <x v="3"/>
    <x v="1"/>
    <s v="Match "/>
    <x v="1"/>
    <m/>
    <s v="Valid"/>
    <s v="Connectivity &amp; Software"/>
    <s v="Valid"/>
  </r>
  <r>
    <s v="TKT000483"/>
    <x v="1"/>
    <s v="01/23/2026 14:24"/>
    <s v="01/23/2026 23:48"/>
    <x v="3"/>
    <s v="Paper Jam"/>
    <s v="High"/>
    <x v="2"/>
    <x v="4"/>
    <n v="9.4"/>
    <n v="4"/>
    <s v="No"/>
    <n v="3"/>
    <s v="Yes"/>
    <s v="Closed"/>
    <s v="Escalated"/>
    <x v="3"/>
    <x v="1"/>
    <s v="Match "/>
    <x v="1"/>
    <m/>
    <s v="Valid"/>
    <s v="Hardware &amp; Mechanical"/>
    <s v="Valid"/>
  </r>
  <r>
    <s v="TKT000484"/>
    <x v="1"/>
    <s v="01/21/2026 12:59"/>
    <s v="01/21/2026 22:47"/>
    <x v="3"/>
    <s v="Paper Jam"/>
    <s v="Medium"/>
    <x v="2"/>
    <x v="4"/>
    <n v="9.8000000000000007"/>
    <n v="8"/>
    <s v="No"/>
    <n v="3"/>
    <s v="Yes"/>
    <s v="Closed"/>
    <s v="Escalated"/>
    <x v="1"/>
    <x v="1"/>
    <s v="Match "/>
    <x v="1"/>
    <m/>
    <s v="Valid"/>
    <s v="Hardware &amp; Mechanical"/>
    <s v="Valid"/>
  </r>
  <r>
    <s v="TKT000485"/>
    <x v="9"/>
    <s v="01/24/2026 17:51"/>
    <s v="01/25/2026 09:15"/>
    <x v="3"/>
    <s v="Paper Jam"/>
    <s v="Low"/>
    <x v="6"/>
    <x v="4"/>
    <n v="15.4"/>
    <n v="24"/>
    <s v="Yes"/>
    <n v="4"/>
    <s v="No"/>
    <s v="Closed"/>
    <s v="Fixed"/>
    <x v="2"/>
    <x v="0"/>
    <s v="Match "/>
    <x v="0"/>
    <m/>
    <s v="Valid"/>
    <s v="Hardware &amp; Mechanical"/>
    <s v="Valid"/>
  </r>
  <r>
    <s v="TKT000486"/>
    <x v="8"/>
    <s v="03/03/2026 10:44"/>
    <s v="03/03/2026 21:20"/>
    <x v="3"/>
    <s v="Paper Jam"/>
    <s v="Low"/>
    <x v="6"/>
    <x v="4"/>
    <n v="10.6"/>
    <n v="24"/>
    <s v="Yes"/>
    <n v="4"/>
    <s v="No"/>
    <s v="Closed"/>
    <s v="Fixed"/>
    <x v="3"/>
    <x v="0"/>
    <s v="Match "/>
    <x v="0"/>
    <m/>
    <s v="Valid"/>
    <s v="Hardware &amp; Mechanical"/>
    <s v="Valid"/>
  </r>
  <r>
    <s v="TKT000487"/>
    <x v="0"/>
    <s v="03/05/2026 10:25"/>
    <s v="03/05/2026 13:37"/>
    <x v="4"/>
    <s v="Paper Supply"/>
    <s v="Medium"/>
    <x v="4"/>
    <x v="5"/>
    <n v="3.2"/>
    <n v="8"/>
    <s v="Yes"/>
    <n v="4"/>
    <s v="No"/>
    <s v="Closed"/>
    <s v="Fixed"/>
    <x v="3"/>
    <x v="0"/>
    <s v="Match "/>
    <x v="0"/>
    <m/>
    <s v="Valid"/>
    <s v="Supplies &amp; Logistics"/>
    <s v="Valid"/>
  </r>
  <r>
    <s v="TKT000488"/>
    <x v="2"/>
    <s v="03/25/2026 09:49"/>
    <s v="03/25/2026 18:31"/>
    <x v="3"/>
    <s v="Parts Wear"/>
    <s v="Medium"/>
    <x v="8"/>
    <x v="1"/>
    <n v="8.6999999999999993"/>
    <n v="8"/>
    <s v="No"/>
    <n v="1"/>
    <s v="No"/>
    <s v="Closed"/>
    <s v="Pending"/>
    <x v="1"/>
    <x v="1"/>
    <s v="Match "/>
    <x v="1"/>
    <m/>
    <s v="Valid"/>
    <s v="Hardware &amp; Mechanical"/>
    <s v="Valid"/>
  </r>
  <r>
    <s v="TKT000489"/>
    <x v="5"/>
    <s v="03/30/2026 11:31"/>
    <s v="03/30/2026 21:55"/>
    <x v="0"/>
    <s v="Driver &amp; Setup"/>
    <s v="Medium"/>
    <x v="2"/>
    <x v="0"/>
    <n v="10.4"/>
    <n v="8"/>
    <s v="No"/>
    <n v="3"/>
    <s v="No"/>
    <s v="Closed"/>
    <s v="Pending"/>
    <x v="3"/>
    <x v="1"/>
    <s v="Match "/>
    <x v="1"/>
    <m/>
    <s v="Valid"/>
    <s v="Connectivity &amp; Software"/>
    <s v="Valid"/>
  </r>
  <r>
    <s v="TKT000490"/>
    <x v="8"/>
    <s v="02/13/2026 08:31"/>
    <s v="02/13/2026 18:01"/>
    <x v="1"/>
    <s v="Finishing Errors"/>
    <s v="Medium"/>
    <x v="8"/>
    <x v="1"/>
    <n v="9.5"/>
    <n v="8"/>
    <s v="No"/>
    <n v="3"/>
    <s v="No"/>
    <s v="Closed"/>
    <s v="Escalated"/>
    <x v="0"/>
    <x v="1"/>
    <s v="Match "/>
    <x v="1"/>
    <m/>
    <s v="Valid"/>
    <s v="Print Quality"/>
    <s v="Valid"/>
  </r>
  <r>
    <s v="TKT000491"/>
    <x v="1"/>
    <s v="02/04/2026 14:12"/>
    <s v="02/05/2026 03:54"/>
    <x v="0"/>
    <s v="Driver &amp; Setup"/>
    <s v="Medium"/>
    <x v="0"/>
    <x v="0"/>
    <n v="13.7"/>
    <n v="8"/>
    <s v="No"/>
    <n v="1"/>
    <s v="Yes"/>
    <s v="Closed"/>
    <s v="Escalated"/>
    <x v="3"/>
    <x v="1"/>
    <s v="Match "/>
    <x v="1"/>
    <m/>
    <s v="Valid"/>
    <s v="Connectivity &amp; Software"/>
    <s v="Valid"/>
  </r>
  <r>
    <s v="TKT000492"/>
    <x v="1"/>
    <s v="02/13/2026 12:16"/>
    <s v="02/13/2026 17:58"/>
    <x v="1"/>
    <s v="Defective Prints"/>
    <s v="Low"/>
    <x v="8"/>
    <x v="3"/>
    <n v="5.7"/>
    <n v="24"/>
    <s v="Yes"/>
    <n v="4"/>
    <s v="No"/>
    <s v="Closed"/>
    <s v="Fixed"/>
    <x v="1"/>
    <x v="0"/>
    <s v="Match "/>
    <x v="0"/>
    <m/>
    <s v="Valid"/>
    <s v="Print Quality"/>
    <s v="Valid"/>
  </r>
  <r>
    <s v="TKT000493"/>
    <x v="0"/>
    <s v="01/19/2026 10:43"/>
    <s v="01/20/2026 02:25"/>
    <x v="0"/>
    <s v="Network Dropouts"/>
    <s v="Medium"/>
    <x v="5"/>
    <x v="0"/>
    <n v="15.7"/>
    <n v="8"/>
    <s v="No"/>
    <n v="1"/>
    <s v="No"/>
    <s v="Closed"/>
    <s v="Pending"/>
    <x v="2"/>
    <x v="1"/>
    <s v="Match "/>
    <x v="1"/>
    <m/>
    <s v="Valid"/>
    <s v="Connectivity &amp; Software"/>
    <s v="Valid"/>
  </r>
  <r>
    <s v="TKT000494"/>
    <x v="1"/>
    <s v="03/30/2026 17:33"/>
    <s v="03/31/2026 01:21"/>
    <x v="1"/>
    <s v="Color Calibration"/>
    <s v="Medium"/>
    <x v="1"/>
    <x v="3"/>
    <n v="7.8"/>
    <n v="8"/>
    <s v="Yes"/>
    <n v="4"/>
    <s v="No"/>
    <s v="Closed"/>
    <s v="Fixed"/>
    <x v="1"/>
    <x v="0"/>
    <s v="Match "/>
    <x v="0"/>
    <m/>
    <s v="Valid"/>
    <s v="Print Quality"/>
    <s v="Valid"/>
  </r>
  <r>
    <s v="TKT000495"/>
    <x v="4"/>
    <s v="03/27/2026 12:42"/>
    <s v="03/27/2026 21:00"/>
    <x v="1"/>
    <s v="Defective Prints"/>
    <s v="High"/>
    <x v="4"/>
    <x v="3"/>
    <n v="8.3000000000000007"/>
    <n v="4"/>
    <s v="No"/>
    <n v="2"/>
    <s v="Yes"/>
    <s v="Closed"/>
    <s v="Pending"/>
    <x v="1"/>
    <x v="1"/>
    <s v="Match "/>
    <x v="1"/>
    <m/>
    <s v="Valid"/>
    <s v="Print Quality"/>
    <s v="Valid"/>
  </r>
  <r>
    <s v="TKT000496"/>
    <x v="7"/>
    <s v="03/12/2026 15:59"/>
    <s v="03/12/2026 22:41"/>
    <x v="0"/>
    <s v="Scan-to-Email"/>
    <s v="High"/>
    <x v="3"/>
    <x v="0"/>
    <n v="6.7"/>
    <n v="4"/>
    <s v="No"/>
    <n v="3"/>
    <s v="Yes"/>
    <s v="Closed"/>
    <s v="Pending"/>
    <x v="1"/>
    <x v="1"/>
    <s v="Match "/>
    <x v="1"/>
    <m/>
    <s v="Valid"/>
    <s v="Connectivity &amp; Software"/>
    <s v="Valid"/>
  </r>
  <r>
    <s v="TKT000497"/>
    <x v="3"/>
    <s v="02/02/2026 17:34"/>
    <s v="02/03/2026 01:40"/>
    <x v="3"/>
    <s v="Parts Wear"/>
    <s v="High"/>
    <x v="4"/>
    <x v="1"/>
    <n v="8.1"/>
    <n v="4"/>
    <s v="No"/>
    <n v="2"/>
    <s v="Yes"/>
    <s v="Closed"/>
    <s v="Escalated"/>
    <x v="1"/>
    <x v="1"/>
    <s v="Match "/>
    <x v="1"/>
    <m/>
    <s v="Valid"/>
    <s v="Hardware &amp; Mechanical"/>
    <s v="Valid"/>
  </r>
  <r>
    <s v="TKT000498"/>
    <x v="5"/>
    <s v="02/21/2026 15:45"/>
    <s v="02/22/2026 00:09"/>
    <x v="1"/>
    <s v="Color Calibration"/>
    <s v="Medium"/>
    <x v="9"/>
    <x v="3"/>
    <n v="8.4"/>
    <n v="8"/>
    <s v="No"/>
    <n v="3"/>
    <s v="No"/>
    <s v="Closed"/>
    <s v="Pending"/>
    <x v="1"/>
    <x v="1"/>
    <s v="Match "/>
    <x v="1"/>
    <m/>
    <s v="Valid"/>
    <s v="Print Quality"/>
    <s v="Valid"/>
  </r>
  <r>
    <s v="TKT000499"/>
    <x v="3"/>
    <s v="01/13/2026 11:40"/>
    <s v="01/13/2026 21:10"/>
    <x v="3"/>
    <s v="Device Errors"/>
    <s v="High"/>
    <x v="6"/>
    <x v="4"/>
    <n v="9.5"/>
    <n v="4"/>
    <s v="No"/>
    <n v="3"/>
    <s v="No"/>
    <s v="Closed"/>
    <s v="Escalated"/>
    <x v="1"/>
    <x v="1"/>
    <s v="Match "/>
    <x v="1"/>
    <m/>
    <s v="Valid"/>
    <s v="Hardware &amp; Mechanical"/>
    <s v="Valid"/>
  </r>
  <r>
    <s v="TKT000500"/>
    <x v="1"/>
    <s v="02/06/2026 15:50"/>
    <s v="02/06/2026 23:14"/>
    <x v="1"/>
    <s v="Defective Prints"/>
    <s v="Low"/>
    <x v="7"/>
    <x v="3"/>
    <n v="7.4"/>
    <n v="24"/>
    <s v="Yes"/>
    <n v="4"/>
    <s v="No"/>
    <s v="Closed"/>
    <s v="Fixed"/>
    <x v="1"/>
    <x v="0"/>
    <s v="Match "/>
    <x v="0"/>
    <m/>
    <s v="Valid"/>
    <s v="Print Quality"/>
    <s v="Vali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89635B-4366-4FF0-B323-1CDC516BDCD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E3:F8" firstHeaderRow="1" firstDataRow="1" firstDataCol="1"/>
  <pivotFields count="24">
    <pivotField dataField="1" showAll="0"/>
    <pivotField showAll="0">
      <items count="11">
        <item x="1"/>
        <item x="8"/>
        <item x="9"/>
        <item x="3"/>
        <item x="7"/>
        <item x="4"/>
        <item x="5"/>
        <item x="6"/>
        <item x="2"/>
        <item x="0"/>
        <item t="default"/>
      </items>
    </pivotField>
    <pivotField showAll="0"/>
    <pivotField showAll="0"/>
    <pivotField showAll="0">
      <items count="6">
        <item x="0"/>
        <item x="2"/>
        <item x="3"/>
        <item x="1"/>
        <item x="4"/>
        <item t="default"/>
      </items>
    </pivotField>
    <pivotField showAll="0"/>
    <pivotField showAll="0"/>
    <pivotField showAll="0">
      <items count="11">
        <item x="2"/>
        <item x="9"/>
        <item x="8"/>
        <item x="3"/>
        <item x="5"/>
        <item x="6"/>
        <item x="0"/>
        <item x="4"/>
        <item x="1"/>
        <item x="7"/>
        <item t="default"/>
      </items>
    </pivotField>
    <pivotField showAll="0">
      <items count="7">
        <item x="2"/>
        <item x="1"/>
        <item x="4"/>
        <item x="5"/>
        <item x="0"/>
        <item x="3"/>
        <item t="default"/>
      </items>
    </pivotField>
    <pivotField showAll="0"/>
    <pivotField showAll="0"/>
    <pivotField showAll="0"/>
    <pivotField showAll="0"/>
    <pivotField showAll="0"/>
    <pivotField showAll="0"/>
    <pivotField showAll="0"/>
    <pivotField axis="axisRow" showAll="0" sortType="descending">
      <items count="5">
        <item sd="0" x="3"/>
        <item sd="0" x="2"/>
        <item sd="0" x="0"/>
        <item sd="0"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s>
  <rowFields count="1">
    <field x="16"/>
  </rowFields>
  <rowItems count="5">
    <i>
      <x v="3"/>
    </i>
    <i>
      <x/>
    </i>
    <i>
      <x v="1"/>
    </i>
    <i>
      <x v="2"/>
    </i>
    <i t="grand">
      <x/>
    </i>
  </rowItems>
  <colItems count="1">
    <i/>
  </colItems>
  <dataFields count="1">
    <dataField name="Count of Ticke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802E4E-9B91-4EFE-AC3F-9811C216F7B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ccounts">
  <location ref="E54:F65" firstHeaderRow="1" firstDataRow="1" firstDataCol="1"/>
  <pivotFields count="24">
    <pivotField dataField="1" showAll="0"/>
    <pivotField axis="axisRow" showAll="0" sortType="descending">
      <items count="11">
        <item x="1"/>
        <item x="8"/>
        <item x="9"/>
        <item x="3"/>
        <item x="7"/>
        <item x="4"/>
        <item x="5"/>
        <item x="6"/>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0"/>
        <item x="2"/>
        <item x="3"/>
        <item x="1"/>
        <item x="4"/>
        <item t="default"/>
      </items>
    </pivotField>
    <pivotField showAll="0"/>
    <pivotField showAll="0"/>
    <pivotField showAll="0">
      <items count="11">
        <item x="2"/>
        <item x="9"/>
        <item x="8"/>
        <item x="3"/>
        <item x="5"/>
        <item x="6"/>
        <item x="0"/>
        <item x="4"/>
        <item x="1"/>
        <item x="7"/>
        <item t="default"/>
      </items>
    </pivotField>
    <pivotField showAll="0">
      <items count="7">
        <item x="2"/>
        <item x="1"/>
        <item x="4"/>
        <item x="5"/>
        <item x="0"/>
        <item x="3"/>
        <item t="default"/>
      </items>
    </pivotField>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s>
  <rowFields count="1">
    <field x="1"/>
  </rowFields>
  <rowItems count="11">
    <i>
      <x/>
    </i>
    <i>
      <x v="7"/>
    </i>
    <i>
      <x v="3"/>
    </i>
    <i>
      <x v="5"/>
    </i>
    <i>
      <x v="1"/>
    </i>
    <i>
      <x v="2"/>
    </i>
    <i>
      <x v="8"/>
    </i>
    <i>
      <x v="9"/>
    </i>
    <i>
      <x v="4"/>
    </i>
    <i>
      <x v="6"/>
    </i>
    <i t="grand">
      <x/>
    </i>
  </rowItems>
  <colItems count="1">
    <i/>
  </colItems>
  <dataFields count="1">
    <dataField name="Count of Ticket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767FC9-6891-4A99-B31B-7A847D011DE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ment">
  <location ref="E27:F34" firstHeaderRow="1" firstDataRow="1" firstDataCol="1"/>
  <pivotFields count="24">
    <pivotField showAll="0"/>
    <pivotField showAll="0">
      <items count="11">
        <item x="1"/>
        <item x="8"/>
        <item x="9"/>
        <item x="3"/>
        <item x="7"/>
        <item x="4"/>
        <item x="5"/>
        <item x="6"/>
        <item x="2"/>
        <item x="0"/>
        <item t="default"/>
      </items>
    </pivotField>
    <pivotField showAll="0"/>
    <pivotField showAll="0"/>
    <pivotField dataField="1" showAll="0">
      <items count="6">
        <item x="0"/>
        <item x="2"/>
        <item x="3"/>
        <item x="1"/>
        <item x="4"/>
        <item t="default"/>
      </items>
    </pivotField>
    <pivotField showAll="0"/>
    <pivotField showAll="0"/>
    <pivotField showAll="0">
      <items count="11">
        <item x="2"/>
        <item x="9"/>
        <item x="8"/>
        <item x="3"/>
        <item x="5"/>
        <item x="6"/>
        <item x="0"/>
        <item x="4"/>
        <item x="1"/>
        <item x="7"/>
        <item t="default"/>
      </items>
    </pivotField>
    <pivotField axis="axisRow" showAll="0" sortType="descending">
      <items count="7">
        <item x="2"/>
        <item x="1"/>
        <item x="4"/>
        <item x="5"/>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s>
  <rowFields count="1">
    <field x="8"/>
  </rowFields>
  <rowItems count="7">
    <i>
      <x v="4"/>
    </i>
    <i>
      <x v="2"/>
    </i>
    <i>
      <x v="1"/>
    </i>
    <i>
      <x v="5"/>
    </i>
    <i>
      <x v="3"/>
    </i>
    <i>
      <x/>
    </i>
    <i t="grand">
      <x/>
    </i>
  </rowItems>
  <colItems count="1">
    <i/>
  </colItems>
  <dataFields count="1">
    <dataField name="Count of Category" fld="4"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E827EB-09F3-408B-BA0E-98B89246C96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K3:L8" firstHeaderRow="1" firstDataRow="1" firstDataCol="1"/>
  <pivotFields count="24">
    <pivotField showAll="0"/>
    <pivotField showAll="0">
      <items count="11">
        <item x="1"/>
        <item x="8"/>
        <item x="9"/>
        <item x="3"/>
        <item x="7"/>
        <item x="4"/>
        <item x="5"/>
        <item x="6"/>
        <item x="2"/>
        <item x="0"/>
        <item t="default"/>
      </items>
    </pivotField>
    <pivotField showAll="0"/>
    <pivotField showAll="0"/>
    <pivotField showAll="0">
      <items count="6">
        <item x="0"/>
        <item x="2"/>
        <item x="3"/>
        <item x="1"/>
        <item x="4"/>
        <item t="default"/>
      </items>
    </pivotField>
    <pivotField showAll="0"/>
    <pivotField showAll="0"/>
    <pivotField showAll="0">
      <items count="11">
        <item x="2"/>
        <item x="9"/>
        <item x="8"/>
        <item x="3"/>
        <item x="5"/>
        <item x="6"/>
        <item x="0"/>
        <item x="4"/>
        <item x="1"/>
        <item x="7"/>
        <item t="default"/>
      </items>
    </pivotField>
    <pivotField showAll="0">
      <items count="7">
        <item x="2"/>
        <item x="1"/>
        <item x="4"/>
        <item x="5"/>
        <item x="0"/>
        <item x="3"/>
        <item t="default"/>
      </items>
    </pivotField>
    <pivotField showAll="0"/>
    <pivotField showAll="0"/>
    <pivotField showAll="0" sortType="descending"/>
    <pivotField showAll="0"/>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sortType="descending">
      <items count="3">
        <item x="0"/>
        <item x="1"/>
        <item t="default"/>
      </items>
    </pivotField>
    <pivotField showAll="0"/>
    <pivotField dataField="1" showAll="0">
      <items count="3">
        <item x="1"/>
        <item x="0"/>
        <item t="default"/>
      </items>
    </pivotField>
    <pivotField showAll="0"/>
    <pivotField showAll="0"/>
    <pivotField showAll="0"/>
    <pivotField showAll="0"/>
  </pivotFields>
  <rowFields count="1">
    <field x="16"/>
  </rowFields>
  <rowItems count="5">
    <i>
      <x/>
    </i>
    <i>
      <x v="2"/>
    </i>
    <i>
      <x v="1"/>
    </i>
    <i>
      <x v="3"/>
    </i>
    <i t="grand">
      <x/>
    </i>
  </rowItems>
  <colItems count="1">
    <i/>
  </colItems>
  <dataFields count="1">
    <dataField name="Average of SLA_Score" fld="19" subtotal="average" baseField="16" baseItem="0" numFmtId="10"/>
  </dataFields>
  <chartFormats count="1">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433FEF-879E-48B3-8E1F-DADFBD1A513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K27:L33" firstHeaderRow="1" firstDataRow="1" firstDataCol="1"/>
  <pivotFields count="24">
    <pivotField showAll="0"/>
    <pivotField showAll="0">
      <items count="11">
        <item x="1"/>
        <item x="8"/>
        <item x="9"/>
        <item x="3"/>
        <item x="7"/>
        <item x="4"/>
        <item x="5"/>
        <item x="6"/>
        <item x="2"/>
        <item x="0"/>
        <item t="default"/>
      </items>
    </pivotField>
    <pivotField showAll="0"/>
    <pivotField showAll="0"/>
    <pivotField axis="axisRow" showAll="0" sortType="descending">
      <items count="6">
        <item x="0"/>
        <item x="2"/>
        <item x="3"/>
        <item x="1"/>
        <item x="4"/>
        <item t="default"/>
      </items>
      <autoSortScope>
        <pivotArea dataOnly="0" outline="0" fieldPosition="0">
          <references count="1">
            <reference field="4294967294" count="1" selected="0">
              <x v="0"/>
            </reference>
          </references>
        </pivotArea>
      </autoSortScope>
    </pivotField>
    <pivotField showAll="0" sortType="descending">
      <autoSortScope>
        <pivotArea dataOnly="0" outline="0" fieldPosition="0">
          <references count="1">
            <reference field="4294967294" count="1" selected="0">
              <x v="0"/>
            </reference>
          </references>
        </pivotArea>
      </autoSortScope>
    </pivotField>
    <pivotField showAll="0"/>
    <pivotField showAll="0">
      <items count="11">
        <item x="2"/>
        <item x="9"/>
        <item x="8"/>
        <item x="3"/>
        <item x="5"/>
        <item x="6"/>
        <item x="0"/>
        <item x="4"/>
        <item x="1"/>
        <item x="7"/>
        <item t="default"/>
      </items>
    </pivotField>
    <pivotField showAll="0">
      <items count="7">
        <item x="2"/>
        <item x="1"/>
        <item x="4"/>
        <item x="5"/>
        <item x="0"/>
        <item x="3"/>
        <item t="default"/>
      </items>
    </pivotField>
    <pivotField dataField="1"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s>
  <rowFields count="1">
    <field x="4"/>
  </rowFields>
  <rowItems count="6">
    <i>
      <x v="2"/>
    </i>
    <i>
      <x/>
    </i>
    <i>
      <x v="3"/>
    </i>
    <i>
      <x v="4"/>
    </i>
    <i>
      <x v="1"/>
    </i>
    <i t="grand">
      <x/>
    </i>
  </rowItems>
  <colItems count="1">
    <i/>
  </colItems>
  <dataFields count="1">
    <dataField name="Average of Resolution_Time_Hrs" fld="9" subtotal="average" baseField="5" baseItem="0" numFmtId="164"/>
  </dataFields>
  <formats count="3">
    <format dxfId="14">
      <pivotArea collapsedLevelsAreSubtotals="1" fieldPosition="0">
        <references count="1">
          <reference field="4" count="1">
            <x v="0"/>
          </reference>
        </references>
      </pivotArea>
    </format>
    <format dxfId="13">
      <pivotArea collapsedLevelsAreSubtotals="1" fieldPosition="0">
        <references count="1">
          <reference field="4" count="1">
            <x v="3"/>
          </reference>
        </references>
      </pivotArea>
    </format>
    <format dxfId="1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CF73A3-CA1A-49EE-A37E-44123B2B75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tegory">
  <location ref="A3:B9" firstHeaderRow="1" firstDataRow="1" firstDataCol="1"/>
  <pivotFields count="24">
    <pivotField dataField="1" showAll="0"/>
    <pivotField showAll="0">
      <items count="11">
        <item x="1"/>
        <item x="8"/>
        <item x="9"/>
        <item x="3"/>
        <item x="7"/>
        <item x="4"/>
        <item x="5"/>
        <item x="6"/>
        <item x="2"/>
        <item x="0"/>
        <item t="default"/>
      </items>
    </pivotField>
    <pivotField showAll="0"/>
    <pivotField showAll="0"/>
    <pivotField axis="axisRow" showAll="0" sortType="descending">
      <items count="6">
        <item x="0"/>
        <item x="2"/>
        <item x="3"/>
        <item x="1"/>
        <item x="4"/>
        <item t="default"/>
      </items>
      <autoSortScope>
        <pivotArea dataOnly="0" outline="0" fieldPosition="0">
          <references count="1">
            <reference field="4294967294" count="1" selected="0">
              <x v="0"/>
            </reference>
          </references>
        </pivotArea>
      </autoSortScope>
    </pivotField>
    <pivotField showAll="0"/>
    <pivotField showAll="0"/>
    <pivotField showAll="0">
      <items count="11">
        <item x="2"/>
        <item x="9"/>
        <item x="8"/>
        <item x="3"/>
        <item x="5"/>
        <item x="6"/>
        <item x="0"/>
        <item x="4"/>
        <item x="1"/>
        <item x="7"/>
        <item t="default"/>
      </items>
    </pivotField>
    <pivotField showAll="0">
      <items count="7">
        <item x="2"/>
        <item x="1"/>
        <item x="4"/>
        <item x="5"/>
        <item x="0"/>
        <item x="3"/>
        <item t="default"/>
      </items>
    </pivotField>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s>
  <rowFields count="1">
    <field x="4"/>
  </rowFields>
  <rowItems count="6">
    <i>
      <x/>
    </i>
    <i>
      <x v="2"/>
    </i>
    <i>
      <x v="3"/>
    </i>
    <i>
      <x v="4"/>
    </i>
    <i>
      <x v="1"/>
    </i>
    <i t="grand">
      <x/>
    </i>
  </rowItems>
  <colItems count="1">
    <i/>
  </colItems>
  <dataFields count="1">
    <dataField name="Count of Ticket_ID" fld="0"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EDDE3E-D0AD-4F3E-A25E-AE2C07687F5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nts">
  <location ref="A27:B38" firstHeaderRow="1" firstDataRow="1" firstDataCol="1"/>
  <pivotFields count="24">
    <pivotField dataField="1" showAll="0"/>
    <pivotField showAll="0">
      <items count="11">
        <item x="1"/>
        <item x="8"/>
        <item x="9"/>
        <item x="3"/>
        <item x="7"/>
        <item x="4"/>
        <item x="5"/>
        <item x="6"/>
        <item x="2"/>
        <item x="0"/>
        <item t="default"/>
      </items>
    </pivotField>
    <pivotField showAll="0"/>
    <pivotField showAll="0"/>
    <pivotField showAll="0">
      <items count="6">
        <item x="0"/>
        <item x="2"/>
        <item x="3"/>
        <item x="1"/>
        <item x="4"/>
        <item t="default"/>
      </items>
    </pivotField>
    <pivotField showAll="0"/>
    <pivotField showAll="0"/>
    <pivotField axis="axisRow" showAll="0" sortType="descending">
      <items count="11">
        <item x="7"/>
        <item x="1"/>
        <item x="4"/>
        <item x="0"/>
        <item x="6"/>
        <item x="5"/>
        <item x="3"/>
        <item x="8"/>
        <item x="9"/>
        <item x="2"/>
        <item t="default"/>
      </items>
      <autoSortScope>
        <pivotArea dataOnly="0" outline="0" fieldPosition="0">
          <references count="1">
            <reference field="4294967294" count="1" selected="0">
              <x v="0"/>
            </reference>
          </references>
        </pivotArea>
      </autoSortScope>
    </pivotField>
    <pivotField showAll="0">
      <items count="7">
        <item x="2"/>
        <item x="1"/>
        <item x="4"/>
        <item x="5"/>
        <item x="0"/>
        <item x="3"/>
        <item t="default"/>
      </items>
    </pivotField>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s>
  <rowFields count="1">
    <field x="7"/>
  </rowFields>
  <rowItems count="11">
    <i>
      <x v="6"/>
    </i>
    <i>
      <x v="5"/>
    </i>
    <i>
      <x/>
    </i>
    <i>
      <x v="4"/>
    </i>
    <i>
      <x v="1"/>
    </i>
    <i>
      <x v="3"/>
    </i>
    <i>
      <x v="9"/>
    </i>
    <i>
      <x v="2"/>
    </i>
    <i>
      <x v="7"/>
    </i>
    <i>
      <x v="8"/>
    </i>
    <i t="grand">
      <x/>
    </i>
  </rowItems>
  <colItems count="1">
    <i/>
  </colItems>
  <dataFields count="1">
    <dataField name="Count of Ticket_ID" fld="0" subtotal="count" baseField="7"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DE8B50-C073-4B09-8369-84EF21C3D50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gnets">
  <location ref="A54:B65" firstHeaderRow="1" firstDataRow="1" firstDataCol="1"/>
  <pivotFields count="24">
    <pivotField showAll="0"/>
    <pivotField showAll="0">
      <items count="11">
        <item x="1"/>
        <item x="8"/>
        <item x="9"/>
        <item x="3"/>
        <item x="7"/>
        <item x="4"/>
        <item x="5"/>
        <item x="6"/>
        <item x="2"/>
        <item x="0"/>
        <item t="default"/>
      </items>
    </pivotField>
    <pivotField showAll="0"/>
    <pivotField showAll="0"/>
    <pivotField showAll="0">
      <items count="6">
        <item x="0"/>
        <item x="2"/>
        <item x="3"/>
        <item x="1"/>
        <item x="4"/>
        <item t="default"/>
      </items>
    </pivotField>
    <pivotField showAll="0"/>
    <pivotField showAll="0"/>
    <pivotField axis="axisRow" showAll="0" sortType="descending">
      <items count="11">
        <item x="2"/>
        <item x="9"/>
        <item x="8"/>
        <item x="3"/>
        <item x="5"/>
        <item x="6"/>
        <item x="0"/>
        <item x="4"/>
        <item x="1"/>
        <item x="7"/>
        <item t="default"/>
      </items>
      <autoSortScope>
        <pivotArea dataOnly="0" outline="0" fieldPosition="0">
          <references count="1">
            <reference field="4294967294" count="1" selected="0">
              <x v="0"/>
            </reference>
          </references>
        </pivotArea>
      </autoSortScope>
    </pivotField>
    <pivotField showAll="0">
      <items count="7">
        <item x="2"/>
        <item x="1"/>
        <item x="4"/>
        <item x="5"/>
        <item x="0"/>
        <item x="3"/>
        <item t="default"/>
      </items>
    </pivotField>
    <pivotField showAll="0"/>
    <pivotField showAll="0"/>
    <pivotField showAll="0"/>
    <pivotField dataField="1"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s>
  <rowFields count="1">
    <field x="7"/>
  </rowFields>
  <rowItems count="11">
    <i>
      <x v="7"/>
    </i>
    <i>
      <x/>
    </i>
    <i>
      <x v="1"/>
    </i>
    <i>
      <x v="4"/>
    </i>
    <i>
      <x v="8"/>
    </i>
    <i>
      <x v="2"/>
    </i>
    <i>
      <x v="9"/>
    </i>
    <i>
      <x v="5"/>
    </i>
    <i>
      <x v="6"/>
    </i>
    <i>
      <x v="3"/>
    </i>
    <i t="grand">
      <x/>
    </i>
  </rowItems>
  <colItems count="1">
    <i/>
  </colItems>
  <dataFields count="1">
    <dataField name="Average of Customer_Rating" fld="12" subtotal="average" baseField="7" baseItem="0" numFmtId="164"/>
  </dataFields>
  <formats count="2">
    <format dxfId="16">
      <pivotArea collapsedLevelsAreSubtotals="1" fieldPosition="0">
        <references count="1">
          <reference field="7" count="1">
            <x v="0"/>
          </reference>
        </references>
      </pivotArea>
    </format>
    <format dxfId="1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 xr10:uid="{31718A84-4B0C-4D84-B2CA-1EF9B8CC9163}" sourceName="Account">
  <pivotTables>
    <pivotTable tabId="6" name="PivotTable1"/>
    <pivotTable tabId="6" name="PivotTable3"/>
    <pivotTable tabId="6" name="PivotTable4"/>
    <pivotTable tabId="6" name="PivotTable5"/>
    <pivotTable tabId="6" name="PivotTable6"/>
    <pivotTable tabId="6" name="PivotTable7"/>
    <pivotTable tabId="6" name="PivotTable8"/>
    <pivotTable tabId="6" name="PivotTable9"/>
  </pivotTables>
  <data>
    <tabular pivotCacheId="526628749">
      <items count="10">
        <i x="1" s="1"/>
        <i x="8" s="1"/>
        <i x="9" s="1"/>
        <i x="3" s="1"/>
        <i x="7" s="1"/>
        <i x="4" s="1"/>
        <i x="5" s="1"/>
        <i x="6"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28DF3DE-5F54-445D-8722-E36198FF2372}" sourceName="Category">
  <pivotTables>
    <pivotTable tabId="6" name="PivotTable1"/>
    <pivotTable tabId="6" name="PivotTable3"/>
    <pivotTable tabId="6" name="PivotTable4"/>
    <pivotTable tabId="6" name="PivotTable5"/>
    <pivotTable tabId="6" name="PivotTable6"/>
    <pivotTable tabId="6" name="PivotTable7"/>
    <pivotTable tabId="6" name="PivotTable8"/>
    <pivotTable tabId="6" name="PivotTable9"/>
  </pivotTables>
  <data>
    <tabular pivotCacheId="526628749">
      <items count="5">
        <i x="0" s="1"/>
        <i x="2"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04F3BB62-FC7D-4BDD-83AC-200039285857}" sourceName="Agent">
  <pivotTables>
    <pivotTable tabId="6" name="PivotTable1"/>
    <pivotTable tabId="6" name="PivotTable3"/>
    <pivotTable tabId="6" name="PivotTable4"/>
    <pivotTable tabId="6" name="PivotTable5"/>
    <pivotTable tabId="6" name="PivotTable6"/>
    <pivotTable tabId="6" name="PivotTable7"/>
    <pivotTable tabId="6" name="PivotTable8"/>
    <pivotTable tabId="6" name="PivotTable9"/>
  </pivotTables>
  <data>
    <tabular pivotCacheId="526628749">
      <items count="10">
        <i x="2" s="1"/>
        <i x="9" s="1"/>
        <i x="8" s="1"/>
        <i x="3" s="1"/>
        <i x="5" s="1"/>
        <i x="6" s="1"/>
        <i x="0" s="1"/>
        <i x="4" s="1"/>
        <i x="1"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749CE57-AC23-433B-B1A5-6B9C8EFF9BF7}" sourceName="Department">
  <pivotTables>
    <pivotTable tabId="6" name="PivotTable1"/>
    <pivotTable tabId="6" name="PivotTable3"/>
    <pivotTable tabId="6" name="PivotTable4"/>
    <pivotTable tabId="6" name="PivotTable5"/>
    <pivotTable tabId="6" name="PivotTable6"/>
    <pivotTable tabId="6" name="PivotTable7"/>
    <pivotTable tabId="6" name="PivotTable8"/>
    <pivotTable tabId="6" name="PivotTable9"/>
  </pivotTables>
  <data>
    <tabular pivotCacheId="526628749">
      <items count="6">
        <i x="2" s="1"/>
        <i x="1" s="1"/>
        <i x="4" s="1"/>
        <i x="5"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F5208C-E274-4D11-B00F-1D0EA4940E36}" sourceName="Region">
  <pivotTables>
    <pivotTable tabId="6" name="PivotTable1"/>
    <pivotTable tabId="6" name="PivotTable3"/>
    <pivotTable tabId="6" name="PivotTable4"/>
    <pivotTable tabId="6" name="PivotTable5"/>
    <pivotTable tabId="6" name="PivotTable6"/>
    <pivotTable tabId="6" name="PivotTable7"/>
    <pivotTable tabId="6" name="PivotTable8"/>
    <pivotTable tabId="6" name="PivotTable9"/>
  </pivotTables>
  <data>
    <tabular pivotCacheId="526628749">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xr10:uid="{10379E2E-D791-4887-AF2F-16204A074B14}" cache="Slicer_Account" caption="Account" columnCount="2" rowHeight="241300"/>
  <slicer name="Category" xr10:uid="{E15FA2CB-576D-429C-B17F-67934ECED601}" cache="Slicer_Category" caption="Category" rowHeight="241300"/>
  <slicer name="Agent" xr10:uid="{0CAF0B17-EE59-4CEF-A3DF-D1D4C278293A}" cache="Slicer_Agent" caption="Agent" columnCount="2" rowHeight="241300"/>
  <slicer name="Department" xr10:uid="{A5616512-7F8B-4896-8712-ED7133499E5C}" cache="Slicer_Department" caption="Department" rowHeight="241300"/>
  <slicer name="Region" xr10:uid="{10BA2523-CFAA-42E6-9CDB-FB7C019E9C82}"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BAB8D7-8D14-473B-B6CB-CCAC009A2D2D}" name="Table14" displayName="Table14" ref="A1:U501" totalsRowShown="0" headerRowDxfId="9">
  <autoFilter ref="A1:U501" xr:uid="{2B5DF5E4-8787-47F6-B726-9872D71F23CC}"/>
  <tableColumns count="21">
    <tableColumn id="1" xr3:uid="{D33B1BC6-DDFA-4002-BFAD-84EF17C624AB}" name="Ticket_ID"/>
    <tableColumn id="2" xr3:uid="{2D64C98E-FF5E-47D6-9AC4-2873C40E9FB9}" name="Account"/>
    <tableColumn id="3" xr3:uid="{2F8A4CFB-32AA-4DBC-A71C-106EDBE42E27}" name="Created_Date" dataDxfId="8"/>
    <tableColumn id="4" xr3:uid="{18DE9CB6-4E13-485A-A70C-AC63E3EB415D}" name="Closed_Date" dataDxfId="7"/>
    <tableColumn id="5" xr3:uid="{AE4442F5-C0D9-47A3-9261-778F0683C479}" name="Category"/>
    <tableColumn id="6" xr3:uid="{21EABA92-6AF1-4445-8AE0-33BD1A3E6303}" name="Subcategory"/>
    <tableColumn id="7" xr3:uid="{5F66F40C-9A4D-431F-832E-BC501E862B40}" name="Priority"/>
    <tableColumn id="8" xr3:uid="{C6D2EBF0-967F-4BBE-8969-25F97B0C98B3}" name="Agent"/>
    <tableColumn id="9" xr3:uid="{B24FC7E1-0F5A-4D93-B23B-EB56D00DF08A}" name="Department"/>
    <tableColumn id="10" xr3:uid="{2F2D266E-3E6D-4FA4-ABC5-8E67976ED358}" name="Resolution_Time"/>
    <tableColumn id="11" xr3:uid="{342DD37E-C468-4A06-B5F0-2544D9B92612}" name="SLA_Target"/>
    <tableColumn id="12" xr3:uid="{E23533E8-74A9-4167-A0C0-EAA0A0843ED1}" name="SLA_Met"/>
    <tableColumn id="13" xr3:uid="{4D0A2E11-ECE5-4881-A980-71BFA17445B6}" name="Customer_rating"/>
    <tableColumn id="14" xr3:uid="{DFC4381C-C098-4875-B69A-DE78E64799E6}" name="Reopened"/>
    <tableColumn id="15" xr3:uid="{1AB027D4-780E-40C5-846E-BE18B147E9B4}" name="Ticket_Status"/>
    <tableColumn id="16" xr3:uid="{CFACB7F6-A30C-40A0-8E26-D33271BD2BF9}" name="Resolution_type"/>
    <tableColumn id="17" xr3:uid="{ADE90596-3E65-4936-83FF-0B7E93988C32}" name="Region"/>
    <tableColumn id="19" xr3:uid="{206B76B1-AE29-4DA9-A64D-11C30CBD8578}" name="Calculated_SLA" dataDxfId="6">
      <calculatedColumnFormula>IF(Table14[[#This Row],[Resolution_Time]]&gt;Table14[[#This Row],[SLA_Target]],"No", "Yes")</calculatedColumnFormula>
    </tableColumn>
    <tableColumn id="20" xr3:uid="{3A0B2FB2-C21B-48B7-897C-3BB67879C57E}" name="SLA_Mismatch" dataDxfId="5">
      <calculatedColumnFormula>IF(Table14[[#This Row],[Calculated_SLA]]=Table14[[#This Row],[SLA_Met]],"Match","Mismatch")</calculatedColumnFormula>
    </tableColumn>
    <tableColumn id="25" xr3:uid="{796B76BC-0615-4D1F-9282-F40B2E1869DB}" name="SLA_score" dataDxfId="4">
      <calculatedColumnFormula>IF(Table14[[#This Row],[Calculated_SLA]]="Yes",1,0)</calculatedColumnFormula>
    </tableColumn>
    <tableColumn id="21" xr3:uid="{8E237962-56D5-4F67-BDAF-7C8A66F8CC28}" name="Subcategory_Validation" dataDxfId="3">
      <calculatedColumnFormula>IF(COUNTIFS(Reference_data!A:A,Table14[[#This Row],[Category]],Reference_data!B:B,Table14[[#This Row],[Subcategory]])&gt;0,"Valid","Invalid")</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108DC9-6043-4BE4-AEA6-406FDB25CE86}" name="Table2" displayName="Table2" ref="A1:Q501" totalsRowShown="0" headerRowDxfId="48" dataDxfId="46" headerRowBorderDxfId="47" tableBorderDxfId="45" totalsRowBorderDxfId="44">
  <autoFilter ref="A1:Q501" xr:uid="{5F108DC9-6043-4BE4-AEA6-406FDB25CE86}"/>
  <tableColumns count="17">
    <tableColumn id="1" xr3:uid="{82482A16-C9E6-408D-AC75-F65CF50044B3}" name="Ticket_ID" dataDxfId="43"/>
    <tableColumn id="2" xr3:uid="{B95BC283-C2D4-440A-9CEA-9EB0247634D8}" name="Account" dataDxfId="42"/>
    <tableColumn id="3" xr3:uid="{482A843B-8DD6-471A-B3D4-565158C9C169}" name="Created_Date" dataDxfId="41"/>
    <tableColumn id="4" xr3:uid="{B4ADC3EA-C3F1-4037-961C-EC69E23BE387}" name="Closed_Date" dataDxfId="40"/>
    <tableColumn id="5" xr3:uid="{D58C891F-9788-4ABA-A343-7ED6C22135E1}" name="Category" dataDxfId="39"/>
    <tableColumn id="6" xr3:uid="{EC32408B-9D0E-4D53-AB30-4498C1643E4E}" name="Sub_Category" dataDxfId="38"/>
    <tableColumn id="7" xr3:uid="{C978B1CE-7144-466F-B11B-049C1267DAB2}" name="Priority" dataDxfId="37"/>
    <tableColumn id="8" xr3:uid="{2337285B-1A28-4E86-A0F7-70F8229486B6}" name="Agent" dataDxfId="36"/>
    <tableColumn id="9" xr3:uid="{9E79FBC5-6E54-4CC8-93CC-1DF8F8D75080}" name="Department" dataDxfId="35"/>
    <tableColumn id="10" xr3:uid="{B1654F5D-883E-4750-B38A-88ADF9679928}" name="Resolution_Time_Hrs" dataDxfId="34"/>
    <tableColumn id="11" xr3:uid="{5D16B92D-910D-4A9E-8FB0-284A4FA29969}" name="SLA_Target_Hrs" dataDxfId="33"/>
    <tableColumn id="12" xr3:uid="{46D1296B-B960-4FEB-98A4-230A2A74F278}" name="SLA_Met" dataDxfId="32"/>
    <tableColumn id="13" xr3:uid="{A32143E7-F0E4-41C4-8F23-26816D8AAB63}" name="Customer_Rating" dataDxfId="31"/>
    <tableColumn id="14" xr3:uid="{A8D38985-F3BA-4808-AC29-6081E998F20B}" name="Reopened" dataDxfId="30"/>
    <tableColumn id="15" xr3:uid="{48566A8E-EF11-4131-B95F-8AEA6125827B}" name="Ticket_Status" dataDxfId="29"/>
    <tableColumn id="16" xr3:uid="{218283C2-254F-47EF-90DA-DA130E840E1E}" name="Resolution_Type" dataDxfId="28"/>
    <tableColumn id="17" xr3:uid="{015276F8-AFE1-4E0D-A552-A0D1EC1841E9}" name="Region" dataDxfId="27"/>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5DF5E4-8787-47F6-B726-9872D71F23CC}" name="Table1" displayName="Table1" ref="A1:U501" totalsRowShown="0" headerRowDxfId="55">
  <autoFilter ref="A1:U501" xr:uid="{2B5DF5E4-8787-47F6-B726-9872D71F23CC}"/>
  <tableColumns count="21">
    <tableColumn id="1" xr3:uid="{9EC89FFF-BE99-4BDF-949D-C7ED70C35EC6}" name="Ticket_ID"/>
    <tableColumn id="2" xr3:uid="{404B1CAD-954A-48F5-BC2B-0E5EE3D6F332}" name="Account"/>
    <tableColumn id="3" xr3:uid="{39ACE7DF-4F41-43B6-8E55-FF435D0C2956}" name="Created_Date" dataDxfId="54"/>
    <tableColumn id="4" xr3:uid="{8A2992F0-6066-458A-83E6-907DBACB11C1}" name="Closed_Date" dataDxfId="53"/>
    <tableColumn id="5" xr3:uid="{66814881-2CB2-4AAF-8D1F-FE3ECB432980}" name="Category"/>
    <tableColumn id="6" xr3:uid="{55DED9E5-0418-4A75-9357-5A77FD8F589E}" name="Sub_Category"/>
    <tableColumn id="7" xr3:uid="{93681BA3-9FFA-49FA-B7BF-F77861EF7D33}" name="Priority"/>
    <tableColumn id="8" xr3:uid="{46DB35B8-C7F9-48F1-A2F8-4E266E500F73}" name="Agent"/>
    <tableColumn id="9" xr3:uid="{5ED0F550-C7FE-4677-85D4-5C53E11C73F1}" name="Department"/>
    <tableColumn id="10" xr3:uid="{90F0D3D4-7135-4856-9D0A-AD4FE9F71E4F}" name="Resolution_Time_Hrs"/>
    <tableColumn id="11" xr3:uid="{9BD7FA93-F9C7-4442-A078-FC7DB12D88A7}" name="SLA_Target_Hrs"/>
    <tableColumn id="12" xr3:uid="{BEF595B7-9F9B-41F2-8C24-15F42581DE60}" name="SLA_Met"/>
    <tableColumn id="13" xr3:uid="{5DF44F2C-1CD5-4E84-87FD-BECABCDB03F8}" name="Customer_Rating"/>
    <tableColumn id="14" xr3:uid="{CF1D1820-6D57-4A16-8DCF-03E1280230BF}" name="Reopened"/>
    <tableColumn id="15" xr3:uid="{70D4BB2D-2878-45E4-80D3-C07A6CBE30AC}" name="Ticket_Status"/>
    <tableColumn id="16" xr3:uid="{D8F8CA10-02F5-46A2-B2E3-1145608C9C2A}" name="Resolution_Type"/>
    <tableColumn id="17" xr3:uid="{4F5EEA7F-36EB-4F31-A05E-12C55C392D6B}" name="Region"/>
    <tableColumn id="19" xr3:uid="{C548559B-4BFD-4FE5-84BF-4390191204AA}" name="Calculated_SLA" dataDxfId="52">
      <calculatedColumnFormula>IF(Table1[[#This Row],[Resolution_Time_Hrs]]&gt;Table1[[#This Row],[SLA_Target_Hrs]],"No", "Yes")</calculatedColumnFormula>
    </tableColumn>
    <tableColumn id="20" xr3:uid="{337ADE2A-5F41-4B59-A41C-43BF5BEBFDBD}" name="SLA_Mismatch" dataDxfId="51">
      <calculatedColumnFormula>IF(Table1[[#This Row],[Calculated_SLA]]=Table1[[#This Row],[SLA_Met]],"Match","Mismatch")</calculatedColumnFormula>
    </tableColumn>
    <tableColumn id="25" xr3:uid="{B0B8D73C-DEC5-47DA-B772-C845125DC1EF}" name="SLA_Score" dataDxfId="50">
      <calculatedColumnFormula>IF(Table1[[#This Row],[Calculated_SLA]]="Yes",1,0)</calculatedColumnFormula>
    </tableColumn>
    <tableColumn id="21" xr3:uid="{D7B26DE5-F882-4792-BC7E-10B88ED72F61}" name="Sub_Category_Validation" dataDxfId="49">
      <calculatedColumnFormula>IF(COUNTIFS(Reference_data!A:A,Table1[[#This Row],[Category]],Reference_data!B:B,Table1[[#This Row],[Sub_Category]])&gt;0,"Valid","Invalid")</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A7E2F2B-1661-426B-BB84-EA513A2B9B9A}" name="Table5" displayName="Table5" ref="A2:E5" totalsRowShown="0" headerRowDxfId="26" dataDxfId="25">
  <autoFilter ref="A2:E5" xr:uid="{0A7E2F2B-1661-426B-BB84-EA513A2B9B9A}"/>
  <tableColumns count="5">
    <tableColumn id="1" xr3:uid="{48C84860-FFE5-412E-B173-C54645D33DFE}" name="Issue ID" dataDxfId="24"/>
    <tableColumn id="2" xr3:uid="{0ACEB3C9-C8B9-492F-A6EF-C58CFA794A9C}" name="Field" dataDxfId="23"/>
    <tableColumn id="3" xr3:uid="{3182CB13-A3E1-41A2-9DF4-2CA947EF77B3}" name="Issue" dataDxfId="22"/>
    <tableColumn id="4" xr3:uid="{042ACF39-5730-4A1E-B4E3-1BD00419319F}" name="Action Taken" dataDxfId="21"/>
    <tableColumn id="5" xr3:uid="{D2E1E033-B2D1-4F0C-A31A-7D4E0141057E}" name="Reason" dataDxfId="2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97D3E5-5217-4616-BFF9-1E1343BF23B4}" name="Table6" displayName="Table6" ref="K2:L8" totalsRowShown="0" headerRowDxfId="19">
  <autoFilter ref="K2:L8" xr:uid="{5297D3E5-5217-4616-BFF9-1E1343BF23B4}"/>
  <tableColumns count="2">
    <tableColumn id="1" xr3:uid="{A19F5643-AEF2-4CB8-AAAB-E90E7BF61BAA}" name="Validation" dataDxfId="18"/>
    <tableColumn id="2" xr3:uid="{5BC460BA-3BBB-4896-B3CB-C60B021F24C8}" name="Result" dataDxfId="17"/>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8B4D8C5-5D8C-4476-8841-7FE88EDADF88}" name="Table4" displayName="Table4" ref="A1:B10" totalsRowShown="0">
  <autoFilter ref="A1:B10" xr:uid="{08B4D8C5-5D8C-4476-8841-7FE88EDADF88}"/>
  <tableColumns count="2">
    <tableColumn id="1" xr3:uid="{8D76ED6D-0D1B-49E0-AF25-B8BFB5F6BA02}" name="KPI" dataDxfId="11"/>
    <tableColumn id="2" xr3:uid="{C130DF0D-3F82-4CF8-A125-2D0E60F20517}" name="Value" dataDxfId="1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826C6-82EE-4AF4-911E-F1739BB7F420}">
  <dimension ref="A1:U501"/>
  <sheetViews>
    <sheetView zoomScale="90" zoomScaleNormal="90" workbookViewId="0">
      <selection activeCell="P14" sqref="P14"/>
    </sheetView>
  </sheetViews>
  <sheetFormatPr defaultRowHeight="15"/>
  <cols>
    <col min="1" max="1" width="10.85546875" bestFit="1" customWidth="1"/>
    <col min="2" max="2" width="12.5703125" customWidth="1"/>
    <col min="3" max="3" width="17.140625" style="31" bestFit="1" customWidth="1"/>
    <col min="4" max="4" width="17.140625" bestFit="1" customWidth="1"/>
    <col min="5" max="5" width="21.5703125" bestFit="1" customWidth="1"/>
    <col min="6" max="6" width="18.85546875" bestFit="1" customWidth="1"/>
    <col min="7" max="7" width="9" customWidth="1"/>
    <col min="9" max="9" width="14.42578125" bestFit="1" customWidth="1"/>
    <col min="10" max="11" width="9.85546875" customWidth="1"/>
    <col min="12" max="12" width="7.42578125" bestFit="1" customWidth="1"/>
    <col min="13" max="13" width="10.140625" customWidth="1"/>
    <col min="14" max="14" width="9.42578125" customWidth="1"/>
    <col min="15" max="15" width="7.42578125" customWidth="1"/>
    <col min="16" max="16" width="10.85546875" customWidth="1"/>
  </cols>
  <sheetData>
    <row r="1" spans="1:21" s="7" customFormat="1" ht="45">
      <c r="A1" s="7" t="s">
        <v>0</v>
      </c>
      <c r="B1" s="7" t="s">
        <v>1</v>
      </c>
      <c r="C1" s="30" t="s">
        <v>2</v>
      </c>
      <c r="D1" s="7" t="s">
        <v>3</v>
      </c>
      <c r="E1" s="7" t="s">
        <v>4</v>
      </c>
      <c r="F1" s="7" t="s">
        <v>1680</v>
      </c>
      <c r="G1" s="7" t="s">
        <v>6</v>
      </c>
      <c r="H1" s="7" t="s">
        <v>7</v>
      </c>
      <c r="I1" s="7" t="s">
        <v>8</v>
      </c>
      <c r="J1" s="7" t="s">
        <v>1681</v>
      </c>
      <c r="K1" s="7" t="s">
        <v>1682</v>
      </c>
      <c r="L1" s="7" t="s">
        <v>11</v>
      </c>
      <c r="M1" s="7" t="s">
        <v>1683</v>
      </c>
      <c r="N1" s="7" t="s">
        <v>13</v>
      </c>
      <c r="O1" s="7" t="s">
        <v>14</v>
      </c>
      <c r="P1" s="7" t="s">
        <v>1684</v>
      </c>
      <c r="Q1" s="7" t="s">
        <v>16</v>
      </c>
      <c r="R1" s="7" t="s">
        <v>1586</v>
      </c>
      <c r="S1" s="7" t="s">
        <v>1564</v>
      </c>
      <c r="T1" s="7" t="s">
        <v>1685</v>
      </c>
      <c r="U1" s="7" t="s">
        <v>1686</v>
      </c>
    </row>
    <row r="2" spans="1:21">
      <c r="A2" t="s">
        <v>17</v>
      </c>
      <c r="B2" t="s">
        <v>18</v>
      </c>
      <c r="C2" s="31" t="s">
        <v>1688</v>
      </c>
      <c r="D2" s="32" t="s">
        <v>2054</v>
      </c>
      <c r="E2" t="s">
        <v>21</v>
      </c>
      <c r="F2" t="s">
        <v>22</v>
      </c>
      <c r="G2" t="s">
        <v>23</v>
      </c>
      <c r="H2" t="s">
        <v>24</v>
      </c>
      <c r="I2" t="s">
        <v>25</v>
      </c>
      <c r="J2">
        <v>15.2</v>
      </c>
      <c r="K2">
        <v>24</v>
      </c>
      <c r="L2" t="s">
        <v>26</v>
      </c>
      <c r="M2">
        <v>4</v>
      </c>
      <c r="N2" t="s">
        <v>27</v>
      </c>
      <c r="O2" t="s">
        <v>28</v>
      </c>
      <c r="P2" t="s">
        <v>29</v>
      </c>
      <c r="Q2" t="s">
        <v>30</v>
      </c>
      <c r="R2" t="str">
        <f>IF(Table14[[#This Row],[Resolution_Time]]&gt;Table14[[#This Row],[SLA_Target]],"No", "Yes")</f>
        <v>Yes</v>
      </c>
      <c r="S2" t="str">
        <f>IF(Table14[[#This Row],[Calculated_SLA]]=Table14[[#This Row],[SLA_Met]],"Match","Mismatch")</f>
        <v>Match</v>
      </c>
      <c r="T2">
        <f>IF(Table14[[#This Row],[Calculated_SLA]]="Yes",1,0)</f>
        <v>1</v>
      </c>
      <c r="U2" t="str">
        <f>IF(COUNTIFS(Reference_data!A:A,Table14[[#This Row],[Category]],Reference_data!B:B,Table14[[#This Row],[Subcategory]])&gt;0,"Valid","Invalid")</f>
        <v>Valid</v>
      </c>
    </row>
    <row r="3" spans="1:21">
      <c r="A3" t="s">
        <v>31</v>
      </c>
      <c r="B3" t="s">
        <v>32</v>
      </c>
      <c r="C3" s="31" t="s">
        <v>1687</v>
      </c>
      <c r="D3" s="32" t="s">
        <v>2055</v>
      </c>
      <c r="E3" t="s">
        <v>35</v>
      </c>
      <c r="F3" t="s">
        <v>36</v>
      </c>
      <c r="G3" t="s">
        <v>23</v>
      </c>
      <c r="H3" t="s">
        <v>37</v>
      </c>
      <c r="I3" t="s">
        <v>38</v>
      </c>
      <c r="J3">
        <v>5</v>
      </c>
      <c r="K3">
        <v>24</v>
      </c>
      <c r="L3" t="s">
        <v>27</v>
      </c>
      <c r="M3">
        <v>3</v>
      </c>
      <c r="N3" t="s">
        <v>26</v>
      </c>
      <c r="O3" t="s">
        <v>28</v>
      </c>
      <c r="P3" t="s">
        <v>1670</v>
      </c>
      <c r="Q3" t="s">
        <v>39</v>
      </c>
      <c r="R3" t="str">
        <f>IF(Table14[[#This Row],[Resolution_Time]]&gt;Table14[[#This Row],[SLA_Target]],"No", "Yes")</f>
        <v>Yes</v>
      </c>
      <c r="S3" t="str">
        <f>IF(Table14[[#This Row],[Calculated_SLA]]=Table14[[#This Row],[SLA_Met]],"Match","Mismatch")</f>
        <v>Mismatch</v>
      </c>
      <c r="T3">
        <f>IF(Table14[[#This Row],[Calculated_SLA]]="Yes",1,0)</f>
        <v>1</v>
      </c>
      <c r="U3" t="str">
        <f>IF(COUNTIFS(Reference_data!A:A,Table14[[#This Row],[Category]],Reference_data!B:B,Table14[[#This Row],[Subcategory]])&gt;0,"Valid","Invalid")</f>
        <v>Valid</v>
      </c>
    </row>
    <row r="4" spans="1:21">
      <c r="A4" t="s">
        <v>40</v>
      </c>
      <c r="B4" t="s">
        <v>41</v>
      </c>
      <c r="C4" s="31" t="s">
        <v>1689</v>
      </c>
      <c r="D4" s="32" t="s">
        <v>2056</v>
      </c>
      <c r="E4" t="s">
        <v>44</v>
      </c>
      <c r="F4" t="s">
        <v>45</v>
      </c>
      <c r="G4" t="s">
        <v>46</v>
      </c>
      <c r="H4" t="s">
        <v>47</v>
      </c>
      <c r="I4" t="s">
        <v>48</v>
      </c>
      <c r="J4">
        <v>3.3</v>
      </c>
      <c r="K4">
        <v>8</v>
      </c>
      <c r="L4" t="s">
        <v>26</v>
      </c>
      <c r="M4">
        <v>4</v>
      </c>
      <c r="N4" t="s">
        <v>27</v>
      </c>
      <c r="O4" t="s">
        <v>28</v>
      </c>
      <c r="P4" t="s">
        <v>29</v>
      </c>
      <c r="Q4" t="s">
        <v>30</v>
      </c>
      <c r="R4" t="str">
        <f>IF(Table14[[#This Row],[Resolution_Time]]&gt;Table14[[#This Row],[SLA_Target]],"No", "Yes")</f>
        <v>Yes</v>
      </c>
      <c r="S4" t="str">
        <f>IF(Table14[[#This Row],[Calculated_SLA]]=Table14[[#This Row],[SLA_Met]],"Match","Mismatch")</f>
        <v>Match</v>
      </c>
      <c r="T4">
        <f>IF(Table14[[#This Row],[Calculated_SLA]]="Yes",1,0)</f>
        <v>1</v>
      </c>
      <c r="U4" t="str">
        <f>IF(COUNTIFS(Reference_data!A:A,Table14[[#This Row],[Category]],Reference_data!B:B,Table14[[#This Row],[Subcategory]])&gt;0,"Valid","Invalid")</f>
        <v>Valid</v>
      </c>
    </row>
    <row r="5" spans="1:21">
      <c r="A5" t="s">
        <v>49</v>
      </c>
      <c r="B5" t="s">
        <v>50</v>
      </c>
      <c r="C5" s="31" t="s">
        <v>1690</v>
      </c>
      <c r="D5" s="32" t="s">
        <v>2040</v>
      </c>
      <c r="E5" t="s">
        <v>35</v>
      </c>
      <c r="F5" t="s">
        <v>53</v>
      </c>
      <c r="G5" t="s">
        <v>54</v>
      </c>
      <c r="H5" t="s">
        <v>55</v>
      </c>
      <c r="I5" t="s">
        <v>56</v>
      </c>
      <c r="J5">
        <v>6.9</v>
      </c>
      <c r="K5">
        <v>4</v>
      </c>
      <c r="L5" t="s">
        <v>27</v>
      </c>
      <c r="M5">
        <v>1</v>
      </c>
      <c r="N5" t="s">
        <v>27</v>
      </c>
      <c r="O5" t="s">
        <v>28</v>
      </c>
      <c r="P5" t="s">
        <v>57</v>
      </c>
      <c r="Q5" t="s">
        <v>58</v>
      </c>
      <c r="R5" t="str">
        <f>IF(Table14[[#This Row],[Resolution_Time]]&gt;Table14[[#This Row],[SLA_Target]],"No", "Yes")</f>
        <v>No</v>
      </c>
      <c r="S5" t="str">
        <f>IF(Table14[[#This Row],[Calculated_SLA]]=Table14[[#This Row],[SLA_Met]],"Match","Mismatch")</f>
        <v>Match</v>
      </c>
      <c r="T5">
        <f>IF(Table14[[#This Row],[Calculated_SLA]]="Yes",1,0)</f>
        <v>0</v>
      </c>
      <c r="U5" t="str">
        <f>IF(COUNTIFS(Reference_data!A:A,Table14[[#This Row],[Category]],Reference_data!B:B,Table14[[#This Row],[Subcategory]])&gt;0,"Valid","Invalid")</f>
        <v>Valid</v>
      </c>
    </row>
    <row r="6" spans="1:21">
      <c r="A6" t="s">
        <v>59</v>
      </c>
      <c r="B6" t="s">
        <v>60</v>
      </c>
      <c r="C6" s="31" t="s">
        <v>1691</v>
      </c>
      <c r="D6" s="32" t="s">
        <v>2057</v>
      </c>
      <c r="E6" t="s">
        <v>21</v>
      </c>
      <c r="F6" t="s">
        <v>63</v>
      </c>
      <c r="G6" t="s">
        <v>46</v>
      </c>
      <c r="H6" t="s">
        <v>64</v>
      </c>
      <c r="I6" t="s">
        <v>25</v>
      </c>
      <c r="J6">
        <v>10.1</v>
      </c>
      <c r="K6">
        <v>8</v>
      </c>
      <c r="L6" t="s">
        <v>27</v>
      </c>
      <c r="M6">
        <v>1</v>
      </c>
      <c r="N6" t="s">
        <v>27</v>
      </c>
      <c r="O6" t="s">
        <v>28</v>
      </c>
      <c r="P6" t="s">
        <v>1670</v>
      </c>
      <c r="Q6" t="s">
        <v>58</v>
      </c>
      <c r="R6" t="str">
        <f>IF(Table14[[#This Row],[Resolution_Time]]&gt;Table14[[#This Row],[SLA_Target]],"No", "Yes")</f>
        <v>No</v>
      </c>
      <c r="S6" t="str">
        <f>IF(Table14[[#This Row],[Calculated_SLA]]=Table14[[#This Row],[SLA_Met]],"Match","Mismatch")</f>
        <v>Match</v>
      </c>
      <c r="T6">
        <f>IF(Table14[[#This Row],[Calculated_SLA]]="Yes",1,0)</f>
        <v>0</v>
      </c>
      <c r="U6" t="str">
        <f>IF(COUNTIFS(Reference_data!A:A,Table14[[#This Row],[Category]],Reference_data!B:B,Table14[[#This Row],[Subcategory]])&gt;0,"Valid","Invalid")</f>
        <v>Valid</v>
      </c>
    </row>
    <row r="7" spans="1:21">
      <c r="A7" t="s">
        <v>65</v>
      </c>
      <c r="B7" t="s">
        <v>66</v>
      </c>
      <c r="C7" s="31" t="s">
        <v>1692</v>
      </c>
      <c r="D7" s="32" t="s">
        <v>2058</v>
      </c>
      <c r="E7" t="s">
        <v>21</v>
      </c>
      <c r="F7" t="s">
        <v>69</v>
      </c>
      <c r="G7" t="s">
        <v>46</v>
      </c>
      <c r="H7" t="s">
        <v>70</v>
      </c>
      <c r="I7" t="s">
        <v>25</v>
      </c>
      <c r="J7">
        <v>12</v>
      </c>
      <c r="K7">
        <v>8</v>
      </c>
      <c r="L7" t="s">
        <v>27</v>
      </c>
      <c r="M7">
        <v>3</v>
      </c>
      <c r="N7" t="s">
        <v>27</v>
      </c>
      <c r="O7" t="s">
        <v>28</v>
      </c>
      <c r="P7" t="s">
        <v>57</v>
      </c>
      <c r="Q7" t="s">
        <v>39</v>
      </c>
      <c r="R7" t="str">
        <f>IF(Table14[[#This Row],[Resolution_Time]]&gt;Table14[[#This Row],[SLA_Target]],"No", "Yes")</f>
        <v>No</v>
      </c>
      <c r="S7" t="str">
        <f>IF(Table14[[#This Row],[Calculated_SLA]]=Table14[[#This Row],[SLA_Met]],"Match","Mismatch")</f>
        <v>Match</v>
      </c>
      <c r="T7">
        <f>IF(Table14[[#This Row],[Calculated_SLA]]="Yes",1,0)</f>
        <v>0</v>
      </c>
      <c r="U7" t="str">
        <f>IF(COUNTIFS(Reference_data!A:A,Table14[[#This Row],[Category]],Reference_data!B:B,Table14[[#This Row],[Subcategory]])&gt;0,"Valid","Invalid")</f>
        <v>Valid</v>
      </c>
    </row>
    <row r="8" spans="1:21">
      <c r="A8" t="s">
        <v>71</v>
      </c>
      <c r="B8" t="s">
        <v>32</v>
      </c>
      <c r="C8" s="31" t="s">
        <v>1693</v>
      </c>
      <c r="D8" s="32" t="s">
        <v>1873</v>
      </c>
      <c r="E8" t="s">
        <v>21</v>
      </c>
      <c r="F8" t="s">
        <v>69</v>
      </c>
      <c r="G8" t="s">
        <v>46</v>
      </c>
      <c r="H8" t="s">
        <v>47</v>
      </c>
      <c r="I8" t="s">
        <v>25</v>
      </c>
      <c r="J8">
        <v>4.9000000000000004</v>
      </c>
      <c r="K8">
        <v>8</v>
      </c>
      <c r="L8" t="s">
        <v>26</v>
      </c>
      <c r="M8">
        <v>4</v>
      </c>
      <c r="N8" t="s">
        <v>27</v>
      </c>
      <c r="O8" t="s">
        <v>28</v>
      </c>
      <c r="P8" t="s">
        <v>29</v>
      </c>
      <c r="Q8" t="s">
        <v>39</v>
      </c>
      <c r="R8" t="str">
        <f>IF(Table14[[#This Row],[Resolution_Time]]&gt;Table14[[#This Row],[SLA_Target]],"No", "Yes")</f>
        <v>Yes</v>
      </c>
      <c r="S8" t="str">
        <f>IF(Table14[[#This Row],[Calculated_SLA]]=Table14[[#This Row],[SLA_Met]],"Match","Mismatch")</f>
        <v>Match</v>
      </c>
      <c r="T8">
        <f>IF(Table14[[#This Row],[Calculated_SLA]]="Yes",1,0)</f>
        <v>1</v>
      </c>
      <c r="U8" t="str">
        <f>IF(COUNTIFS(Reference_data!A:A,Table14[[#This Row],[Category]],Reference_data!B:B,Table14[[#This Row],[Subcategory]])&gt;0,"Valid","Invalid")</f>
        <v>Valid</v>
      </c>
    </row>
    <row r="9" spans="1:21">
      <c r="A9" t="s">
        <v>74</v>
      </c>
      <c r="B9" t="s">
        <v>75</v>
      </c>
      <c r="C9" s="31" t="s">
        <v>1694</v>
      </c>
      <c r="D9" s="32" t="s">
        <v>2059</v>
      </c>
      <c r="E9" t="s">
        <v>78</v>
      </c>
      <c r="F9" t="s">
        <v>79</v>
      </c>
      <c r="G9" t="s">
        <v>46</v>
      </c>
      <c r="H9" t="s">
        <v>70</v>
      </c>
      <c r="I9" t="s">
        <v>80</v>
      </c>
      <c r="J9">
        <v>13.5</v>
      </c>
      <c r="K9">
        <v>8</v>
      </c>
      <c r="L9" t="s">
        <v>27</v>
      </c>
      <c r="M9">
        <v>1</v>
      </c>
      <c r="N9" t="s">
        <v>27</v>
      </c>
      <c r="O9" t="s">
        <v>28</v>
      </c>
      <c r="P9" t="s">
        <v>1670</v>
      </c>
      <c r="Q9" t="s">
        <v>39</v>
      </c>
      <c r="R9" t="str">
        <f>IF(Table14[[#This Row],[Resolution_Time]]&gt;Table14[[#This Row],[SLA_Target]],"No", "Yes")</f>
        <v>No</v>
      </c>
      <c r="S9" t="str">
        <f>IF(Table14[[#This Row],[Calculated_SLA]]=Table14[[#This Row],[SLA_Met]],"Match","Mismatch")</f>
        <v>Match</v>
      </c>
      <c r="T9">
        <f>IF(Table14[[#This Row],[Calculated_SLA]]="Yes",1,0)</f>
        <v>0</v>
      </c>
      <c r="U9" t="str">
        <f>IF(COUNTIFS(Reference_data!A:A,Table14[[#This Row],[Category]],Reference_data!B:B,Table14[[#This Row],[Subcategory]])&gt;0,"Valid","Invalid")</f>
        <v>Valid</v>
      </c>
    </row>
    <row r="10" spans="1:21">
      <c r="A10" t="s">
        <v>81</v>
      </c>
      <c r="B10" t="s">
        <v>32</v>
      </c>
      <c r="C10" s="31" t="s">
        <v>1693</v>
      </c>
      <c r="D10" s="32" t="s">
        <v>2060</v>
      </c>
      <c r="E10" t="s">
        <v>84</v>
      </c>
      <c r="F10" t="s">
        <v>85</v>
      </c>
      <c r="G10" t="s">
        <v>46</v>
      </c>
      <c r="H10" t="s">
        <v>86</v>
      </c>
      <c r="I10" t="s">
        <v>87</v>
      </c>
      <c r="J10">
        <v>9.5</v>
      </c>
      <c r="K10">
        <v>8</v>
      </c>
      <c r="L10" t="s">
        <v>27</v>
      </c>
      <c r="M10">
        <v>3</v>
      </c>
      <c r="N10" t="s">
        <v>27</v>
      </c>
      <c r="O10" t="s">
        <v>28</v>
      </c>
      <c r="P10" t="s">
        <v>1670</v>
      </c>
      <c r="Q10" t="s">
        <v>39</v>
      </c>
      <c r="R10" t="str">
        <f>IF(Table14[[#This Row],[Resolution_Time]]&gt;Table14[[#This Row],[SLA_Target]],"No", "Yes")</f>
        <v>No</v>
      </c>
      <c r="S10" t="str">
        <f>IF(Table14[[#This Row],[Calculated_SLA]]=Table14[[#This Row],[SLA_Met]],"Match","Mismatch")</f>
        <v>Match</v>
      </c>
      <c r="T10">
        <f>IF(Table14[[#This Row],[Calculated_SLA]]="Yes",1,0)</f>
        <v>0</v>
      </c>
      <c r="U10" t="str">
        <f>IF(COUNTIFS(Reference_data!A:A,Table14[[#This Row],[Category]],Reference_data!B:B,Table14[[#This Row],[Subcategory]])&gt;0,"Valid","Invalid")</f>
        <v>Valid</v>
      </c>
    </row>
    <row r="11" spans="1:21">
      <c r="A11" t="s">
        <v>88</v>
      </c>
      <c r="B11" t="s">
        <v>32</v>
      </c>
      <c r="C11" s="31" t="s">
        <v>1695</v>
      </c>
      <c r="D11" s="32" t="s">
        <v>2061</v>
      </c>
      <c r="E11" t="s">
        <v>21</v>
      </c>
      <c r="F11" t="s">
        <v>22</v>
      </c>
      <c r="G11" t="s">
        <v>54</v>
      </c>
      <c r="H11" t="s">
        <v>91</v>
      </c>
      <c r="I11" t="s">
        <v>25</v>
      </c>
      <c r="J11">
        <v>14.8</v>
      </c>
      <c r="K11">
        <v>4</v>
      </c>
      <c r="L11" t="s">
        <v>27</v>
      </c>
      <c r="M11">
        <v>2</v>
      </c>
      <c r="N11" t="s">
        <v>27</v>
      </c>
      <c r="O11" t="s">
        <v>28</v>
      </c>
      <c r="P11" t="s">
        <v>57</v>
      </c>
      <c r="Q11" t="s">
        <v>58</v>
      </c>
      <c r="R11" t="str">
        <f>IF(Table14[[#This Row],[Resolution_Time]]&gt;Table14[[#This Row],[SLA_Target]],"No", "Yes")</f>
        <v>No</v>
      </c>
      <c r="S11" t="str">
        <f>IF(Table14[[#This Row],[Calculated_SLA]]=Table14[[#This Row],[SLA_Met]],"Match","Mismatch")</f>
        <v>Match</v>
      </c>
      <c r="T11">
        <f>IF(Table14[[#This Row],[Calculated_SLA]]="Yes",1,0)</f>
        <v>0</v>
      </c>
      <c r="U11" t="str">
        <f>IF(COUNTIFS(Reference_data!A:A,Table14[[#This Row],[Category]],Reference_data!B:B,Table14[[#This Row],[Subcategory]])&gt;0,"Valid","Invalid")</f>
        <v>Valid</v>
      </c>
    </row>
    <row r="12" spans="1:21">
      <c r="A12" t="s">
        <v>92</v>
      </c>
      <c r="B12" t="s">
        <v>50</v>
      </c>
      <c r="C12" s="31" t="s">
        <v>1696</v>
      </c>
      <c r="D12" s="32" t="s">
        <v>2062</v>
      </c>
      <c r="E12" t="s">
        <v>78</v>
      </c>
      <c r="F12" t="s">
        <v>79</v>
      </c>
      <c r="G12" t="s">
        <v>23</v>
      </c>
      <c r="H12" t="s">
        <v>86</v>
      </c>
      <c r="I12" t="s">
        <v>80</v>
      </c>
      <c r="J12">
        <v>14.5</v>
      </c>
      <c r="K12">
        <v>24</v>
      </c>
      <c r="L12" t="s">
        <v>26</v>
      </c>
      <c r="M12">
        <v>4</v>
      </c>
      <c r="N12" t="s">
        <v>27</v>
      </c>
      <c r="O12" t="s">
        <v>28</v>
      </c>
      <c r="P12" t="s">
        <v>29</v>
      </c>
      <c r="Q12" t="s">
        <v>39</v>
      </c>
      <c r="R12" t="str">
        <f>IF(Table14[[#This Row],[Resolution_Time]]&gt;Table14[[#This Row],[SLA_Target]],"No", "Yes")</f>
        <v>Yes</v>
      </c>
      <c r="S12" t="str">
        <f>IF(Table14[[#This Row],[Calculated_SLA]]=Table14[[#This Row],[SLA_Met]],"Match","Mismatch")</f>
        <v>Match</v>
      </c>
      <c r="T12">
        <f>IF(Table14[[#This Row],[Calculated_SLA]]="Yes",1,0)</f>
        <v>1</v>
      </c>
      <c r="U12" t="str">
        <f>IF(COUNTIFS(Reference_data!A:A,Table14[[#This Row],[Category]],Reference_data!B:B,Table14[[#This Row],[Subcategory]])&gt;0,"Valid","Invalid")</f>
        <v>Valid</v>
      </c>
    </row>
    <row r="13" spans="1:21">
      <c r="A13" t="s">
        <v>95</v>
      </c>
      <c r="B13" t="s">
        <v>32</v>
      </c>
      <c r="C13" s="31" t="s">
        <v>1697</v>
      </c>
      <c r="D13" s="32" t="s">
        <v>2063</v>
      </c>
      <c r="E13" t="s">
        <v>21</v>
      </c>
      <c r="F13" t="s">
        <v>22</v>
      </c>
      <c r="G13" t="s">
        <v>46</v>
      </c>
      <c r="H13" t="s">
        <v>55</v>
      </c>
      <c r="I13" t="s">
        <v>25</v>
      </c>
      <c r="J13">
        <v>12.8</v>
      </c>
      <c r="K13">
        <v>8</v>
      </c>
      <c r="L13" t="s">
        <v>27</v>
      </c>
      <c r="M13">
        <v>2</v>
      </c>
      <c r="N13" t="s">
        <v>27</v>
      </c>
      <c r="O13" t="s">
        <v>28</v>
      </c>
      <c r="P13" t="s">
        <v>57</v>
      </c>
      <c r="Q13" t="s">
        <v>39</v>
      </c>
      <c r="R13" t="str">
        <f>IF(Table14[[#This Row],[Resolution_Time]]&gt;Table14[[#This Row],[SLA_Target]],"No", "Yes")</f>
        <v>No</v>
      </c>
      <c r="S13" t="str">
        <f>IF(Table14[[#This Row],[Calculated_SLA]]=Table14[[#This Row],[SLA_Met]],"Match","Mismatch")</f>
        <v>Match</v>
      </c>
      <c r="T13">
        <f>IF(Table14[[#This Row],[Calculated_SLA]]="Yes",1,0)</f>
        <v>0</v>
      </c>
      <c r="U13" t="str">
        <f>IF(COUNTIFS(Reference_data!A:A,Table14[[#This Row],[Category]],Reference_data!B:B,Table14[[#This Row],[Subcategory]])&gt;0,"Valid","Invalid")</f>
        <v>Valid</v>
      </c>
    </row>
    <row r="14" spans="1:21">
      <c r="A14" t="s">
        <v>98</v>
      </c>
      <c r="B14" t="s">
        <v>50</v>
      </c>
      <c r="C14" s="31" t="s">
        <v>1698</v>
      </c>
      <c r="D14" s="32" t="s">
        <v>2064</v>
      </c>
      <c r="E14" t="s">
        <v>21</v>
      </c>
      <c r="F14" t="s">
        <v>63</v>
      </c>
      <c r="G14" t="s">
        <v>46</v>
      </c>
      <c r="H14" t="s">
        <v>55</v>
      </c>
      <c r="I14" t="s">
        <v>25</v>
      </c>
      <c r="J14">
        <v>12.8</v>
      </c>
      <c r="K14">
        <v>8</v>
      </c>
      <c r="L14" t="s">
        <v>27</v>
      </c>
      <c r="M14">
        <v>2</v>
      </c>
      <c r="N14" t="s">
        <v>26</v>
      </c>
      <c r="O14" t="s">
        <v>28</v>
      </c>
      <c r="P14" t="s">
        <v>1670</v>
      </c>
      <c r="Q14" t="s">
        <v>101</v>
      </c>
      <c r="R14" t="str">
        <f>IF(Table14[[#This Row],[Resolution_Time]]&gt;Table14[[#This Row],[SLA_Target]],"No", "Yes")</f>
        <v>No</v>
      </c>
      <c r="S14" t="str">
        <f>IF(Table14[[#This Row],[Calculated_SLA]]=Table14[[#This Row],[SLA_Met]],"Match","Mismatch")</f>
        <v>Match</v>
      </c>
      <c r="T14">
        <f>IF(Table14[[#This Row],[Calculated_SLA]]="Yes",1,0)</f>
        <v>0</v>
      </c>
      <c r="U14" t="str">
        <f>IF(COUNTIFS(Reference_data!A:A,Table14[[#This Row],[Category]],Reference_data!B:B,Table14[[#This Row],[Subcategory]])&gt;0,"Valid","Invalid")</f>
        <v>Valid</v>
      </c>
    </row>
    <row r="15" spans="1:21">
      <c r="A15" t="s">
        <v>102</v>
      </c>
      <c r="B15" t="s">
        <v>66</v>
      </c>
      <c r="C15" s="31" t="s">
        <v>1699</v>
      </c>
      <c r="D15" s="32" t="s">
        <v>2065</v>
      </c>
      <c r="E15" t="s">
        <v>35</v>
      </c>
      <c r="F15" t="s">
        <v>36</v>
      </c>
      <c r="G15" t="s">
        <v>46</v>
      </c>
      <c r="H15" t="s">
        <v>24</v>
      </c>
      <c r="I15" t="s">
        <v>38</v>
      </c>
      <c r="J15">
        <v>9</v>
      </c>
      <c r="K15">
        <v>8</v>
      </c>
      <c r="L15" t="s">
        <v>27</v>
      </c>
      <c r="M15">
        <v>3</v>
      </c>
      <c r="N15" t="s">
        <v>26</v>
      </c>
      <c r="O15" t="s">
        <v>28</v>
      </c>
      <c r="P15" t="s">
        <v>1670</v>
      </c>
      <c r="Q15" t="s">
        <v>30</v>
      </c>
      <c r="R15" t="str">
        <f>IF(Table14[[#This Row],[Resolution_Time]]&gt;Table14[[#This Row],[SLA_Target]],"No", "Yes")</f>
        <v>No</v>
      </c>
      <c r="S15" t="str">
        <f>IF(Table14[[#This Row],[Calculated_SLA]]=Table14[[#This Row],[SLA_Met]],"Match","Mismatch")</f>
        <v>Match</v>
      </c>
      <c r="T15">
        <f>IF(Table14[[#This Row],[Calculated_SLA]]="Yes",1,0)</f>
        <v>0</v>
      </c>
      <c r="U15" t="str">
        <f>IF(COUNTIFS(Reference_data!A:A,Table14[[#This Row],[Category]],Reference_data!B:B,Table14[[#This Row],[Subcategory]])&gt;0,"Valid","Invalid")</f>
        <v>Valid</v>
      </c>
    </row>
    <row r="16" spans="1:21">
      <c r="A16" t="s">
        <v>105</v>
      </c>
      <c r="B16" t="s">
        <v>106</v>
      </c>
      <c r="C16" s="31" t="s">
        <v>1700</v>
      </c>
      <c r="D16" s="32" t="s">
        <v>2066</v>
      </c>
      <c r="E16" t="s">
        <v>44</v>
      </c>
      <c r="F16" t="s">
        <v>109</v>
      </c>
      <c r="G16" t="s">
        <v>23</v>
      </c>
      <c r="H16" t="s">
        <v>55</v>
      </c>
      <c r="I16" t="s">
        <v>48</v>
      </c>
      <c r="J16">
        <v>4.4000000000000004</v>
      </c>
      <c r="K16">
        <v>24</v>
      </c>
      <c r="L16" t="s">
        <v>26</v>
      </c>
      <c r="M16">
        <v>5</v>
      </c>
      <c r="N16" t="s">
        <v>27</v>
      </c>
      <c r="O16" t="s">
        <v>28</v>
      </c>
      <c r="P16" t="s">
        <v>29</v>
      </c>
      <c r="Q16" t="s">
        <v>101</v>
      </c>
      <c r="R16" t="str">
        <f>IF(Table14[[#This Row],[Resolution_Time]]&gt;Table14[[#This Row],[SLA_Target]],"No", "Yes")</f>
        <v>Yes</v>
      </c>
      <c r="S16" t="str">
        <f>IF(Table14[[#This Row],[Calculated_SLA]]=Table14[[#This Row],[SLA_Met]],"Match","Mismatch")</f>
        <v>Match</v>
      </c>
      <c r="T16">
        <f>IF(Table14[[#This Row],[Calculated_SLA]]="Yes",1,0)</f>
        <v>1</v>
      </c>
      <c r="U16" t="str">
        <f>IF(COUNTIFS(Reference_data!A:A,Table14[[#This Row],[Category]],Reference_data!B:B,Table14[[#This Row],[Subcategory]])&gt;0,"Valid","Invalid")</f>
        <v>Valid</v>
      </c>
    </row>
    <row r="17" spans="1:21">
      <c r="A17" t="s">
        <v>110</v>
      </c>
      <c r="B17" t="s">
        <v>75</v>
      </c>
      <c r="C17" s="31" t="s">
        <v>1701</v>
      </c>
      <c r="D17" s="32" t="s">
        <v>2067</v>
      </c>
      <c r="E17" t="s">
        <v>21</v>
      </c>
      <c r="F17" t="s">
        <v>69</v>
      </c>
      <c r="G17" t="s">
        <v>23</v>
      </c>
      <c r="H17" t="s">
        <v>24</v>
      </c>
      <c r="I17" t="s">
        <v>25</v>
      </c>
      <c r="J17">
        <v>9.1</v>
      </c>
      <c r="K17">
        <v>24</v>
      </c>
      <c r="L17" t="s">
        <v>26</v>
      </c>
      <c r="M17">
        <v>5</v>
      </c>
      <c r="N17" t="s">
        <v>27</v>
      </c>
      <c r="O17" t="s">
        <v>28</v>
      </c>
      <c r="P17" t="s">
        <v>29</v>
      </c>
      <c r="Q17" t="s">
        <v>30</v>
      </c>
      <c r="R17" t="str">
        <f>IF(Table14[[#This Row],[Resolution_Time]]&gt;Table14[[#This Row],[SLA_Target]],"No", "Yes")</f>
        <v>Yes</v>
      </c>
      <c r="S17" t="str">
        <f>IF(Table14[[#This Row],[Calculated_SLA]]=Table14[[#This Row],[SLA_Met]],"Match","Mismatch")</f>
        <v>Match</v>
      </c>
      <c r="T17">
        <f>IF(Table14[[#This Row],[Calculated_SLA]]="Yes",1,0)</f>
        <v>1</v>
      </c>
      <c r="U17" t="str">
        <f>IF(COUNTIFS(Reference_data!A:A,Table14[[#This Row],[Category]],Reference_data!B:B,Table14[[#This Row],[Subcategory]])&gt;0,"Valid","Invalid")</f>
        <v>Valid</v>
      </c>
    </row>
    <row r="18" spans="1:21">
      <c r="A18" t="s">
        <v>113</v>
      </c>
      <c r="B18" t="s">
        <v>50</v>
      </c>
      <c r="C18" s="31" t="s">
        <v>1702</v>
      </c>
      <c r="D18" s="32" t="s">
        <v>2068</v>
      </c>
      <c r="E18" t="s">
        <v>84</v>
      </c>
      <c r="F18" t="s">
        <v>116</v>
      </c>
      <c r="G18" t="s">
        <v>46</v>
      </c>
      <c r="H18" t="s">
        <v>70</v>
      </c>
      <c r="I18" t="s">
        <v>87</v>
      </c>
      <c r="J18">
        <v>5.2</v>
      </c>
      <c r="K18">
        <v>8</v>
      </c>
      <c r="L18" t="s">
        <v>26</v>
      </c>
      <c r="M18">
        <v>4</v>
      </c>
      <c r="N18" t="s">
        <v>27</v>
      </c>
      <c r="O18" t="s">
        <v>28</v>
      </c>
      <c r="P18" t="s">
        <v>29</v>
      </c>
      <c r="Q18" t="s">
        <v>58</v>
      </c>
      <c r="R18" t="str">
        <f>IF(Table14[[#This Row],[Resolution_Time]]&gt;Table14[[#This Row],[SLA_Target]],"No", "Yes")</f>
        <v>Yes</v>
      </c>
      <c r="S18" t="str">
        <f>IF(Table14[[#This Row],[Calculated_SLA]]=Table14[[#This Row],[SLA_Met]],"Match","Mismatch")</f>
        <v>Match</v>
      </c>
      <c r="T18">
        <f>IF(Table14[[#This Row],[Calculated_SLA]]="Yes",1,0)</f>
        <v>1</v>
      </c>
      <c r="U18" t="str">
        <f>IF(COUNTIFS(Reference_data!A:A,Table14[[#This Row],[Category]],Reference_data!B:B,Table14[[#This Row],[Subcategory]])&gt;0,"Valid","Invalid")</f>
        <v>Valid</v>
      </c>
    </row>
    <row r="19" spans="1:21">
      <c r="A19" t="s">
        <v>117</v>
      </c>
      <c r="B19" t="s">
        <v>50</v>
      </c>
      <c r="C19" s="31" t="s">
        <v>1703</v>
      </c>
      <c r="D19" s="32" t="s">
        <v>2069</v>
      </c>
      <c r="E19" t="s">
        <v>78</v>
      </c>
      <c r="F19" t="s">
        <v>79</v>
      </c>
      <c r="G19" t="s">
        <v>46</v>
      </c>
      <c r="H19" t="s">
        <v>64</v>
      </c>
      <c r="I19" t="s">
        <v>80</v>
      </c>
      <c r="J19">
        <v>9.1999999999999993</v>
      </c>
      <c r="K19">
        <v>8</v>
      </c>
      <c r="L19" t="s">
        <v>27</v>
      </c>
      <c r="M19" t="s">
        <v>2448</v>
      </c>
      <c r="N19" t="s">
        <v>26</v>
      </c>
      <c r="O19" t="s">
        <v>28</v>
      </c>
      <c r="P19" t="s">
        <v>57</v>
      </c>
      <c r="Q19" t="s">
        <v>39</v>
      </c>
      <c r="R19" t="str">
        <f>IF(Table14[[#This Row],[Resolution_Time]]&gt;Table14[[#This Row],[SLA_Target]],"No", "Yes")</f>
        <v>No</v>
      </c>
      <c r="S19" t="str">
        <f>IF(Table14[[#This Row],[Calculated_SLA]]=Table14[[#This Row],[SLA_Met]],"Match","Mismatch")</f>
        <v>Match</v>
      </c>
      <c r="T19">
        <f>IF(Table14[[#This Row],[Calculated_SLA]]="Yes",1,0)</f>
        <v>0</v>
      </c>
      <c r="U19" t="str">
        <f>IF(COUNTIFS(Reference_data!A:A,Table14[[#This Row],[Category]],Reference_data!B:B,Table14[[#This Row],[Subcategory]])&gt;0,"Valid","Invalid")</f>
        <v>Valid</v>
      </c>
    </row>
    <row r="20" spans="1:21">
      <c r="A20" t="s">
        <v>120</v>
      </c>
      <c r="B20" t="s">
        <v>121</v>
      </c>
      <c r="C20" s="31" t="s">
        <v>1704</v>
      </c>
      <c r="D20" s="32" t="s">
        <v>2070</v>
      </c>
      <c r="E20" t="s">
        <v>21</v>
      </c>
      <c r="F20" t="s">
        <v>63</v>
      </c>
      <c r="G20" t="s">
        <v>46</v>
      </c>
      <c r="H20" t="s">
        <v>55</v>
      </c>
      <c r="I20" t="s">
        <v>25</v>
      </c>
      <c r="J20">
        <v>6.6</v>
      </c>
      <c r="K20">
        <v>8</v>
      </c>
      <c r="L20" t="s">
        <v>26</v>
      </c>
      <c r="M20">
        <v>4</v>
      </c>
      <c r="N20" t="s">
        <v>27</v>
      </c>
      <c r="O20" t="s">
        <v>28</v>
      </c>
      <c r="P20" t="s">
        <v>29</v>
      </c>
      <c r="Q20" t="s">
        <v>101</v>
      </c>
      <c r="R20" t="str">
        <f>IF(Table14[[#This Row],[Resolution_Time]]&gt;Table14[[#This Row],[SLA_Target]],"No", "Yes")</f>
        <v>Yes</v>
      </c>
      <c r="S20" t="str">
        <f>IF(Table14[[#This Row],[Calculated_SLA]]=Table14[[#This Row],[SLA_Met]],"Match","Mismatch")</f>
        <v>Match</v>
      </c>
      <c r="T20">
        <f>IF(Table14[[#This Row],[Calculated_SLA]]="Yes",1,0)</f>
        <v>1</v>
      </c>
      <c r="U20" t="str">
        <f>IF(COUNTIFS(Reference_data!A:A,Table14[[#This Row],[Category]],Reference_data!B:B,Table14[[#This Row],[Subcategory]])&gt;0,"Valid","Invalid")</f>
        <v>Valid</v>
      </c>
    </row>
    <row r="21" spans="1:21">
      <c r="A21" t="s">
        <v>124</v>
      </c>
      <c r="B21" t="s">
        <v>50</v>
      </c>
      <c r="C21" s="31" t="s">
        <v>1705</v>
      </c>
      <c r="D21" s="32" t="s">
        <v>2071</v>
      </c>
      <c r="E21" t="s">
        <v>35</v>
      </c>
      <c r="F21" t="s">
        <v>127</v>
      </c>
      <c r="G21" t="s">
        <v>46</v>
      </c>
      <c r="H21" t="s">
        <v>55</v>
      </c>
      <c r="I21" t="s">
        <v>56</v>
      </c>
      <c r="J21">
        <v>5.0999999999999996</v>
      </c>
      <c r="K21">
        <v>8</v>
      </c>
      <c r="L21" t="s">
        <v>26</v>
      </c>
      <c r="M21">
        <v>4</v>
      </c>
      <c r="N21" t="s">
        <v>27</v>
      </c>
      <c r="O21" t="s">
        <v>28</v>
      </c>
      <c r="P21" t="s">
        <v>29</v>
      </c>
      <c r="Q21" t="s">
        <v>39</v>
      </c>
      <c r="R21" t="str">
        <f>IF(Table14[[#This Row],[Resolution_Time]]&gt;Table14[[#This Row],[SLA_Target]],"No", "Yes")</f>
        <v>Yes</v>
      </c>
      <c r="S21" t="str">
        <f>IF(Table14[[#This Row],[Calculated_SLA]]=Table14[[#This Row],[SLA_Met]],"Match","Mismatch")</f>
        <v>Match</v>
      </c>
      <c r="T21">
        <f>IF(Table14[[#This Row],[Calculated_SLA]]="Yes",1,0)</f>
        <v>1</v>
      </c>
      <c r="U21" t="str">
        <f>IF(COUNTIFS(Reference_data!A:A,Table14[[#This Row],[Category]],Reference_data!B:B,Table14[[#This Row],[Subcategory]])&gt;0,"Valid","Invalid")</f>
        <v>Valid</v>
      </c>
    </row>
    <row r="22" spans="1:21">
      <c r="A22" t="s">
        <v>128</v>
      </c>
      <c r="B22" t="s">
        <v>32</v>
      </c>
      <c r="C22" s="31" t="s">
        <v>1706</v>
      </c>
      <c r="D22" s="32" t="s">
        <v>2072</v>
      </c>
      <c r="E22" t="s">
        <v>21</v>
      </c>
      <c r="F22" t="s">
        <v>22</v>
      </c>
      <c r="G22" t="s">
        <v>23</v>
      </c>
      <c r="H22" t="s">
        <v>47</v>
      </c>
      <c r="I22" t="s">
        <v>25</v>
      </c>
      <c r="J22">
        <v>9.6</v>
      </c>
      <c r="K22">
        <v>24</v>
      </c>
      <c r="L22" t="s">
        <v>26</v>
      </c>
      <c r="M22">
        <v>4</v>
      </c>
      <c r="N22" t="s">
        <v>27</v>
      </c>
      <c r="O22" t="s">
        <v>28</v>
      </c>
      <c r="P22" t="s">
        <v>29</v>
      </c>
      <c r="Q22" t="s">
        <v>39</v>
      </c>
      <c r="R22" t="str">
        <f>IF(Table14[[#This Row],[Resolution_Time]]&gt;Table14[[#This Row],[SLA_Target]],"No", "Yes")</f>
        <v>Yes</v>
      </c>
      <c r="S22" t="str">
        <f>IF(Table14[[#This Row],[Calculated_SLA]]=Table14[[#This Row],[SLA_Met]],"Match","Mismatch")</f>
        <v>Match</v>
      </c>
      <c r="T22">
        <f>IF(Table14[[#This Row],[Calculated_SLA]]="Yes",1,0)</f>
        <v>1</v>
      </c>
      <c r="U22" t="str">
        <f>IF(COUNTIFS(Reference_data!A:A,Table14[[#This Row],[Category]],Reference_data!B:B,Table14[[#This Row],[Subcategory]])&gt;0,"Valid","Invalid")</f>
        <v>Valid</v>
      </c>
    </row>
    <row r="23" spans="1:21">
      <c r="A23" t="s">
        <v>131</v>
      </c>
      <c r="B23" t="s">
        <v>121</v>
      </c>
      <c r="C23" s="31" t="s">
        <v>1707</v>
      </c>
      <c r="D23" s="32" t="s">
        <v>2073</v>
      </c>
      <c r="E23" t="s">
        <v>84</v>
      </c>
      <c r="F23" t="s">
        <v>85</v>
      </c>
      <c r="G23" t="s">
        <v>23</v>
      </c>
      <c r="H23" t="s">
        <v>70</v>
      </c>
      <c r="I23" t="s">
        <v>87</v>
      </c>
      <c r="J23">
        <v>7.4</v>
      </c>
      <c r="K23">
        <v>24</v>
      </c>
      <c r="L23" t="s">
        <v>26</v>
      </c>
      <c r="M23">
        <v>5</v>
      </c>
      <c r="N23" t="s">
        <v>27</v>
      </c>
      <c r="O23" t="s">
        <v>28</v>
      </c>
      <c r="P23" t="s">
        <v>29</v>
      </c>
      <c r="Q23" t="s">
        <v>58</v>
      </c>
      <c r="R23" t="str">
        <f>IF(Table14[[#This Row],[Resolution_Time]]&gt;Table14[[#This Row],[SLA_Target]],"No", "Yes")</f>
        <v>Yes</v>
      </c>
      <c r="S23" t="str">
        <f>IF(Table14[[#This Row],[Calculated_SLA]]=Table14[[#This Row],[SLA_Met]],"Match","Mismatch")</f>
        <v>Match</v>
      </c>
      <c r="T23">
        <f>IF(Table14[[#This Row],[Calculated_SLA]]="Yes",1,0)</f>
        <v>1</v>
      </c>
      <c r="U23" t="str">
        <f>IF(COUNTIFS(Reference_data!A:A,Table14[[#This Row],[Category]],Reference_data!B:B,Table14[[#This Row],[Subcategory]])&gt;0,"Valid","Invalid")</f>
        <v>Valid</v>
      </c>
    </row>
    <row r="24" spans="1:21">
      <c r="A24" t="s">
        <v>134</v>
      </c>
      <c r="B24" t="s">
        <v>135</v>
      </c>
      <c r="C24" s="31" t="s">
        <v>1708</v>
      </c>
      <c r="D24" s="32" t="s">
        <v>2074</v>
      </c>
      <c r="E24" t="s">
        <v>35</v>
      </c>
      <c r="F24" t="s">
        <v>53</v>
      </c>
      <c r="G24" t="s">
        <v>46</v>
      </c>
      <c r="H24" t="s">
        <v>138</v>
      </c>
      <c r="I24" t="s">
        <v>56</v>
      </c>
      <c r="J24">
        <v>9.1</v>
      </c>
      <c r="K24">
        <v>8</v>
      </c>
      <c r="L24" t="s">
        <v>27</v>
      </c>
      <c r="M24" t="s">
        <v>2448</v>
      </c>
      <c r="N24" t="s">
        <v>26</v>
      </c>
      <c r="O24" t="s">
        <v>28</v>
      </c>
      <c r="P24" t="s">
        <v>1670</v>
      </c>
      <c r="Q24" t="s">
        <v>101</v>
      </c>
      <c r="R24" t="str">
        <f>IF(Table14[[#This Row],[Resolution_Time]]&gt;Table14[[#This Row],[SLA_Target]],"No", "Yes")</f>
        <v>No</v>
      </c>
      <c r="S24" t="str">
        <f>IF(Table14[[#This Row],[Calculated_SLA]]=Table14[[#This Row],[SLA_Met]],"Match","Mismatch")</f>
        <v>Match</v>
      </c>
      <c r="T24">
        <f>IF(Table14[[#This Row],[Calculated_SLA]]="Yes",1,0)</f>
        <v>0</v>
      </c>
      <c r="U24" t="str">
        <f>IF(COUNTIFS(Reference_data!A:A,Table14[[#This Row],[Category]],Reference_data!B:B,Table14[[#This Row],[Subcategory]])&gt;0,"Valid","Invalid")</f>
        <v>Valid</v>
      </c>
    </row>
    <row r="25" spans="1:21">
      <c r="A25" t="s">
        <v>139</v>
      </c>
      <c r="B25" t="s">
        <v>121</v>
      </c>
      <c r="C25" s="31" t="s">
        <v>1709</v>
      </c>
      <c r="D25" s="32" t="s">
        <v>2075</v>
      </c>
      <c r="E25" t="s">
        <v>35</v>
      </c>
      <c r="F25" t="s">
        <v>53</v>
      </c>
      <c r="G25" t="s">
        <v>46</v>
      </c>
      <c r="H25" t="s">
        <v>91</v>
      </c>
      <c r="I25" t="s">
        <v>56</v>
      </c>
      <c r="J25">
        <v>8</v>
      </c>
      <c r="K25">
        <v>8</v>
      </c>
      <c r="L25" t="s">
        <v>26</v>
      </c>
      <c r="M25">
        <v>5</v>
      </c>
      <c r="N25" t="s">
        <v>27</v>
      </c>
      <c r="O25" t="s">
        <v>28</v>
      </c>
      <c r="P25" t="s">
        <v>29</v>
      </c>
      <c r="Q25" t="s">
        <v>30</v>
      </c>
      <c r="R25" t="str">
        <f>IF(Table14[[#This Row],[Resolution_Time]]&gt;Table14[[#This Row],[SLA_Target]],"No", "Yes")</f>
        <v>Yes</v>
      </c>
      <c r="S25" t="str">
        <f>IF(Table14[[#This Row],[Calculated_SLA]]=Table14[[#This Row],[SLA_Met]],"Match","Mismatch")</f>
        <v>Match</v>
      </c>
      <c r="T25">
        <f>IF(Table14[[#This Row],[Calculated_SLA]]="Yes",1,0)</f>
        <v>1</v>
      </c>
      <c r="U25" t="str">
        <f>IF(COUNTIFS(Reference_data!A:A,Table14[[#This Row],[Category]],Reference_data!B:B,Table14[[#This Row],[Subcategory]])&gt;0,"Valid","Invalid")</f>
        <v>Valid</v>
      </c>
    </row>
    <row r="26" spans="1:21">
      <c r="A26" t="s">
        <v>142</v>
      </c>
      <c r="B26" t="s">
        <v>32</v>
      </c>
      <c r="C26" s="31" t="s">
        <v>1710</v>
      </c>
      <c r="D26" s="32" t="s">
        <v>2076</v>
      </c>
      <c r="E26" t="s">
        <v>21</v>
      </c>
      <c r="F26" t="s">
        <v>69</v>
      </c>
      <c r="G26" t="s">
        <v>46</v>
      </c>
      <c r="H26" t="s">
        <v>55</v>
      </c>
      <c r="I26" t="s">
        <v>25</v>
      </c>
      <c r="J26">
        <v>14.7</v>
      </c>
      <c r="K26">
        <v>8</v>
      </c>
      <c r="L26" t="s">
        <v>27</v>
      </c>
      <c r="M26">
        <v>1</v>
      </c>
      <c r="N26" t="s">
        <v>26</v>
      </c>
      <c r="O26" t="s">
        <v>28</v>
      </c>
      <c r="P26" t="s">
        <v>1670</v>
      </c>
      <c r="Q26" t="s">
        <v>101</v>
      </c>
      <c r="R26" t="str">
        <f>IF(Table14[[#This Row],[Resolution_Time]]&gt;Table14[[#This Row],[SLA_Target]],"No", "Yes")</f>
        <v>No</v>
      </c>
      <c r="S26" t="str">
        <f>IF(Table14[[#This Row],[Calculated_SLA]]=Table14[[#This Row],[SLA_Met]],"Match","Mismatch")</f>
        <v>Match</v>
      </c>
      <c r="T26">
        <f>IF(Table14[[#This Row],[Calculated_SLA]]="Yes",1,0)</f>
        <v>0</v>
      </c>
      <c r="U26" t="str">
        <f>IF(COUNTIFS(Reference_data!A:A,Table14[[#This Row],[Category]],Reference_data!B:B,Table14[[#This Row],[Subcategory]])&gt;0,"Valid","Invalid")</f>
        <v>Valid</v>
      </c>
    </row>
    <row r="27" spans="1:21">
      <c r="A27" t="s">
        <v>145</v>
      </c>
      <c r="B27" t="s">
        <v>135</v>
      </c>
      <c r="C27" s="31" t="s">
        <v>1711</v>
      </c>
      <c r="D27" s="32" t="s">
        <v>2077</v>
      </c>
      <c r="E27" t="s">
        <v>84</v>
      </c>
      <c r="F27" t="s">
        <v>116</v>
      </c>
      <c r="G27" t="s">
        <v>46</v>
      </c>
      <c r="H27" t="s">
        <v>91</v>
      </c>
      <c r="I27" t="s">
        <v>87</v>
      </c>
      <c r="J27">
        <v>9.1999999999999993</v>
      </c>
      <c r="K27">
        <v>8</v>
      </c>
      <c r="L27" t="s">
        <v>27</v>
      </c>
      <c r="M27">
        <v>3</v>
      </c>
      <c r="N27" t="s">
        <v>27</v>
      </c>
      <c r="O27" t="s">
        <v>28</v>
      </c>
      <c r="P27" t="s">
        <v>57</v>
      </c>
      <c r="Q27" t="s">
        <v>101</v>
      </c>
      <c r="R27" t="str">
        <f>IF(Table14[[#This Row],[Resolution_Time]]&gt;Table14[[#This Row],[SLA_Target]],"No", "Yes")</f>
        <v>No</v>
      </c>
      <c r="S27" t="str">
        <f>IF(Table14[[#This Row],[Calculated_SLA]]=Table14[[#This Row],[SLA_Met]],"Match","Mismatch")</f>
        <v>Match</v>
      </c>
      <c r="T27">
        <f>IF(Table14[[#This Row],[Calculated_SLA]]="Yes",1,0)</f>
        <v>0</v>
      </c>
      <c r="U27" t="str">
        <f>IF(COUNTIFS(Reference_data!A:A,Table14[[#This Row],[Category]],Reference_data!B:B,Table14[[#This Row],[Subcategory]])&gt;0,"Valid","Invalid")</f>
        <v>Valid</v>
      </c>
    </row>
    <row r="28" spans="1:21">
      <c r="A28" t="s">
        <v>148</v>
      </c>
      <c r="B28" t="s">
        <v>75</v>
      </c>
      <c r="C28" s="31" t="s">
        <v>1712</v>
      </c>
      <c r="D28" s="32" t="s">
        <v>2078</v>
      </c>
      <c r="E28" t="s">
        <v>35</v>
      </c>
      <c r="F28" t="s">
        <v>53</v>
      </c>
      <c r="G28" t="s">
        <v>23</v>
      </c>
      <c r="H28" t="s">
        <v>64</v>
      </c>
      <c r="I28" t="s">
        <v>56</v>
      </c>
      <c r="J28">
        <v>6.3</v>
      </c>
      <c r="K28">
        <v>24</v>
      </c>
      <c r="L28" t="s">
        <v>26</v>
      </c>
      <c r="M28">
        <v>4</v>
      </c>
      <c r="N28" t="s">
        <v>27</v>
      </c>
      <c r="O28" t="s">
        <v>28</v>
      </c>
      <c r="P28" t="s">
        <v>29</v>
      </c>
      <c r="Q28" t="s">
        <v>101</v>
      </c>
      <c r="R28" t="str">
        <f>IF(Table14[[#This Row],[Resolution_Time]]&gt;Table14[[#This Row],[SLA_Target]],"No", "Yes")</f>
        <v>Yes</v>
      </c>
      <c r="S28" t="str">
        <f>IF(Table14[[#This Row],[Calculated_SLA]]=Table14[[#This Row],[SLA_Met]],"Match","Mismatch")</f>
        <v>Match</v>
      </c>
      <c r="T28">
        <f>IF(Table14[[#This Row],[Calculated_SLA]]="Yes",1,0)</f>
        <v>1</v>
      </c>
      <c r="U28" t="str">
        <f>IF(COUNTIFS(Reference_data!A:A,Table14[[#This Row],[Category]],Reference_data!B:B,Table14[[#This Row],[Subcategory]])&gt;0,"Valid","Invalid")</f>
        <v>Valid</v>
      </c>
    </row>
    <row r="29" spans="1:21">
      <c r="A29" t="s">
        <v>151</v>
      </c>
      <c r="B29" t="s">
        <v>135</v>
      </c>
      <c r="C29" s="31" t="s">
        <v>1713</v>
      </c>
      <c r="D29" s="32" t="s">
        <v>2079</v>
      </c>
      <c r="E29" t="s">
        <v>21</v>
      </c>
      <c r="F29" t="s">
        <v>22</v>
      </c>
      <c r="G29" t="s">
        <v>46</v>
      </c>
      <c r="H29" t="s">
        <v>64</v>
      </c>
      <c r="I29" t="s">
        <v>25</v>
      </c>
      <c r="J29">
        <v>9.5</v>
      </c>
      <c r="K29">
        <v>8</v>
      </c>
      <c r="L29" t="s">
        <v>27</v>
      </c>
      <c r="M29">
        <v>3</v>
      </c>
      <c r="N29" t="s">
        <v>26</v>
      </c>
      <c r="O29" t="s">
        <v>28</v>
      </c>
      <c r="P29" t="s">
        <v>1670</v>
      </c>
      <c r="Q29" t="s">
        <v>39</v>
      </c>
      <c r="R29" t="str">
        <f>IF(Table14[[#This Row],[Resolution_Time]]&gt;Table14[[#This Row],[SLA_Target]],"No", "Yes")</f>
        <v>No</v>
      </c>
      <c r="S29" t="str">
        <f>IF(Table14[[#This Row],[Calculated_SLA]]=Table14[[#This Row],[SLA_Met]],"Match","Mismatch")</f>
        <v>Match</v>
      </c>
      <c r="T29">
        <f>IF(Table14[[#This Row],[Calculated_SLA]]="Yes",1,0)</f>
        <v>0</v>
      </c>
      <c r="U29" t="str">
        <f>IF(COUNTIFS(Reference_data!A:A,Table14[[#This Row],[Category]],Reference_data!B:B,Table14[[#This Row],[Subcategory]])&gt;0,"Valid","Invalid")</f>
        <v>Valid</v>
      </c>
    </row>
    <row r="30" spans="1:21">
      <c r="A30" t="s">
        <v>154</v>
      </c>
      <c r="B30" t="s">
        <v>75</v>
      </c>
      <c r="C30" s="31" t="s">
        <v>1714</v>
      </c>
      <c r="D30" s="32" t="s">
        <v>2080</v>
      </c>
      <c r="E30" t="s">
        <v>21</v>
      </c>
      <c r="F30" t="s">
        <v>63</v>
      </c>
      <c r="G30" t="s">
        <v>23</v>
      </c>
      <c r="H30" t="s">
        <v>55</v>
      </c>
      <c r="I30" t="s">
        <v>25</v>
      </c>
      <c r="J30">
        <v>12.4</v>
      </c>
      <c r="K30">
        <v>24</v>
      </c>
      <c r="L30" t="s">
        <v>27</v>
      </c>
      <c r="M30">
        <v>3</v>
      </c>
      <c r="N30" t="s">
        <v>26</v>
      </c>
      <c r="O30" t="s">
        <v>28</v>
      </c>
      <c r="P30" t="s">
        <v>57</v>
      </c>
      <c r="Q30" t="s">
        <v>39</v>
      </c>
      <c r="R30" t="str">
        <f>IF(Table14[[#This Row],[Resolution_Time]]&gt;Table14[[#This Row],[SLA_Target]],"No", "Yes")</f>
        <v>Yes</v>
      </c>
      <c r="S30" t="str">
        <f>IF(Table14[[#This Row],[Calculated_SLA]]=Table14[[#This Row],[SLA_Met]],"Match","Mismatch")</f>
        <v>Mismatch</v>
      </c>
      <c r="T30">
        <f>IF(Table14[[#This Row],[Calculated_SLA]]="Yes",1,0)</f>
        <v>1</v>
      </c>
      <c r="U30" t="str">
        <f>IF(COUNTIFS(Reference_data!A:A,Table14[[#This Row],[Category]],Reference_data!B:B,Table14[[#This Row],[Subcategory]])&gt;0,"Valid","Invalid")</f>
        <v>Valid</v>
      </c>
    </row>
    <row r="31" spans="1:21">
      <c r="A31" t="s">
        <v>157</v>
      </c>
      <c r="B31" t="s">
        <v>41</v>
      </c>
      <c r="C31" s="31" t="s">
        <v>1715</v>
      </c>
      <c r="D31" s="32" t="s">
        <v>2081</v>
      </c>
      <c r="E31" t="s">
        <v>78</v>
      </c>
      <c r="F31" t="s">
        <v>79</v>
      </c>
      <c r="G31" t="s">
        <v>46</v>
      </c>
      <c r="H31" t="s">
        <v>55</v>
      </c>
      <c r="I31" t="s">
        <v>80</v>
      </c>
      <c r="J31">
        <v>15.5</v>
      </c>
      <c r="K31">
        <v>8</v>
      </c>
      <c r="L31" t="s">
        <v>27</v>
      </c>
      <c r="M31">
        <v>1</v>
      </c>
      <c r="N31" t="s">
        <v>27</v>
      </c>
      <c r="O31" t="s">
        <v>28</v>
      </c>
      <c r="P31" t="s">
        <v>57</v>
      </c>
      <c r="Q31" t="s">
        <v>39</v>
      </c>
      <c r="R31" t="str">
        <f>IF(Table14[[#This Row],[Resolution_Time]]&gt;Table14[[#This Row],[SLA_Target]],"No", "Yes")</f>
        <v>No</v>
      </c>
      <c r="S31" t="str">
        <f>IF(Table14[[#This Row],[Calculated_SLA]]=Table14[[#This Row],[SLA_Met]],"Match","Mismatch")</f>
        <v>Match</v>
      </c>
      <c r="T31">
        <f>IF(Table14[[#This Row],[Calculated_SLA]]="Yes",1,0)</f>
        <v>0</v>
      </c>
      <c r="U31" t="str">
        <f>IF(COUNTIFS(Reference_data!A:A,Table14[[#This Row],[Category]],Reference_data!B:B,Table14[[#This Row],[Subcategory]])&gt;0,"Valid","Invalid")</f>
        <v>Valid</v>
      </c>
    </row>
    <row r="32" spans="1:21">
      <c r="A32" t="s">
        <v>160</v>
      </c>
      <c r="B32" t="s">
        <v>135</v>
      </c>
      <c r="C32" s="31" t="s">
        <v>1716</v>
      </c>
      <c r="D32" s="32" t="s">
        <v>2082</v>
      </c>
      <c r="E32" t="s">
        <v>35</v>
      </c>
      <c r="F32" t="s">
        <v>127</v>
      </c>
      <c r="G32" t="s">
        <v>46</v>
      </c>
      <c r="H32" t="s">
        <v>91</v>
      </c>
      <c r="I32" t="s">
        <v>56</v>
      </c>
      <c r="J32">
        <v>5.8</v>
      </c>
      <c r="K32">
        <v>8</v>
      </c>
      <c r="L32" t="s">
        <v>26</v>
      </c>
      <c r="M32">
        <v>4</v>
      </c>
      <c r="N32" t="s">
        <v>27</v>
      </c>
      <c r="O32" t="s">
        <v>28</v>
      </c>
      <c r="P32" t="s">
        <v>29</v>
      </c>
      <c r="Q32" t="s">
        <v>58</v>
      </c>
      <c r="R32" t="str">
        <f>IF(Table14[[#This Row],[Resolution_Time]]&gt;Table14[[#This Row],[SLA_Target]],"No", "Yes")</f>
        <v>Yes</v>
      </c>
      <c r="S32" t="str">
        <f>IF(Table14[[#This Row],[Calculated_SLA]]=Table14[[#This Row],[SLA_Met]],"Match","Mismatch")</f>
        <v>Match</v>
      </c>
      <c r="T32">
        <f>IF(Table14[[#This Row],[Calculated_SLA]]="Yes",1,0)</f>
        <v>1</v>
      </c>
      <c r="U32" t="str">
        <f>IF(COUNTIFS(Reference_data!A:A,Table14[[#This Row],[Category]],Reference_data!B:B,Table14[[#This Row],[Subcategory]])&gt;0,"Valid","Invalid")</f>
        <v>Valid</v>
      </c>
    </row>
    <row r="33" spans="1:21">
      <c r="A33" t="s">
        <v>163</v>
      </c>
      <c r="B33" t="s">
        <v>121</v>
      </c>
      <c r="C33" s="31" t="s">
        <v>1717</v>
      </c>
      <c r="D33" s="32" t="s">
        <v>2024</v>
      </c>
      <c r="E33" t="s">
        <v>78</v>
      </c>
      <c r="F33" t="s">
        <v>166</v>
      </c>
      <c r="G33" t="s">
        <v>46</v>
      </c>
      <c r="H33" t="s">
        <v>138</v>
      </c>
      <c r="I33" t="s">
        <v>80</v>
      </c>
      <c r="J33">
        <v>18.100000000000001</v>
      </c>
      <c r="K33">
        <v>8</v>
      </c>
      <c r="L33" t="s">
        <v>27</v>
      </c>
      <c r="M33">
        <v>2</v>
      </c>
      <c r="N33" t="s">
        <v>26</v>
      </c>
      <c r="O33" t="s">
        <v>28</v>
      </c>
      <c r="P33" t="s">
        <v>57</v>
      </c>
      <c r="Q33" t="s">
        <v>39</v>
      </c>
      <c r="R33" t="str">
        <f>IF(Table14[[#This Row],[Resolution_Time]]&gt;Table14[[#This Row],[SLA_Target]],"No", "Yes")</f>
        <v>No</v>
      </c>
      <c r="S33" t="str">
        <f>IF(Table14[[#This Row],[Calculated_SLA]]=Table14[[#This Row],[SLA_Met]],"Match","Mismatch")</f>
        <v>Match</v>
      </c>
      <c r="T33">
        <f>IF(Table14[[#This Row],[Calculated_SLA]]="Yes",1,0)</f>
        <v>0</v>
      </c>
      <c r="U33" t="str">
        <f>IF(COUNTIFS(Reference_data!A:A,Table14[[#This Row],[Category]],Reference_data!B:B,Table14[[#This Row],[Subcategory]])&gt;0,"Valid","Invalid")</f>
        <v>Valid</v>
      </c>
    </row>
    <row r="34" spans="1:21">
      <c r="A34" t="s">
        <v>167</v>
      </c>
      <c r="B34" t="s">
        <v>41</v>
      </c>
      <c r="C34" s="31" t="s">
        <v>1718</v>
      </c>
      <c r="D34" s="32" t="s">
        <v>2083</v>
      </c>
      <c r="E34" t="s">
        <v>21</v>
      </c>
      <c r="F34" t="s">
        <v>63</v>
      </c>
      <c r="G34" t="s">
        <v>23</v>
      </c>
      <c r="H34" t="s">
        <v>86</v>
      </c>
      <c r="I34" t="s">
        <v>25</v>
      </c>
      <c r="J34">
        <v>11.1</v>
      </c>
      <c r="K34">
        <v>24</v>
      </c>
      <c r="L34" t="s">
        <v>26</v>
      </c>
      <c r="M34">
        <v>5</v>
      </c>
      <c r="N34" t="s">
        <v>27</v>
      </c>
      <c r="O34" t="s">
        <v>28</v>
      </c>
      <c r="P34" t="s">
        <v>29</v>
      </c>
      <c r="Q34" t="s">
        <v>39</v>
      </c>
      <c r="R34" t="str">
        <f>IF(Table14[[#This Row],[Resolution_Time]]&gt;Table14[[#This Row],[SLA_Target]],"No", "Yes")</f>
        <v>Yes</v>
      </c>
      <c r="S34" t="str">
        <f>IF(Table14[[#This Row],[Calculated_SLA]]=Table14[[#This Row],[SLA_Met]],"Match","Mismatch")</f>
        <v>Match</v>
      </c>
      <c r="T34">
        <f>IF(Table14[[#This Row],[Calculated_SLA]]="Yes",1,0)</f>
        <v>1</v>
      </c>
      <c r="U34" t="str">
        <f>IF(COUNTIFS(Reference_data!A:A,Table14[[#This Row],[Category]],Reference_data!B:B,Table14[[#This Row],[Subcategory]])&gt;0,"Valid","Invalid")</f>
        <v>Valid</v>
      </c>
    </row>
    <row r="35" spans="1:21">
      <c r="A35" t="s">
        <v>170</v>
      </c>
      <c r="B35" t="s">
        <v>18</v>
      </c>
      <c r="C35" s="31" t="s">
        <v>1719</v>
      </c>
      <c r="D35" s="32" t="s">
        <v>2084</v>
      </c>
      <c r="E35" t="s">
        <v>35</v>
      </c>
      <c r="F35" t="s">
        <v>36</v>
      </c>
      <c r="G35" t="s">
        <v>54</v>
      </c>
      <c r="H35" t="s">
        <v>37</v>
      </c>
      <c r="I35" t="s">
        <v>38</v>
      </c>
      <c r="J35">
        <v>6.4</v>
      </c>
      <c r="K35">
        <v>4</v>
      </c>
      <c r="L35" t="s">
        <v>27</v>
      </c>
      <c r="M35">
        <v>3</v>
      </c>
      <c r="N35" t="s">
        <v>27</v>
      </c>
      <c r="O35" t="s">
        <v>28</v>
      </c>
      <c r="P35" t="s">
        <v>57</v>
      </c>
      <c r="Q35" t="s">
        <v>39</v>
      </c>
      <c r="R35" t="str">
        <f>IF(Table14[[#This Row],[Resolution_Time]]&gt;Table14[[#This Row],[SLA_Target]],"No", "Yes")</f>
        <v>No</v>
      </c>
      <c r="S35" t="str">
        <f>IF(Table14[[#This Row],[Calculated_SLA]]=Table14[[#This Row],[SLA_Met]],"Match","Mismatch")</f>
        <v>Match</v>
      </c>
      <c r="T35">
        <f>IF(Table14[[#This Row],[Calculated_SLA]]="Yes",1,0)</f>
        <v>0</v>
      </c>
      <c r="U35" t="str">
        <f>IF(COUNTIFS(Reference_data!A:A,Table14[[#This Row],[Category]],Reference_data!B:B,Table14[[#This Row],[Subcategory]])&gt;0,"Valid","Invalid")</f>
        <v>Valid</v>
      </c>
    </row>
    <row r="36" spans="1:21">
      <c r="A36" t="s">
        <v>173</v>
      </c>
      <c r="B36" t="s">
        <v>18</v>
      </c>
      <c r="C36" s="31" t="s">
        <v>1720</v>
      </c>
      <c r="D36" s="32" t="s">
        <v>1850</v>
      </c>
      <c r="E36" t="s">
        <v>78</v>
      </c>
      <c r="F36" t="s">
        <v>166</v>
      </c>
      <c r="G36" t="s">
        <v>23</v>
      </c>
      <c r="H36" t="s">
        <v>55</v>
      </c>
      <c r="I36" t="s">
        <v>80</v>
      </c>
      <c r="J36">
        <v>9.6</v>
      </c>
      <c r="K36">
        <v>24</v>
      </c>
      <c r="L36" t="s">
        <v>26</v>
      </c>
      <c r="M36">
        <v>4</v>
      </c>
      <c r="N36" t="s">
        <v>27</v>
      </c>
      <c r="O36" t="s">
        <v>28</v>
      </c>
      <c r="P36" t="s">
        <v>29</v>
      </c>
      <c r="Q36" t="s">
        <v>101</v>
      </c>
      <c r="R36" t="str">
        <f>IF(Table14[[#This Row],[Resolution_Time]]&gt;Table14[[#This Row],[SLA_Target]],"No", "Yes")</f>
        <v>Yes</v>
      </c>
      <c r="S36" t="str">
        <f>IF(Table14[[#This Row],[Calculated_SLA]]=Table14[[#This Row],[SLA_Met]],"Match","Mismatch")</f>
        <v>Match</v>
      </c>
      <c r="T36">
        <f>IF(Table14[[#This Row],[Calculated_SLA]]="Yes",1,0)</f>
        <v>1</v>
      </c>
      <c r="U36" t="str">
        <f>IF(COUNTIFS(Reference_data!A:A,Table14[[#This Row],[Category]],Reference_data!B:B,Table14[[#This Row],[Subcategory]])&gt;0,"Valid","Invalid")</f>
        <v>Valid</v>
      </c>
    </row>
    <row r="37" spans="1:21">
      <c r="A37" t="s">
        <v>176</v>
      </c>
      <c r="B37" t="s">
        <v>18</v>
      </c>
      <c r="C37" s="31" t="s">
        <v>1721</v>
      </c>
      <c r="D37" s="32" t="s">
        <v>2085</v>
      </c>
      <c r="E37" t="s">
        <v>21</v>
      </c>
      <c r="F37" t="s">
        <v>22</v>
      </c>
      <c r="G37" t="s">
        <v>23</v>
      </c>
      <c r="H37" t="s">
        <v>37</v>
      </c>
      <c r="I37" t="s">
        <v>25</v>
      </c>
      <c r="J37">
        <v>8.6</v>
      </c>
      <c r="K37">
        <v>24</v>
      </c>
      <c r="L37" t="s">
        <v>26</v>
      </c>
      <c r="M37">
        <v>5</v>
      </c>
      <c r="N37" t="s">
        <v>27</v>
      </c>
      <c r="O37" t="s">
        <v>28</v>
      </c>
      <c r="P37" t="s">
        <v>29</v>
      </c>
      <c r="Q37" t="s">
        <v>58</v>
      </c>
      <c r="R37" t="str">
        <f>IF(Table14[[#This Row],[Resolution_Time]]&gt;Table14[[#This Row],[SLA_Target]],"No", "Yes")</f>
        <v>Yes</v>
      </c>
      <c r="S37" t="str">
        <f>IF(Table14[[#This Row],[Calculated_SLA]]=Table14[[#This Row],[SLA_Met]],"Match","Mismatch")</f>
        <v>Match</v>
      </c>
      <c r="T37">
        <f>IF(Table14[[#This Row],[Calculated_SLA]]="Yes",1,0)</f>
        <v>1</v>
      </c>
      <c r="U37" t="str">
        <f>IF(COUNTIFS(Reference_data!A:A,Table14[[#This Row],[Category]],Reference_data!B:B,Table14[[#This Row],[Subcategory]])&gt;0,"Valid","Invalid")</f>
        <v>Valid</v>
      </c>
    </row>
    <row r="38" spans="1:21">
      <c r="A38" t="s">
        <v>179</v>
      </c>
      <c r="B38" t="s">
        <v>50</v>
      </c>
      <c r="C38" s="31" t="s">
        <v>1722</v>
      </c>
      <c r="D38" s="32" t="s">
        <v>2086</v>
      </c>
      <c r="E38" t="s">
        <v>21</v>
      </c>
      <c r="F38" t="s">
        <v>69</v>
      </c>
      <c r="G38" t="s">
        <v>46</v>
      </c>
      <c r="H38" t="s">
        <v>70</v>
      </c>
      <c r="I38" t="s">
        <v>25</v>
      </c>
      <c r="J38">
        <v>8.6</v>
      </c>
      <c r="K38">
        <v>8</v>
      </c>
      <c r="L38" t="s">
        <v>27</v>
      </c>
      <c r="M38">
        <v>3</v>
      </c>
      <c r="N38" t="s">
        <v>26</v>
      </c>
      <c r="O38" t="s">
        <v>28</v>
      </c>
      <c r="P38" t="s">
        <v>57</v>
      </c>
      <c r="Q38" t="s">
        <v>101</v>
      </c>
      <c r="R38" t="str">
        <f>IF(Table14[[#This Row],[Resolution_Time]]&gt;Table14[[#This Row],[SLA_Target]],"No", "Yes")</f>
        <v>No</v>
      </c>
      <c r="S38" t="str">
        <f>IF(Table14[[#This Row],[Calculated_SLA]]=Table14[[#This Row],[SLA_Met]],"Match","Mismatch")</f>
        <v>Match</v>
      </c>
      <c r="T38">
        <f>IF(Table14[[#This Row],[Calculated_SLA]]="Yes",1,0)</f>
        <v>0</v>
      </c>
      <c r="U38" t="str">
        <f>IF(COUNTIFS(Reference_data!A:A,Table14[[#This Row],[Category]],Reference_data!B:B,Table14[[#This Row],[Subcategory]])&gt;0,"Valid","Invalid")</f>
        <v>Valid</v>
      </c>
    </row>
    <row r="39" spans="1:21">
      <c r="A39" t="s">
        <v>182</v>
      </c>
      <c r="B39" t="s">
        <v>41</v>
      </c>
      <c r="C39" s="31" t="s">
        <v>1723</v>
      </c>
      <c r="D39" s="32" t="s">
        <v>2087</v>
      </c>
      <c r="E39" t="s">
        <v>35</v>
      </c>
      <c r="F39" t="s">
        <v>127</v>
      </c>
      <c r="G39" t="s">
        <v>46</v>
      </c>
      <c r="H39" t="s">
        <v>47</v>
      </c>
      <c r="I39" t="s">
        <v>56</v>
      </c>
      <c r="J39">
        <v>4.0999999999999996</v>
      </c>
      <c r="K39">
        <v>8</v>
      </c>
      <c r="L39" t="s">
        <v>26</v>
      </c>
      <c r="M39" t="s">
        <v>2448</v>
      </c>
      <c r="N39" t="s">
        <v>27</v>
      </c>
      <c r="O39" t="s">
        <v>28</v>
      </c>
      <c r="P39" t="s">
        <v>29</v>
      </c>
      <c r="Q39" t="s">
        <v>30</v>
      </c>
      <c r="R39" t="str">
        <f>IF(Table14[[#This Row],[Resolution_Time]]&gt;Table14[[#This Row],[SLA_Target]],"No", "Yes")</f>
        <v>Yes</v>
      </c>
      <c r="S39" t="str">
        <f>IF(Table14[[#This Row],[Calculated_SLA]]=Table14[[#This Row],[SLA_Met]],"Match","Mismatch")</f>
        <v>Match</v>
      </c>
      <c r="T39">
        <f>IF(Table14[[#This Row],[Calculated_SLA]]="Yes",1,0)</f>
        <v>1</v>
      </c>
      <c r="U39" t="str">
        <f>IF(COUNTIFS(Reference_data!A:A,Table14[[#This Row],[Category]],Reference_data!B:B,Table14[[#This Row],[Subcategory]])&gt;0,"Valid","Invalid")</f>
        <v>Valid</v>
      </c>
    </row>
    <row r="40" spans="1:21">
      <c r="A40" t="s">
        <v>185</v>
      </c>
      <c r="B40" t="s">
        <v>121</v>
      </c>
      <c r="C40" s="31" t="s">
        <v>1724</v>
      </c>
      <c r="D40" s="32" t="s">
        <v>2088</v>
      </c>
      <c r="E40" t="s">
        <v>84</v>
      </c>
      <c r="F40" t="s">
        <v>116</v>
      </c>
      <c r="G40" t="s">
        <v>54</v>
      </c>
      <c r="H40" t="s">
        <v>86</v>
      </c>
      <c r="I40" t="s">
        <v>87</v>
      </c>
      <c r="J40">
        <v>8.8000000000000007</v>
      </c>
      <c r="K40">
        <v>4</v>
      </c>
      <c r="L40" t="s">
        <v>27</v>
      </c>
      <c r="M40">
        <v>3</v>
      </c>
      <c r="N40" t="s">
        <v>26</v>
      </c>
      <c r="O40" t="s">
        <v>28</v>
      </c>
      <c r="P40" t="s">
        <v>1670</v>
      </c>
      <c r="Q40" t="s">
        <v>58</v>
      </c>
      <c r="R40" t="str">
        <f>IF(Table14[[#This Row],[Resolution_Time]]&gt;Table14[[#This Row],[SLA_Target]],"No", "Yes")</f>
        <v>No</v>
      </c>
      <c r="S40" t="str">
        <f>IF(Table14[[#This Row],[Calculated_SLA]]=Table14[[#This Row],[SLA_Met]],"Match","Mismatch")</f>
        <v>Match</v>
      </c>
      <c r="T40">
        <f>IF(Table14[[#This Row],[Calculated_SLA]]="Yes",1,0)</f>
        <v>0</v>
      </c>
      <c r="U40" t="str">
        <f>IF(COUNTIFS(Reference_data!A:A,Table14[[#This Row],[Category]],Reference_data!B:B,Table14[[#This Row],[Subcategory]])&gt;0,"Valid","Invalid")</f>
        <v>Valid</v>
      </c>
    </row>
    <row r="41" spans="1:21">
      <c r="A41" t="s">
        <v>188</v>
      </c>
      <c r="B41" t="s">
        <v>106</v>
      </c>
      <c r="C41" s="31" t="s">
        <v>1725</v>
      </c>
      <c r="D41" s="32" t="s">
        <v>2089</v>
      </c>
      <c r="E41" t="s">
        <v>78</v>
      </c>
      <c r="F41" t="s">
        <v>191</v>
      </c>
      <c r="G41" t="s">
        <v>23</v>
      </c>
      <c r="H41" t="s">
        <v>64</v>
      </c>
      <c r="I41" t="s">
        <v>38</v>
      </c>
      <c r="J41">
        <v>8.6</v>
      </c>
      <c r="K41">
        <v>24</v>
      </c>
      <c r="L41" t="s">
        <v>26</v>
      </c>
      <c r="M41">
        <v>4</v>
      </c>
      <c r="N41" t="s">
        <v>27</v>
      </c>
      <c r="O41" t="s">
        <v>28</v>
      </c>
      <c r="P41" t="s">
        <v>29</v>
      </c>
      <c r="Q41" t="s">
        <v>101</v>
      </c>
      <c r="R41" t="str">
        <f>IF(Table14[[#This Row],[Resolution_Time]]&gt;Table14[[#This Row],[SLA_Target]],"No", "Yes")</f>
        <v>Yes</v>
      </c>
      <c r="S41" t="str">
        <f>IF(Table14[[#This Row],[Calculated_SLA]]=Table14[[#This Row],[SLA_Met]],"Match","Mismatch")</f>
        <v>Match</v>
      </c>
      <c r="T41">
        <f>IF(Table14[[#This Row],[Calculated_SLA]]="Yes",1,0)</f>
        <v>1</v>
      </c>
      <c r="U41" t="str">
        <f>IF(COUNTIFS(Reference_data!A:A,Table14[[#This Row],[Category]],Reference_data!B:B,Table14[[#This Row],[Subcategory]])&gt;0,"Valid","Invalid")</f>
        <v>Valid</v>
      </c>
    </row>
    <row r="42" spans="1:21">
      <c r="A42" t="s">
        <v>192</v>
      </c>
      <c r="B42" t="s">
        <v>50</v>
      </c>
      <c r="C42" s="31" t="s">
        <v>1726</v>
      </c>
      <c r="D42" s="32" t="s">
        <v>2090</v>
      </c>
      <c r="E42" t="s">
        <v>78</v>
      </c>
      <c r="F42" t="s">
        <v>166</v>
      </c>
      <c r="G42" t="s">
        <v>46</v>
      </c>
      <c r="H42" t="s">
        <v>70</v>
      </c>
      <c r="I42" t="s">
        <v>80</v>
      </c>
      <c r="J42">
        <v>9.8000000000000007</v>
      </c>
      <c r="K42">
        <v>8</v>
      </c>
      <c r="L42" t="s">
        <v>27</v>
      </c>
      <c r="M42">
        <v>1</v>
      </c>
      <c r="N42" t="s">
        <v>26</v>
      </c>
      <c r="O42" t="s">
        <v>28</v>
      </c>
      <c r="P42" t="s">
        <v>57</v>
      </c>
      <c r="Q42" t="s">
        <v>58</v>
      </c>
      <c r="R42" t="str">
        <f>IF(Table14[[#This Row],[Resolution_Time]]&gt;Table14[[#This Row],[SLA_Target]],"No", "Yes")</f>
        <v>No</v>
      </c>
      <c r="S42" t="str">
        <f>IF(Table14[[#This Row],[Calculated_SLA]]=Table14[[#This Row],[SLA_Met]],"Match","Mismatch")</f>
        <v>Match</v>
      </c>
      <c r="T42">
        <f>IF(Table14[[#This Row],[Calculated_SLA]]="Yes",1,0)</f>
        <v>0</v>
      </c>
      <c r="U42" t="str">
        <f>IF(COUNTIFS(Reference_data!A:A,Table14[[#This Row],[Category]],Reference_data!B:B,Table14[[#This Row],[Subcategory]])&gt;0,"Valid","Invalid")</f>
        <v>Valid</v>
      </c>
    </row>
    <row r="43" spans="1:21">
      <c r="A43" t="s">
        <v>195</v>
      </c>
      <c r="B43" t="s">
        <v>32</v>
      </c>
      <c r="C43" s="31" t="s">
        <v>1727</v>
      </c>
      <c r="D43" s="32" t="s">
        <v>2091</v>
      </c>
      <c r="E43" t="s">
        <v>35</v>
      </c>
      <c r="F43" t="s">
        <v>127</v>
      </c>
      <c r="G43" t="s">
        <v>46</v>
      </c>
      <c r="H43" t="s">
        <v>86</v>
      </c>
      <c r="I43" t="s">
        <v>56</v>
      </c>
      <c r="J43">
        <v>12.3</v>
      </c>
      <c r="K43">
        <v>8</v>
      </c>
      <c r="L43" t="s">
        <v>27</v>
      </c>
      <c r="M43">
        <v>1</v>
      </c>
      <c r="N43" t="s">
        <v>26</v>
      </c>
      <c r="O43" t="s">
        <v>28</v>
      </c>
      <c r="P43" t="s">
        <v>57</v>
      </c>
      <c r="Q43" t="s">
        <v>39</v>
      </c>
      <c r="R43" t="str">
        <f>IF(Table14[[#This Row],[Resolution_Time]]&gt;Table14[[#This Row],[SLA_Target]],"No", "Yes")</f>
        <v>No</v>
      </c>
      <c r="S43" t="str">
        <f>IF(Table14[[#This Row],[Calculated_SLA]]=Table14[[#This Row],[SLA_Met]],"Match","Mismatch")</f>
        <v>Match</v>
      </c>
      <c r="T43">
        <f>IF(Table14[[#This Row],[Calculated_SLA]]="Yes",1,0)</f>
        <v>0</v>
      </c>
      <c r="U43" t="str">
        <f>IF(COUNTIFS(Reference_data!A:A,Table14[[#This Row],[Category]],Reference_data!B:B,Table14[[#This Row],[Subcategory]])&gt;0,"Valid","Invalid")</f>
        <v>Valid</v>
      </c>
    </row>
    <row r="44" spans="1:21">
      <c r="A44" t="s">
        <v>198</v>
      </c>
      <c r="B44" t="s">
        <v>75</v>
      </c>
      <c r="C44" s="31" t="s">
        <v>1728</v>
      </c>
      <c r="D44" s="32" t="s">
        <v>2092</v>
      </c>
      <c r="E44" t="s">
        <v>21</v>
      </c>
      <c r="F44" t="s">
        <v>69</v>
      </c>
      <c r="G44" t="s">
        <v>46</v>
      </c>
      <c r="H44" t="s">
        <v>91</v>
      </c>
      <c r="I44" t="s">
        <v>25</v>
      </c>
      <c r="J44">
        <v>10.7</v>
      </c>
      <c r="K44">
        <v>8</v>
      </c>
      <c r="L44" t="s">
        <v>27</v>
      </c>
      <c r="M44">
        <v>1</v>
      </c>
      <c r="N44" t="s">
        <v>27</v>
      </c>
      <c r="O44" t="s">
        <v>28</v>
      </c>
      <c r="P44" t="s">
        <v>57</v>
      </c>
      <c r="Q44" t="s">
        <v>39</v>
      </c>
      <c r="R44" t="str">
        <f>IF(Table14[[#This Row],[Resolution_Time]]&gt;Table14[[#This Row],[SLA_Target]],"No", "Yes")</f>
        <v>No</v>
      </c>
      <c r="S44" t="str">
        <f>IF(Table14[[#This Row],[Calculated_SLA]]=Table14[[#This Row],[SLA_Met]],"Match","Mismatch")</f>
        <v>Match</v>
      </c>
      <c r="T44">
        <f>IF(Table14[[#This Row],[Calculated_SLA]]="Yes",1,0)</f>
        <v>0</v>
      </c>
      <c r="U44" t="str">
        <f>IF(COUNTIFS(Reference_data!A:A,Table14[[#This Row],[Category]],Reference_data!B:B,Table14[[#This Row],[Subcategory]])&gt;0,"Valid","Invalid")</f>
        <v>Valid</v>
      </c>
    </row>
    <row r="45" spans="1:21">
      <c r="A45" t="s">
        <v>201</v>
      </c>
      <c r="B45" t="s">
        <v>75</v>
      </c>
      <c r="C45" s="31" t="s">
        <v>1729</v>
      </c>
      <c r="D45" s="32" t="s">
        <v>2093</v>
      </c>
      <c r="E45" t="s">
        <v>35</v>
      </c>
      <c r="F45" t="s">
        <v>36</v>
      </c>
      <c r="G45" t="s">
        <v>46</v>
      </c>
      <c r="H45" t="s">
        <v>91</v>
      </c>
      <c r="I45" t="s">
        <v>38</v>
      </c>
      <c r="J45">
        <v>4.9000000000000004</v>
      </c>
      <c r="K45">
        <v>8</v>
      </c>
      <c r="L45" t="s">
        <v>26</v>
      </c>
      <c r="M45">
        <v>4</v>
      </c>
      <c r="N45" t="s">
        <v>27</v>
      </c>
      <c r="O45" t="s">
        <v>28</v>
      </c>
      <c r="P45" t="s">
        <v>29</v>
      </c>
      <c r="Q45" t="s">
        <v>101</v>
      </c>
      <c r="R45" t="str">
        <f>IF(Table14[[#This Row],[Resolution_Time]]&gt;Table14[[#This Row],[SLA_Target]],"No", "Yes")</f>
        <v>Yes</v>
      </c>
      <c r="S45" t="str">
        <f>IF(Table14[[#This Row],[Calculated_SLA]]=Table14[[#This Row],[SLA_Met]],"Match","Mismatch")</f>
        <v>Match</v>
      </c>
      <c r="T45">
        <f>IF(Table14[[#This Row],[Calculated_SLA]]="Yes",1,0)</f>
        <v>1</v>
      </c>
      <c r="U45" t="str">
        <f>IF(COUNTIFS(Reference_data!A:A,Table14[[#This Row],[Category]],Reference_data!B:B,Table14[[#This Row],[Subcategory]])&gt;0,"Valid","Invalid")</f>
        <v>Valid</v>
      </c>
    </row>
    <row r="46" spans="1:21">
      <c r="A46" t="s">
        <v>204</v>
      </c>
      <c r="B46" t="s">
        <v>18</v>
      </c>
      <c r="C46" s="31" t="s">
        <v>1730</v>
      </c>
      <c r="D46" s="32" t="s">
        <v>2094</v>
      </c>
      <c r="E46" t="s">
        <v>78</v>
      </c>
      <c r="F46" t="s">
        <v>79</v>
      </c>
      <c r="G46" t="s">
        <v>46</v>
      </c>
      <c r="H46" t="s">
        <v>37</v>
      </c>
      <c r="I46" t="s">
        <v>80</v>
      </c>
      <c r="J46">
        <v>21.1</v>
      </c>
      <c r="K46">
        <v>8</v>
      </c>
      <c r="L46" t="s">
        <v>27</v>
      </c>
      <c r="M46">
        <v>3</v>
      </c>
      <c r="N46" t="s">
        <v>26</v>
      </c>
      <c r="O46" t="s">
        <v>28</v>
      </c>
      <c r="P46" t="s">
        <v>1670</v>
      </c>
      <c r="Q46" t="s">
        <v>30</v>
      </c>
      <c r="R46" t="str">
        <f>IF(Table14[[#This Row],[Resolution_Time]]&gt;Table14[[#This Row],[SLA_Target]],"No", "Yes")</f>
        <v>No</v>
      </c>
      <c r="S46" t="str">
        <f>IF(Table14[[#This Row],[Calculated_SLA]]=Table14[[#This Row],[SLA_Met]],"Match","Mismatch")</f>
        <v>Match</v>
      </c>
      <c r="T46">
        <f>IF(Table14[[#This Row],[Calculated_SLA]]="Yes",1,0)</f>
        <v>0</v>
      </c>
      <c r="U46" t="str">
        <f>IF(COUNTIFS(Reference_data!A:A,Table14[[#This Row],[Category]],Reference_data!B:B,Table14[[#This Row],[Subcategory]])&gt;0,"Valid","Invalid")</f>
        <v>Valid</v>
      </c>
    </row>
    <row r="47" spans="1:21">
      <c r="A47" t="s">
        <v>207</v>
      </c>
      <c r="B47" t="s">
        <v>50</v>
      </c>
      <c r="C47" s="31" t="s">
        <v>1731</v>
      </c>
      <c r="D47" s="32" t="s">
        <v>2095</v>
      </c>
      <c r="E47" t="s">
        <v>78</v>
      </c>
      <c r="F47" t="s">
        <v>166</v>
      </c>
      <c r="G47" t="s">
        <v>23</v>
      </c>
      <c r="H47" t="s">
        <v>70</v>
      </c>
      <c r="I47" t="s">
        <v>80</v>
      </c>
      <c r="J47">
        <v>21.9</v>
      </c>
      <c r="K47">
        <v>24</v>
      </c>
      <c r="L47" t="s">
        <v>26</v>
      </c>
      <c r="M47">
        <v>4</v>
      </c>
      <c r="N47" t="s">
        <v>27</v>
      </c>
      <c r="O47" t="s">
        <v>28</v>
      </c>
      <c r="P47" t="s">
        <v>29</v>
      </c>
      <c r="Q47" t="s">
        <v>39</v>
      </c>
      <c r="R47" t="str">
        <f>IF(Table14[[#This Row],[Resolution_Time]]&gt;Table14[[#This Row],[SLA_Target]],"No", "Yes")</f>
        <v>Yes</v>
      </c>
      <c r="S47" t="str">
        <f>IF(Table14[[#This Row],[Calculated_SLA]]=Table14[[#This Row],[SLA_Met]],"Match","Mismatch")</f>
        <v>Match</v>
      </c>
      <c r="T47">
        <f>IF(Table14[[#This Row],[Calculated_SLA]]="Yes",1,0)</f>
        <v>1</v>
      </c>
      <c r="U47" t="str">
        <f>IF(COUNTIFS(Reference_data!A:A,Table14[[#This Row],[Category]],Reference_data!B:B,Table14[[#This Row],[Subcategory]])&gt;0,"Valid","Invalid")</f>
        <v>Valid</v>
      </c>
    </row>
    <row r="48" spans="1:21">
      <c r="A48" t="s">
        <v>210</v>
      </c>
      <c r="B48" t="s">
        <v>60</v>
      </c>
      <c r="C48" s="31" t="s">
        <v>1732</v>
      </c>
      <c r="D48" s="32" t="s">
        <v>2096</v>
      </c>
      <c r="E48" t="s">
        <v>84</v>
      </c>
      <c r="F48" t="s">
        <v>85</v>
      </c>
      <c r="G48" t="s">
        <v>46</v>
      </c>
      <c r="H48" t="s">
        <v>91</v>
      </c>
      <c r="I48" t="s">
        <v>87</v>
      </c>
      <c r="J48">
        <v>5.9</v>
      </c>
      <c r="K48">
        <v>8</v>
      </c>
      <c r="L48" t="s">
        <v>26</v>
      </c>
      <c r="M48">
        <v>4</v>
      </c>
      <c r="N48" t="s">
        <v>27</v>
      </c>
      <c r="O48" t="s">
        <v>28</v>
      </c>
      <c r="P48" t="s">
        <v>29</v>
      </c>
      <c r="Q48" t="s">
        <v>101</v>
      </c>
      <c r="R48" t="str">
        <f>IF(Table14[[#This Row],[Resolution_Time]]&gt;Table14[[#This Row],[SLA_Target]],"No", "Yes")</f>
        <v>Yes</v>
      </c>
      <c r="S48" t="str">
        <f>IF(Table14[[#This Row],[Calculated_SLA]]=Table14[[#This Row],[SLA_Met]],"Match","Mismatch")</f>
        <v>Match</v>
      </c>
      <c r="T48">
        <f>IF(Table14[[#This Row],[Calculated_SLA]]="Yes",1,0)</f>
        <v>1</v>
      </c>
      <c r="U48" t="str">
        <f>IF(COUNTIFS(Reference_data!A:A,Table14[[#This Row],[Category]],Reference_data!B:B,Table14[[#This Row],[Subcategory]])&gt;0,"Valid","Invalid")</f>
        <v>Valid</v>
      </c>
    </row>
    <row r="49" spans="1:21">
      <c r="A49" t="s">
        <v>213</v>
      </c>
      <c r="B49" t="s">
        <v>50</v>
      </c>
      <c r="C49" s="31" t="s">
        <v>1733</v>
      </c>
      <c r="D49" s="32" t="s">
        <v>2097</v>
      </c>
      <c r="E49" t="s">
        <v>78</v>
      </c>
      <c r="F49" t="s">
        <v>79</v>
      </c>
      <c r="G49" t="s">
        <v>23</v>
      </c>
      <c r="H49" t="s">
        <v>138</v>
      </c>
      <c r="I49" t="s">
        <v>80</v>
      </c>
      <c r="J49">
        <v>10.4</v>
      </c>
      <c r="K49">
        <v>24</v>
      </c>
      <c r="L49" t="s">
        <v>26</v>
      </c>
      <c r="M49">
        <v>4</v>
      </c>
      <c r="N49" t="s">
        <v>27</v>
      </c>
      <c r="O49" t="s">
        <v>28</v>
      </c>
      <c r="P49" t="s">
        <v>29</v>
      </c>
      <c r="Q49" t="s">
        <v>30</v>
      </c>
      <c r="R49" t="str">
        <f>IF(Table14[[#This Row],[Resolution_Time]]&gt;Table14[[#This Row],[SLA_Target]],"No", "Yes")</f>
        <v>Yes</v>
      </c>
      <c r="S49" t="str">
        <f>IF(Table14[[#This Row],[Calculated_SLA]]=Table14[[#This Row],[SLA_Met]],"Match","Mismatch")</f>
        <v>Match</v>
      </c>
      <c r="T49">
        <f>IF(Table14[[#This Row],[Calculated_SLA]]="Yes",1,0)</f>
        <v>1</v>
      </c>
      <c r="U49" t="str">
        <f>IF(COUNTIFS(Reference_data!A:A,Table14[[#This Row],[Category]],Reference_data!B:B,Table14[[#This Row],[Subcategory]])&gt;0,"Valid","Invalid")</f>
        <v>Valid</v>
      </c>
    </row>
    <row r="50" spans="1:21">
      <c r="A50" t="s">
        <v>216</v>
      </c>
      <c r="B50" t="s">
        <v>135</v>
      </c>
      <c r="C50" s="31" t="s">
        <v>1734</v>
      </c>
      <c r="D50" s="32" t="s">
        <v>2098</v>
      </c>
      <c r="E50" t="s">
        <v>21</v>
      </c>
      <c r="F50" t="s">
        <v>69</v>
      </c>
      <c r="G50" t="s">
        <v>54</v>
      </c>
      <c r="H50" t="s">
        <v>37</v>
      </c>
      <c r="I50" t="s">
        <v>25</v>
      </c>
      <c r="J50">
        <v>8.9</v>
      </c>
      <c r="K50">
        <v>4</v>
      </c>
      <c r="L50" t="s">
        <v>27</v>
      </c>
      <c r="M50">
        <v>2</v>
      </c>
      <c r="N50" t="s">
        <v>27</v>
      </c>
      <c r="O50" t="s">
        <v>28</v>
      </c>
      <c r="P50" t="s">
        <v>57</v>
      </c>
      <c r="Q50" t="s">
        <v>101</v>
      </c>
      <c r="R50" t="str">
        <f>IF(Table14[[#This Row],[Resolution_Time]]&gt;Table14[[#This Row],[SLA_Target]],"No", "Yes")</f>
        <v>No</v>
      </c>
      <c r="S50" t="str">
        <f>IF(Table14[[#This Row],[Calculated_SLA]]=Table14[[#This Row],[SLA_Met]],"Match","Mismatch")</f>
        <v>Match</v>
      </c>
      <c r="T50">
        <f>IF(Table14[[#This Row],[Calculated_SLA]]="Yes",1,0)</f>
        <v>0</v>
      </c>
      <c r="U50" t="str">
        <f>IF(COUNTIFS(Reference_data!A:A,Table14[[#This Row],[Category]],Reference_data!B:B,Table14[[#This Row],[Subcategory]])&gt;0,"Valid","Invalid")</f>
        <v>Valid</v>
      </c>
    </row>
    <row r="51" spans="1:21">
      <c r="A51" t="s">
        <v>219</v>
      </c>
      <c r="B51" t="s">
        <v>135</v>
      </c>
      <c r="C51" s="31" t="s">
        <v>1735</v>
      </c>
      <c r="D51" s="32" t="s">
        <v>2099</v>
      </c>
      <c r="E51" t="s">
        <v>35</v>
      </c>
      <c r="F51" t="s">
        <v>53</v>
      </c>
      <c r="G51" t="s">
        <v>46</v>
      </c>
      <c r="H51" t="s">
        <v>55</v>
      </c>
      <c r="I51" t="s">
        <v>56</v>
      </c>
      <c r="J51">
        <v>12.6</v>
      </c>
      <c r="K51">
        <v>8</v>
      </c>
      <c r="L51" t="s">
        <v>27</v>
      </c>
      <c r="M51">
        <v>3</v>
      </c>
      <c r="N51" t="s">
        <v>26</v>
      </c>
      <c r="O51" t="s">
        <v>28</v>
      </c>
      <c r="P51" t="s">
        <v>1670</v>
      </c>
      <c r="Q51" t="s">
        <v>30</v>
      </c>
      <c r="R51" t="str">
        <f>IF(Table14[[#This Row],[Resolution_Time]]&gt;Table14[[#This Row],[SLA_Target]],"No", "Yes")</f>
        <v>No</v>
      </c>
      <c r="S51" t="str">
        <f>IF(Table14[[#This Row],[Calculated_SLA]]=Table14[[#This Row],[SLA_Met]],"Match","Mismatch")</f>
        <v>Match</v>
      </c>
      <c r="T51">
        <f>IF(Table14[[#This Row],[Calculated_SLA]]="Yes",1,0)</f>
        <v>0</v>
      </c>
      <c r="U51" t="str">
        <f>IF(COUNTIFS(Reference_data!A:A,Table14[[#This Row],[Category]],Reference_data!B:B,Table14[[#This Row],[Subcategory]])&gt;0,"Valid","Invalid")</f>
        <v>Valid</v>
      </c>
    </row>
    <row r="52" spans="1:21">
      <c r="A52" t="s">
        <v>222</v>
      </c>
      <c r="B52" t="s">
        <v>60</v>
      </c>
      <c r="C52" s="31" t="s">
        <v>1726</v>
      </c>
      <c r="D52" s="32" t="s">
        <v>2100</v>
      </c>
      <c r="E52" t="s">
        <v>84</v>
      </c>
      <c r="F52" t="s">
        <v>116</v>
      </c>
      <c r="G52" t="s">
        <v>54</v>
      </c>
      <c r="H52" t="s">
        <v>91</v>
      </c>
      <c r="I52" t="s">
        <v>87</v>
      </c>
      <c r="J52">
        <v>7.6</v>
      </c>
      <c r="K52">
        <v>4</v>
      </c>
      <c r="L52" t="s">
        <v>27</v>
      </c>
      <c r="M52">
        <v>2</v>
      </c>
      <c r="N52" t="s">
        <v>26</v>
      </c>
      <c r="O52" t="s">
        <v>28</v>
      </c>
      <c r="P52" t="s">
        <v>57</v>
      </c>
      <c r="Q52" t="s">
        <v>39</v>
      </c>
      <c r="R52" t="str">
        <f>IF(Table14[[#This Row],[Resolution_Time]]&gt;Table14[[#This Row],[SLA_Target]],"No", "Yes")</f>
        <v>No</v>
      </c>
      <c r="S52" t="str">
        <f>IF(Table14[[#This Row],[Calculated_SLA]]=Table14[[#This Row],[SLA_Met]],"Match","Mismatch")</f>
        <v>Match</v>
      </c>
      <c r="T52">
        <f>IF(Table14[[#This Row],[Calculated_SLA]]="Yes",1,0)</f>
        <v>0</v>
      </c>
      <c r="U52" t="str">
        <f>IF(COUNTIFS(Reference_data!A:A,Table14[[#This Row],[Category]],Reference_data!B:B,Table14[[#This Row],[Subcategory]])&gt;0,"Valid","Invalid")</f>
        <v>Valid</v>
      </c>
    </row>
    <row r="53" spans="1:21">
      <c r="A53" t="s">
        <v>225</v>
      </c>
      <c r="B53" t="s">
        <v>41</v>
      </c>
      <c r="C53" s="31" t="s">
        <v>1723</v>
      </c>
      <c r="D53" s="32" t="s">
        <v>2101</v>
      </c>
      <c r="E53" t="s">
        <v>35</v>
      </c>
      <c r="F53" t="s">
        <v>127</v>
      </c>
      <c r="G53" t="s">
        <v>54</v>
      </c>
      <c r="H53" t="s">
        <v>47</v>
      </c>
      <c r="I53" t="s">
        <v>56</v>
      </c>
      <c r="J53">
        <v>7.4</v>
      </c>
      <c r="K53">
        <v>4</v>
      </c>
      <c r="L53" t="s">
        <v>27</v>
      </c>
      <c r="M53">
        <v>2</v>
      </c>
      <c r="N53" t="s">
        <v>27</v>
      </c>
      <c r="O53" t="s">
        <v>28</v>
      </c>
      <c r="P53" t="s">
        <v>57</v>
      </c>
      <c r="Q53" t="s">
        <v>101</v>
      </c>
      <c r="R53" t="str">
        <f>IF(Table14[[#This Row],[Resolution_Time]]&gt;Table14[[#This Row],[SLA_Target]],"No", "Yes")</f>
        <v>No</v>
      </c>
      <c r="S53" t="str">
        <f>IF(Table14[[#This Row],[Calculated_SLA]]=Table14[[#This Row],[SLA_Met]],"Match","Mismatch")</f>
        <v>Match</v>
      </c>
      <c r="T53">
        <f>IF(Table14[[#This Row],[Calculated_SLA]]="Yes",1,0)</f>
        <v>0</v>
      </c>
      <c r="U53" t="str">
        <f>IF(COUNTIFS(Reference_data!A:A,Table14[[#This Row],[Category]],Reference_data!B:B,Table14[[#This Row],[Subcategory]])&gt;0,"Valid","Invalid")</f>
        <v>Valid</v>
      </c>
    </row>
    <row r="54" spans="1:21">
      <c r="A54" t="s">
        <v>228</v>
      </c>
      <c r="B54" t="s">
        <v>135</v>
      </c>
      <c r="C54" s="31" t="s">
        <v>1736</v>
      </c>
      <c r="D54" s="32" t="s">
        <v>2102</v>
      </c>
      <c r="E54" t="s">
        <v>21</v>
      </c>
      <c r="F54" t="s">
        <v>22</v>
      </c>
      <c r="G54" t="s">
        <v>46</v>
      </c>
      <c r="H54" t="s">
        <v>138</v>
      </c>
      <c r="I54" t="s">
        <v>25</v>
      </c>
      <c r="J54">
        <v>11.7</v>
      </c>
      <c r="K54">
        <v>8</v>
      </c>
      <c r="L54" t="s">
        <v>27</v>
      </c>
      <c r="M54">
        <v>2</v>
      </c>
      <c r="N54" t="s">
        <v>26</v>
      </c>
      <c r="O54" t="s">
        <v>28</v>
      </c>
      <c r="P54" t="s">
        <v>57</v>
      </c>
      <c r="Q54" t="s">
        <v>30</v>
      </c>
      <c r="R54" t="str">
        <f>IF(Table14[[#This Row],[Resolution_Time]]&gt;Table14[[#This Row],[SLA_Target]],"No", "Yes")</f>
        <v>No</v>
      </c>
      <c r="S54" t="str">
        <f>IF(Table14[[#This Row],[Calculated_SLA]]=Table14[[#This Row],[SLA_Met]],"Match","Mismatch")</f>
        <v>Match</v>
      </c>
      <c r="T54">
        <f>IF(Table14[[#This Row],[Calculated_SLA]]="Yes",1,0)</f>
        <v>0</v>
      </c>
      <c r="U54" t="str">
        <f>IF(COUNTIFS(Reference_data!A:A,Table14[[#This Row],[Category]],Reference_data!B:B,Table14[[#This Row],[Subcategory]])&gt;0,"Valid","Invalid")</f>
        <v>Valid</v>
      </c>
    </row>
    <row r="55" spans="1:21">
      <c r="A55" t="s">
        <v>231</v>
      </c>
      <c r="B55" t="s">
        <v>32</v>
      </c>
      <c r="C55" s="31" t="s">
        <v>1737</v>
      </c>
      <c r="D55" s="32" t="s">
        <v>2103</v>
      </c>
      <c r="E55" t="s">
        <v>21</v>
      </c>
      <c r="F55" t="s">
        <v>69</v>
      </c>
      <c r="G55" t="s">
        <v>54</v>
      </c>
      <c r="H55" t="s">
        <v>234</v>
      </c>
      <c r="I55" t="s">
        <v>25</v>
      </c>
      <c r="J55">
        <v>7.3</v>
      </c>
      <c r="K55">
        <v>4</v>
      </c>
      <c r="L55" t="s">
        <v>27</v>
      </c>
      <c r="M55">
        <v>2</v>
      </c>
      <c r="N55" t="s">
        <v>26</v>
      </c>
      <c r="O55" t="s">
        <v>28</v>
      </c>
      <c r="P55" t="s">
        <v>1670</v>
      </c>
      <c r="Q55" t="s">
        <v>30</v>
      </c>
      <c r="R55" t="str">
        <f>IF(Table14[[#This Row],[Resolution_Time]]&gt;Table14[[#This Row],[SLA_Target]],"No", "Yes")</f>
        <v>No</v>
      </c>
      <c r="S55" t="str">
        <f>IF(Table14[[#This Row],[Calculated_SLA]]=Table14[[#This Row],[SLA_Met]],"Match","Mismatch")</f>
        <v>Match</v>
      </c>
      <c r="T55">
        <f>IF(Table14[[#This Row],[Calculated_SLA]]="Yes",1,0)</f>
        <v>0</v>
      </c>
      <c r="U55" t="str">
        <f>IF(COUNTIFS(Reference_data!A:A,Table14[[#This Row],[Category]],Reference_data!B:B,Table14[[#This Row],[Subcategory]])&gt;0,"Valid","Invalid")</f>
        <v>Valid</v>
      </c>
    </row>
    <row r="56" spans="1:21">
      <c r="A56" t="s">
        <v>235</v>
      </c>
      <c r="B56" t="s">
        <v>66</v>
      </c>
      <c r="C56" s="31" t="s">
        <v>1738</v>
      </c>
      <c r="D56" s="32" t="s">
        <v>1845</v>
      </c>
      <c r="E56" t="s">
        <v>78</v>
      </c>
      <c r="F56" t="s">
        <v>79</v>
      </c>
      <c r="G56" t="s">
        <v>46</v>
      </c>
      <c r="H56" t="s">
        <v>86</v>
      </c>
      <c r="I56" t="s">
        <v>80</v>
      </c>
      <c r="J56">
        <v>22.4</v>
      </c>
      <c r="K56">
        <v>8</v>
      </c>
      <c r="L56" t="s">
        <v>27</v>
      </c>
      <c r="M56">
        <v>3</v>
      </c>
      <c r="N56" t="s">
        <v>26</v>
      </c>
      <c r="O56" t="s">
        <v>28</v>
      </c>
      <c r="P56" t="s">
        <v>1670</v>
      </c>
      <c r="Q56" t="s">
        <v>101</v>
      </c>
      <c r="R56" t="str">
        <f>IF(Table14[[#This Row],[Resolution_Time]]&gt;Table14[[#This Row],[SLA_Target]],"No", "Yes")</f>
        <v>No</v>
      </c>
      <c r="S56" t="str">
        <f>IF(Table14[[#This Row],[Calculated_SLA]]=Table14[[#This Row],[SLA_Met]],"Match","Mismatch")</f>
        <v>Match</v>
      </c>
      <c r="T56">
        <f>IF(Table14[[#This Row],[Calculated_SLA]]="Yes",1,0)</f>
        <v>0</v>
      </c>
      <c r="U56" t="str">
        <f>IF(COUNTIFS(Reference_data!A:A,Table14[[#This Row],[Category]],Reference_data!B:B,Table14[[#This Row],[Subcategory]])&gt;0,"Valid","Invalid")</f>
        <v>Valid</v>
      </c>
    </row>
    <row r="57" spans="1:21">
      <c r="A57" t="s">
        <v>238</v>
      </c>
      <c r="B57" t="s">
        <v>135</v>
      </c>
      <c r="C57" s="31" t="s">
        <v>1739</v>
      </c>
      <c r="D57" s="32" t="s">
        <v>2104</v>
      </c>
      <c r="E57" t="s">
        <v>21</v>
      </c>
      <c r="F57" t="s">
        <v>22</v>
      </c>
      <c r="G57" t="s">
        <v>23</v>
      </c>
      <c r="H57" t="s">
        <v>47</v>
      </c>
      <c r="I57" t="s">
        <v>25</v>
      </c>
      <c r="J57">
        <v>9.1</v>
      </c>
      <c r="K57">
        <v>24</v>
      </c>
      <c r="L57" t="s">
        <v>26</v>
      </c>
      <c r="M57">
        <v>5</v>
      </c>
      <c r="N57" t="s">
        <v>27</v>
      </c>
      <c r="O57" t="s">
        <v>28</v>
      </c>
      <c r="P57" t="s">
        <v>29</v>
      </c>
      <c r="Q57" t="s">
        <v>101</v>
      </c>
      <c r="R57" t="str">
        <f>IF(Table14[[#This Row],[Resolution_Time]]&gt;Table14[[#This Row],[SLA_Target]],"No", "Yes")</f>
        <v>Yes</v>
      </c>
      <c r="S57" t="str">
        <f>IF(Table14[[#This Row],[Calculated_SLA]]=Table14[[#This Row],[SLA_Met]],"Match","Mismatch")</f>
        <v>Match</v>
      </c>
      <c r="T57">
        <f>IF(Table14[[#This Row],[Calculated_SLA]]="Yes",1,0)</f>
        <v>1</v>
      </c>
      <c r="U57" t="str">
        <f>IF(COUNTIFS(Reference_data!A:A,Table14[[#This Row],[Category]],Reference_data!B:B,Table14[[#This Row],[Subcategory]])&gt;0,"Valid","Invalid")</f>
        <v>Valid</v>
      </c>
    </row>
    <row r="58" spans="1:21">
      <c r="A58" t="s">
        <v>241</v>
      </c>
      <c r="B58" t="s">
        <v>32</v>
      </c>
      <c r="C58" s="31" t="s">
        <v>1740</v>
      </c>
      <c r="D58" s="32" t="s">
        <v>2105</v>
      </c>
      <c r="E58" t="s">
        <v>21</v>
      </c>
      <c r="F58" t="s">
        <v>22</v>
      </c>
      <c r="G58" t="s">
        <v>46</v>
      </c>
      <c r="H58" t="s">
        <v>55</v>
      </c>
      <c r="I58" t="s">
        <v>25</v>
      </c>
      <c r="J58">
        <v>7.5</v>
      </c>
      <c r="K58">
        <v>8</v>
      </c>
      <c r="L58" t="s">
        <v>26</v>
      </c>
      <c r="M58">
        <v>5</v>
      </c>
      <c r="N58" t="s">
        <v>27</v>
      </c>
      <c r="O58" t="s">
        <v>28</v>
      </c>
      <c r="P58" t="s">
        <v>29</v>
      </c>
      <c r="Q58" t="s">
        <v>58</v>
      </c>
      <c r="R58" t="str">
        <f>IF(Table14[[#This Row],[Resolution_Time]]&gt;Table14[[#This Row],[SLA_Target]],"No", "Yes")</f>
        <v>Yes</v>
      </c>
      <c r="S58" t="str">
        <f>IF(Table14[[#This Row],[Calculated_SLA]]=Table14[[#This Row],[SLA_Met]],"Match","Mismatch")</f>
        <v>Match</v>
      </c>
      <c r="T58">
        <f>IF(Table14[[#This Row],[Calculated_SLA]]="Yes",1,0)</f>
        <v>1</v>
      </c>
      <c r="U58" t="str">
        <f>IF(COUNTIFS(Reference_data!A:A,Table14[[#This Row],[Category]],Reference_data!B:B,Table14[[#This Row],[Subcategory]])&gt;0,"Valid","Invalid")</f>
        <v>Valid</v>
      </c>
    </row>
    <row r="59" spans="1:21">
      <c r="A59" t="s">
        <v>244</v>
      </c>
      <c r="B59" t="s">
        <v>18</v>
      </c>
      <c r="C59" s="31" t="s">
        <v>1688</v>
      </c>
      <c r="D59" s="32" t="s">
        <v>2060</v>
      </c>
      <c r="E59" t="s">
        <v>35</v>
      </c>
      <c r="F59" t="s">
        <v>53</v>
      </c>
      <c r="G59" t="s">
        <v>23</v>
      </c>
      <c r="H59" t="s">
        <v>70</v>
      </c>
      <c r="I59" t="s">
        <v>56</v>
      </c>
      <c r="J59">
        <v>7.4</v>
      </c>
      <c r="K59">
        <v>24</v>
      </c>
      <c r="L59" t="s">
        <v>26</v>
      </c>
      <c r="M59">
        <v>4</v>
      </c>
      <c r="N59" t="s">
        <v>27</v>
      </c>
      <c r="O59" t="s">
        <v>28</v>
      </c>
      <c r="P59" t="s">
        <v>29</v>
      </c>
      <c r="Q59" t="s">
        <v>101</v>
      </c>
      <c r="R59" t="str">
        <f>IF(Table14[[#This Row],[Resolution_Time]]&gt;Table14[[#This Row],[SLA_Target]],"No", "Yes")</f>
        <v>Yes</v>
      </c>
      <c r="S59" t="str">
        <f>IF(Table14[[#This Row],[Calculated_SLA]]=Table14[[#This Row],[SLA_Met]],"Match","Mismatch")</f>
        <v>Match</v>
      </c>
      <c r="T59">
        <f>IF(Table14[[#This Row],[Calculated_SLA]]="Yes",1,0)</f>
        <v>1</v>
      </c>
      <c r="U59" t="str">
        <f>IF(COUNTIFS(Reference_data!A:A,Table14[[#This Row],[Category]],Reference_data!B:B,Table14[[#This Row],[Subcategory]])&gt;0,"Valid","Invalid")</f>
        <v>Valid</v>
      </c>
    </row>
    <row r="60" spans="1:21">
      <c r="A60" t="s">
        <v>247</v>
      </c>
      <c r="B60" t="s">
        <v>50</v>
      </c>
      <c r="C60" s="31" t="s">
        <v>1741</v>
      </c>
      <c r="D60" s="32" t="s">
        <v>2106</v>
      </c>
      <c r="E60" t="s">
        <v>21</v>
      </c>
      <c r="F60" t="s">
        <v>63</v>
      </c>
      <c r="G60" t="s">
        <v>23</v>
      </c>
      <c r="H60" t="s">
        <v>70</v>
      </c>
      <c r="I60" t="s">
        <v>25</v>
      </c>
      <c r="J60">
        <v>10.1</v>
      </c>
      <c r="K60">
        <v>24</v>
      </c>
      <c r="L60" t="s">
        <v>26</v>
      </c>
      <c r="M60">
        <v>4</v>
      </c>
      <c r="N60" t="s">
        <v>27</v>
      </c>
      <c r="O60" t="s">
        <v>28</v>
      </c>
      <c r="P60" t="s">
        <v>29</v>
      </c>
      <c r="Q60" t="s">
        <v>30</v>
      </c>
      <c r="R60" t="str">
        <f>IF(Table14[[#This Row],[Resolution_Time]]&gt;Table14[[#This Row],[SLA_Target]],"No", "Yes")</f>
        <v>Yes</v>
      </c>
      <c r="S60" t="str">
        <f>IF(Table14[[#This Row],[Calculated_SLA]]=Table14[[#This Row],[SLA_Met]],"Match","Mismatch")</f>
        <v>Match</v>
      </c>
      <c r="T60">
        <f>IF(Table14[[#This Row],[Calculated_SLA]]="Yes",1,0)</f>
        <v>1</v>
      </c>
      <c r="U60" t="str">
        <f>IF(COUNTIFS(Reference_data!A:A,Table14[[#This Row],[Category]],Reference_data!B:B,Table14[[#This Row],[Subcategory]])&gt;0,"Valid","Invalid")</f>
        <v>Valid</v>
      </c>
    </row>
    <row r="61" spans="1:21">
      <c r="A61" t="s">
        <v>250</v>
      </c>
      <c r="B61" t="s">
        <v>75</v>
      </c>
      <c r="C61" s="31" t="s">
        <v>1742</v>
      </c>
      <c r="D61" s="32" t="s">
        <v>2107</v>
      </c>
      <c r="E61" t="s">
        <v>78</v>
      </c>
      <c r="F61" t="s">
        <v>79</v>
      </c>
      <c r="G61" t="s">
        <v>46</v>
      </c>
      <c r="H61" t="s">
        <v>24</v>
      </c>
      <c r="I61" t="s">
        <v>80</v>
      </c>
      <c r="J61">
        <v>14.9</v>
      </c>
      <c r="K61">
        <v>8</v>
      </c>
      <c r="L61" t="s">
        <v>27</v>
      </c>
      <c r="M61">
        <v>3</v>
      </c>
      <c r="N61" t="s">
        <v>27</v>
      </c>
      <c r="O61" t="s">
        <v>28</v>
      </c>
      <c r="P61" t="s">
        <v>1670</v>
      </c>
      <c r="Q61" t="s">
        <v>101</v>
      </c>
      <c r="R61" t="str">
        <f>IF(Table14[[#This Row],[Resolution_Time]]&gt;Table14[[#This Row],[SLA_Target]],"No", "Yes")</f>
        <v>No</v>
      </c>
      <c r="S61" t="str">
        <f>IF(Table14[[#This Row],[Calculated_SLA]]=Table14[[#This Row],[SLA_Met]],"Match","Mismatch")</f>
        <v>Match</v>
      </c>
      <c r="T61">
        <f>IF(Table14[[#This Row],[Calculated_SLA]]="Yes",1,0)</f>
        <v>0</v>
      </c>
      <c r="U61" t="str">
        <f>IF(COUNTIFS(Reference_data!A:A,Table14[[#This Row],[Category]],Reference_data!B:B,Table14[[#This Row],[Subcategory]])&gt;0,"Valid","Invalid")</f>
        <v>Valid</v>
      </c>
    </row>
    <row r="62" spans="1:21">
      <c r="A62" t="s">
        <v>253</v>
      </c>
      <c r="B62" t="s">
        <v>41</v>
      </c>
      <c r="C62" s="31" t="s">
        <v>1743</v>
      </c>
      <c r="D62" s="32" t="s">
        <v>2108</v>
      </c>
      <c r="E62" t="s">
        <v>78</v>
      </c>
      <c r="F62" t="s">
        <v>79</v>
      </c>
      <c r="G62" t="s">
        <v>46</v>
      </c>
      <c r="H62" t="s">
        <v>70</v>
      </c>
      <c r="I62" t="s">
        <v>80</v>
      </c>
      <c r="J62">
        <v>18.2</v>
      </c>
      <c r="K62">
        <v>8</v>
      </c>
      <c r="L62" t="s">
        <v>27</v>
      </c>
      <c r="M62">
        <v>2</v>
      </c>
      <c r="N62" t="s">
        <v>27</v>
      </c>
      <c r="O62" t="s">
        <v>28</v>
      </c>
      <c r="P62" t="s">
        <v>57</v>
      </c>
      <c r="Q62" t="s">
        <v>39</v>
      </c>
      <c r="R62" t="str">
        <f>IF(Table14[[#This Row],[Resolution_Time]]&gt;Table14[[#This Row],[SLA_Target]],"No", "Yes")</f>
        <v>No</v>
      </c>
      <c r="S62" t="str">
        <f>IF(Table14[[#This Row],[Calculated_SLA]]=Table14[[#This Row],[SLA_Met]],"Match","Mismatch")</f>
        <v>Match</v>
      </c>
      <c r="T62">
        <f>IF(Table14[[#This Row],[Calculated_SLA]]="Yes",1,0)</f>
        <v>0</v>
      </c>
      <c r="U62" t="str">
        <f>IF(COUNTIFS(Reference_data!A:A,Table14[[#This Row],[Category]],Reference_data!B:B,Table14[[#This Row],[Subcategory]])&gt;0,"Valid","Invalid")</f>
        <v>Valid</v>
      </c>
    </row>
    <row r="63" spans="1:21">
      <c r="A63" t="s">
        <v>256</v>
      </c>
      <c r="B63" t="s">
        <v>50</v>
      </c>
      <c r="C63" s="31" t="s">
        <v>1744</v>
      </c>
      <c r="D63" s="32" t="s">
        <v>2109</v>
      </c>
      <c r="E63" t="s">
        <v>44</v>
      </c>
      <c r="F63" t="s">
        <v>109</v>
      </c>
      <c r="G63" t="s">
        <v>46</v>
      </c>
      <c r="H63" t="s">
        <v>234</v>
      </c>
      <c r="I63" t="s">
        <v>48</v>
      </c>
      <c r="J63">
        <v>2.2999999999999998</v>
      </c>
      <c r="K63">
        <v>8</v>
      </c>
      <c r="L63" t="s">
        <v>26</v>
      </c>
      <c r="M63">
        <v>4</v>
      </c>
      <c r="N63" t="s">
        <v>27</v>
      </c>
      <c r="O63" t="s">
        <v>28</v>
      </c>
      <c r="P63" t="s">
        <v>29</v>
      </c>
      <c r="Q63" t="s">
        <v>39</v>
      </c>
      <c r="R63" t="str">
        <f>IF(Table14[[#This Row],[Resolution_Time]]&gt;Table14[[#This Row],[SLA_Target]],"No", "Yes")</f>
        <v>Yes</v>
      </c>
      <c r="S63" t="str">
        <f>IF(Table14[[#This Row],[Calculated_SLA]]=Table14[[#This Row],[SLA_Met]],"Match","Mismatch")</f>
        <v>Match</v>
      </c>
      <c r="T63">
        <f>IF(Table14[[#This Row],[Calculated_SLA]]="Yes",1,0)</f>
        <v>1</v>
      </c>
      <c r="U63" t="str">
        <f>IF(COUNTIFS(Reference_data!A:A,Table14[[#This Row],[Category]],Reference_data!B:B,Table14[[#This Row],[Subcategory]])&gt;0,"Valid","Invalid")</f>
        <v>Valid</v>
      </c>
    </row>
    <row r="64" spans="1:21">
      <c r="A64" t="s">
        <v>259</v>
      </c>
      <c r="B64" t="s">
        <v>121</v>
      </c>
      <c r="C64" s="31" t="s">
        <v>1745</v>
      </c>
      <c r="D64" s="32" t="s">
        <v>2110</v>
      </c>
      <c r="E64" t="s">
        <v>35</v>
      </c>
      <c r="F64" t="s">
        <v>36</v>
      </c>
      <c r="G64" t="s">
        <v>54</v>
      </c>
      <c r="H64" t="s">
        <v>24</v>
      </c>
      <c r="I64" t="s">
        <v>38</v>
      </c>
      <c r="J64">
        <v>12.3</v>
      </c>
      <c r="K64">
        <v>4</v>
      </c>
      <c r="L64" t="s">
        <v>27</v>
      </c>
      <c r="M64">
        <v>1</v>
      </c>
      <c r="N64" t="s">
        <v>27</v>
      </c>
      <c r="O64" t="s">
        <v>28</v>
      </c>
      <c r="P64" t="s">
        <v>1670</v>
      </c>
      <c r="Q64" t="s">
        <v>39</v>
      </c>
      <c r="R64" t="str">
        <f>IF(Table14[[#This Row],[Resolution_Time]]&gt;Table14[[#This Row],[SLA_Target]],"No", "Yes")</f>
        <v>No</v>
      </c>
      <c r="S64" t="str">
        <f>IF(Table14[[#This Row],[Calculated_SLA]]=Table14[[#This Row],[SLA_Met]],"Match","Mismatch")</f>
        <v>Match</v>
      </c>
      <c r="T64">
        <f>IF(Table14[[#This Row],[Calculated_SLA]]="Yes",1,0)</f>
        <v>0</v>
      </c>
      <c r="U64" t="str">
        <f>IF(COUNTIFS(Reference_data!A:A,Table14[[#This Row],[Category]],Reference_data!B:B,Table14[[#This Row],[Subcategory]])&gt;0,"Valid","Invalid")</f>
        <v>Valid</v>
      </c>
    </row>
    <row r="65" spans="1:21">
      <c r="A65" t="s">
        <v>262</v>
      </c>
      <c r="B65" t="s">
        <v>106</v>
      </c>
      <c r="C65" s="31" t="s">
        <v>1746</v>
      </c>
      <c r="D65" s="32" t="s">
        <v>2111</v>
      </c>
      <c r="E65" t="s">
        <v>78</v>
      </c>
      <c r="F65" t="s">
        <v>79</v>
      </c>
      <c r="G65" t="s">
        <v>46</v>
      </c>
      <c r="H65" t="s">
        <v>64</v>
      </c>
      <c r="I65" t="s">
        <v>80</v>
      </c>
      <c r="J65">
        <v>12.5</v>
      </c>
      <c r="K65">
        <v>8</v>
      </c>
      <c r="L65" t="s">
        <v>27</v>
      </c>
      <c r="M65">
        <v>3</v>
      </c>
      <c r="N65" t="s">
        <v>27</v>
      </c>
      <c r="O65" t="s">
        <v>28</v>
      </c>
      <c r="P65" t="s">
        <v>1670</v>
      </c>
      <c r="Q65" t="s">
        <v>30</v>
      </c>
      <c r="R65" t="str">
        <f>IF(Table14[[#This Row],[Resolution_Time]]&gt;Table14[[#This Row],[SLA_Target]],"No", "Yes")</f>
        <v>No</v>
      </c>
      <c r="S65" t="str">
        <f>IF(Table14[[#This Row],[Calculated_SLA]]=Table14[[#This Row],[SLA_Met]],"Match","Mismatch")</f>
        <v>Match</v>
      </c>
      <c r="T65">
        <f>IF(Table14[[#This Row],[Calculated_SLA]]="Yes",1,0)</f>
        <v>0</v>
      </c>
      <c r="U65" t="str">
        <f>IF(COUNTIFS(Reference_data!A:A,Table14[[#This Row],[Category]],Reference_data!B:B,Table14[[#This Row],[Subcategory]])&gt;0,"Valid","Invalid")</f>
        <v>Valid</v>
      </c>
    </row>
    <row r="66" spans="1:21">
      <c r="A66" t="s">
        <v>265</v>
      </c>
      <c r="B66" t="s">
        <v>50</v>
      </c>
      <c r="C66" s="31" t="s">
        <v>1747</v>
      </c>
      <c r="D66" s="32" t="s">
        <v>2112</v>
      </c>
      <c r="E66" t="s">
        <v>84</v>
      </c>
      <c r="F66" t="s">
        <v>85</v>
      </c>
      <c r="G66" t="s">
        <v>46</v>
      </c>
      <c r="H66" t="s">
        <v>234</v>
      </c>
      <c r="I66" t="s">
        <v>87</v>
      </c>
      <c r="J66">
        <v>4.3</v>
      </c>
      <c r="K66">
        <v>8</v>
      </c>
      <c r="L66" t="s">
        <v>26</v>
      </c>
      <c r="M66">
        <v>5</v>
      </c>
      <c r="N66" t="s">
        <v>27</v>
      </c>
      <c r="O66" t="s">
        <v>28</v>
      </c>
      <c r="P66" t="s">
        <v>29</v>
      </c>
      <c r="Q66" t="s">
        <v>39</v>
      </c>
      <c r="R66" t="str">
        <f>IF(Table14[[#This Row],[Resolution_Time]]&gt;Table14[[#This Row],[SLA_Target]],"No", "Yes")</f>
        <v>Yes</v>
      </c>
      <c r="S66" t="str">
        <f>IF(Table14[[#This Row],[Calculated_SLA]]=Table14[[#This Row],[SLA_Met]],"Match","Mismatch")</f>
        <v>Match</v>
      </c>
      <c r="T66">
        <f>IF(Table14[[#This Row],[Calculated_SLA]]="Yes",1,0)</f>
        <v>1</v>
      </c>
      <c r="U66" t="str">
        <f>IF(COUNTIFS(Reference_data!A:A,Table14[[#This Row],[Category]],Reference_data!B:B,Table14[[#This Row],[Subcategory]])&gt;0,"Valid","Invalid")</f>
        <v>Valid</v>
      </c>
    </row>
    <row r="67" spans="1:21">
      <c r="A67" t="s">
        <v>268</v>
      </c>
      <c r="B67" t="s">
        <v>135</v>
      </c>
      <c r="C67" s="31" t="s">
        <v>1748</v>
      </c>
      <c r="D67" s="32" t="s">
        <v>1807</v>
      </c>
      <c r="E67" t="s">
        <v>78</v>
      </c>
      <c r="F67" t="s">
        <v>79</v>
      </c>
      <c r="G67" t="s">
        <v>46</v>
      </c>
      <c r="H67" t="s">
        <v>138</v>
      </c>
      <c r="I67" t="s">
        <v>80</v>
      </c>
      <c r="J67">
        <v>19.5</v>
      </c>
      <c r="K67">
        <v>8</v>
      </c>
      <c r="L67" t="s">
        <v>27</v>
      </c>
      <c r="M67">
        <v>3</v>
      </c>
      <c r="N67" t="s">
        <v>26</v>
      </c>
      <c r="O67" t="s">
        <v>28</v>
      </c>
      <c r="P67" t="s">
        <v>57</v>
      </c>
      <c r="Q67" t="s">
        <v>58</v>
      </c>
      <c r="R67" t="str">
        <f>IF(Table14[[#This Row],[Resolution_Time]]&gt;Table14[[#This Row],[SLA_Target]],"No", "Yes")</f>
        <v>No</v>
      </c>
      <c r="S67" t="str">
        <f>IF(Table14[[#This Row],[Calculated_SLA]]=Table14[[#This Row],[SLA_Met]],"Match","Mismatch")</f>
        <v>Match</v>
      </c>
      <c r="T67">
        <f>IF(Table14[[#This Row],[Calculated_SLA]]="Yes",1,0)</f>
        <v>0</v>
      </c>
      <c r="U67" t="str">
        <f>IF(COUNTIFS(Reference_data!A:A,Table14[[#This Row],[Category]],Reference_data!B:B,Table14[[#This Row],[Subcategory]])&gt;0,"Valid","Invalid")</f>
        <v>Valid</v>
      </c>
    </row>
    <row r="68" spans="1:21">
      <c r="A68" t="s">
        <v>271</v>
      </c>
      <c r="B68" t="s">
        <v>32</v>
      </c>
      <c r="C68" s="31" t="s">
        <v>1749</v>
      </c>
      <c r="D68" s="32" t="s">
        <v>2113</v>
      </c>
      <c r="E68" t="s">
        <v>21</v>
      </c>
      <c r="F68" t="s">
        <v>63</v>
      </c>
      <c r="G68" t="s">
        <v>46</v>
      </c>
      <c r="H68" t="s">
        <v>234</v>
      </c>
      <c r="I68" t="s">
        <v>25</v>
      </c>
      <c r="J68">
        <v>15.5</v>
      </c>
      <c r="K68">
        <v>8</v>
      </c>
      <c r="L68" t="s">
        <v>27</v>
      </c>
      <c r="M68">
        <v>2</v>
      </c>
      <c r="N68" t="s">
        <v>27</v>
      </c>
      <c r="O68" t="s">
        <v>28</v>
      </c>
      <c r="P68" t="s">
        <v>1670</v>
      </c>
      <c r="Q68" t="s">
        <v>101</v>
      </c>
      <c r="R68" t="str">
        <f>IF(Table14[[#This Row],[Resolution_Time]]&gt;Table14[[#This Row],[SLA_Target]],"No", "Yes")</f>
        <v>No</v>
      </c>
      <c r="S68" t="str">
        <f>IF(Table14[[#This Row],[Calculated_SLA]]=Table14[[#This Row],[SLA_Met]],"Match","Mismatch")</f>
        <v>Match</v>
      </c>
      <c r="T68">
        <f>IF(Table14[[#This Row],[Calculated_SLA]]="Yes",1,0)</f>
        <v>0</v>
      </c>
      <c r="U68" t="str">
        <f>IF(COUNTIFS(Reference_data!A:A,Table14[[#This Row],[Category]],Reference_data!B:B,Table14[[#This Row],[Subcategory]])&gt;0,"Valid","Invalid")</f>
        <v>Valid</v>
      </c>
    </row>
    <row r="69" spans="1:21">
      <c r="A69" t="s">
        <v>274</v>
      </c>
      <c r="B69" t="s">
        <v>32</v>
      </c>
      <c r="C69" s="31" t="s">
        <v>1750</v>
      </c>
      <c r="D69" s="32" t="s">
        <v>2114</v>
      </c>
      <c r="E69" t="s">
        <v>84</v>
      </c>
      <c r="F69" t="s">
        <v>116</v>
      </c>
      <c r="G69" t="s">
        <v>46</v>
      </c>
      <c r="H69" t="s">
        <v>55</v>
      </c>
      <c r="I69" t="s">
        <v>87</v>
      </c>
      <c r="J69">
        <v>8.1</v>
      </c>
      <c r="K69">
        <v>8</v>
      </c>
      <c r="L69" t="s">
        <v>27</v>
      </c>
      <c r="M69">
        <v>2</v>
      </c>
      <c r="N69" t="s">
        <v>26</v>
      </c>
      <c r="O69" t="s">
        <v>28</v>
      </c>
      <c r="P69" t="s">
        <v>57</v>
      </c>
      <c r="Q69" t="s">
        <v>58</v>
      </c>
      <c r="R69" t="str">
        <f>IF(Table14[[#This Row],[Resolution_Time]]&gt;Table14[[#This Row],[SLA_Target]],"No", "Yes")</f>
        <v>No</v>
      </c>
      <c r="S69" t="str">
        <f>IF(Table14[[#This Row],[Calculated_SLA]]=Table14[[#This Row],[SLA_Met]],"Match","Mismatch")</f>
        <v>Match</v>
      </c>
      <c r="T69">
        <f>IF(Table14[[#This Row],[Calculated_SLA]]="Yes",1,0)</f>
        <v>0</v>
      </c>
      <c r="U69" t="str">
        <f>IF(COUNTIFS(Reference_data!A:A,Table14[[#This Row],[Category]],Reference_data!B:B,Table14[[#This Row],[Subcategory]])&gt;0,"Valid","Invalid")</f>
        <v>Valid</v>
      </c>
    </row>
    <row r="70" spans="1:21">
      <c r="A70" t="s">
        <v>277</v>
      </c>
      <c r="B70" t="s">
        <v>60</v>
      </c>
      <c r="C70" s="31" t="s">
        <v>1751</v>
      </c>
      <c r="D70" s="32" t="s">
        <v>2115</v>
      </c>
      <c r="E70" t="s">
        <v>35</v>
      </c>
      <c r="F70" t="s">
        <v>127</v>
      </c>
      <c r="G70" t="s">
        <v>23</v>
      </c>
      <c r="H70" t="s">
        <v>234</v>
      </c>
      <c r="I70" t="s">
        <v>56</v>
      </c>
      <c r="J70">
        <v>9.1</v>
      </c>
      <c r="K70">
        <v>24</v>
      </c>
      <c r="L70" t="s">
        <v>27</v>
      </c>
      <c r="M70">
        <v>1</v>
      </c>
      <c r="N70" t="s">
        <v>27</v>
      </c>
      <c r="O70" t="s">
        <v>28</v>
      </c>
      <c r="P70" t="s">
        <v>57</v>
      </c>
      <c r="Q70" t="s">
        <v>39</v>
      </c>
      <c r="R70" t="str">
        <f>IF(Table14[[#This Row],[Resolution_Time]]&gt;Table14[[#This Row],[SLA_Target]],"No", "Yes")</f>
        <v>Yes</v>
      </c>
      <c r="S70" t="str">
        <f>IF(Table14[[#This Row],[Calculated_SLA]]=Table14[[#This Row],[SLA_Met]],"Match","Mismatch")</f>
        <v>Mismatch</v>
      </c>
      <c r="T70">
        <f>IF(Table14[[#This Row],[Calculated_SLA]]="Yes",1,0)</f>
        <v>1</v>
      </c>
      <c r="U70" t="str">
        <f>IF(COUNTIFS(Reference_data!A:A,Table14[[#This Row],[Category]],Reference_data!B:B,Table14[[#This Row],[Subcategory]])&gt;0,"Valid","Invalid")</f>
        <v>Valid</v>
      </c>
    </row>
    <row r="71" spans="1:21">
      <c r="A71" t="s">
        <v>280</v>
      </c>
      <c r="B71" t="s">
        <v>32</v>
      </c>
      <c r="C71" s="31" t="s">
        <v>1752</v>
      </c>
      <c r="D71" s="32" t="s">
        <v>2116</v>
      </c>
      <c r="E71" t="s">
        <v>35</v>
      </c>
      <c r="F71" t="s">
        <v>53</v>
      </c>
      <c r="G71" t="s">
        <v>23</v>
      </c>
      <c r="H71" t="s">
        <v>91</v>
      </c>
      <c r="I71" t="s">
        <v>56</v>
      </c>
      <c r="J71">
        <v>11.9</v>
      </c>
      <c r="K71">
        <v>24</v>
      </c>
      <c r="L71" t="s">
        <v>26</v>
      </c>
      <c r="M71">
        <v>5</v>
      </c>
      <c r="N71" t="s">
        <v>27</v>
      </c>
      <c r="O71" t="s">
        <v>28</v>
      </c>
      <c r="P71" t="s">
        <v>29</v>
      </c>
      <c r="Q71" t="s">
        <v>101</v>
      </c>
      <c r="R71" t="str">
        <f>IF(Table14[[#This Row],[Resolution_Time]]&gt;Table14[[#This Row],[SLA_Target]],"No", "Yes")</f>
        <v>Yes</v>
      </c>
      <c r="S71" t="str">
        <f>IF(Table14[[#This Row],[Calculated_SLA]]=Table14[[#This Row],[SLA_Met]],"Match","Mismatch")</f>
        <v>Match</v>
      </c>
      <c r="T71">
        <f>IF(Table14[[#This Row],[Calculated_SLA]]="Yes",1,0)</f>
        <v>1</v>
      </c>
      <c r="U71" t="str">
        <f>IF(COUNTIFS(Reference_data!A:A,Table14[[#This Row],[Category]],Reference_data!B:B,Table14[[#This Row],[Subcategory]])&gt;0,"Valid","Invalid")</f>
        <v>Valid</v>
      </c>
    </row>
    <row r="72" spans="1:21">
      <c r="A72" t="s">
        <v>283</v>
      </c>
      <c r="B72" t="s">
        <v>75</v>
      </c>
      <c r="C72" s="31" t="s">
        <v>1742</v>
      </c>
      <c r="D72" s="32" t="s">
        <v>2117</v>
      </c>
      <c r="E72" t="s">
        <v>21</v>
      </c>
      <c r="F72" t="s">
        <v>69</v>
      </c>
      <c r="G72" t="s">
        <v>46</v>
      </c>
      <c r="H72" t="s">
        <v>64</v>
      </c>
      <c r="I72" t="s">
        <v>25</v>
      </c>
      <c r="J72">
        <v>5</v>
      </c>
      <c r="K72">
        <v>8</v>
      </c>
      <c r="L72" t="s">
        <v>26</v>
      </c>
      <c r="M72">
        <v>5</v>
      </c>
      <c r="N72" t="s">
        <v>27</v>
      </c>
      <c r="O72" t="s">
        <v>28</v>
      </c>
      <c r="P72" t="s">
        <v>29</v>
      </c>
      <c r="Q72" t="s">
        <v>58</v>
      </c>
      <c r="R72" t="str">
        <f>IF(Table14[[#This Row],[Resolution_Time]]&gt;Table14[[#This Row],[SLA_Target]],"No", "Yes")</f>
        <v>Yes</v>
      </c>
      <c r="S72" t="str">
        <f>IF(Table14[[#This Row],[Calculated_SLA]]=Table14[[#This Row],[SLA_Met]],"Match","Mismatch")</f>
        <v>Match</v>
      </c>
      <c r="T72">
        <f>IF(Table14[[#This Row],[Calculated_SLA]]="Yes",1,0)</f>
        <v>1</v>
      </c>
      <c r="U72" t="str">
        <f>IF(COUNTIFS(Reference_data!A:A,Table14[[#This Row],[Category]],Reference_data!B:B,Table14[[#This Row],[Subcategory]])&gt;0,"Valid","Invalid")</f>
        <v>Valid</v>
      </c>
    </row>
    <row r="73" spans="1:21">
      <c r="A73" t="s">
        <v>286</v>
      </c>
      <c r="B73" t="s">
        <v>50</v>
      </c>
      <c r="C73" s="31" t="s">
        <v>1753</v>
      </c>
      <c r="D73" s="32" t="s">
        <v>2118</v>
      </c>
      <c r="E73" t="s">
        <v>44</v>
      </c>
      <c r="F73" t="s">
        <v>45</v>
      </c>
      <c r="G73" t="s">
        <v>46</v>
      </c>
      <c r="H73" t="s">
        <v>37</v>
      </c>
      <c r="I73" t="s">
        <v>48</v>
      </c>
      <c r="J73">
        <v>4.8</v>
      </c>
      <c r="K73">
        <v>8</v>
      </c>
      <c r="L73" t="s">
        <v>26</v>
      </c>
      <c r="M73">
        <v>4</v>
      </c>
      <c r="N73" t="s">
        <v>27</v>
      </c>
      <c r="O73" t="s">
        <v>28</v>
      </c>
      <c r="P73" t="s">
        <v>29</v>
      </c>
      <c r="Q73" t="s">
        <v>101</v>
      </c>
      <c r="R73" t="str">
        <f>IF(Table14[[#This Row],[Resolution_Time]]&gt;Table14[[#This Row],[SLA_Target]],"No", "Yes")</f>
        <v>Yes</v>
      </c>
      <c r="S73" t="str">
        <f>IF(Table14[[#This Row],[Calculated_SLA]]=Table14[[#This Row],[SLA_Met]],"Match","Mismatch")</f>
        <v>Match</v>
      </c>
      <c r="T73">
        <f>IF(Table14[[#This Row],[Calculated_SLA]]="Yes",1,0)</f>
        <v>1</v>
      </c>
      <c r="U73" t="str">
        <f>IF(COUNTIFS(Reference_data!A:A,Table14[[#This Row],[Category]],Reference_data!B:B,Table14[[#This Row],[Subcategory]])&gt;0,"Valid","Invalid")</f>
        <v>Valid</v>
      </c>
    </row>
    <row r="74" spans="1:21">
      <c r="A74" t="s">
        <v>289</v>
      </c>
      <c r="B74" t="s">
        <v>18</v>
      </c>
      <c r="C74" s="31" t="s">
        <v>1754</v>
      </c>
      <c r="D74" s="32" t="s">
        <v>2119</v>
      </c>
      <c r="E74" t="s">
        <v>84</v>
      </c>
      <c r="F74" t="s">
        <v>85</v>
      </c>
      <c r="G74" t="s">
        <v>46</v>
      </c>
      <c r="H74" t="s">
        <v>234</v>
      </c>
      <c r="I74" t="s">
        <v>87</v>
      </c>
      <c r="J74">
        <v>5.9</v>
      </c>
      <c r="K74">
        <v>8</v>
      </c>
      <c r="L74" t="s">
        <v>26</v>
      </c>
      <c r="M74">
        <v>5</v>
      </c>
      <c r="N74" t="s">
        <v>27</v>
      </c>
      <c r="O74" t="s">
        <v>28</v>
      </c>
      <c r="P74" t="s">
        <v>29</v>
      </c>
      <c r="Q74" t="s">
        <v>39</v>
      </c>
      <c r="R74" t="str">
        <f>IF(Table14[[#This Row],[Resolution_Time]]&gt;Table14[[#This Row],[SLA_Target]],"No", "Yes")</f>
        <v>Yes</v>
      </c>
      <c r="S74" t="str">
        <f>IF(Table14[[#This Row],[Calculated_SLA]]=Table14[[#This Row],[SLA_Met]],"Match","Mismatch")</f>
        <v>Match</v>
      </c>
      <c r="T74">
        <f>IF(Table14[[#This Row],[Calculated_SLA]]="Yes",1,0)</f>
        <v>1</v>
      </c>
      <c r="U74" t="str">
        <f>IF(COUNTIFS(Reference_data!A:A,Table14[[#This Row],[Category]],Reference_data!B:B,Table14[[#This Row],[Subcategory]])&gt;0,"Valid","Invalid")</f>
        <v>Valid</v>
      </c>
    </row>
    <row r="75" spans="1:21">
      <c r="A75" t="s">
        <v>292</v>
      </c>
      <c r="B75" t="s">
        <v>75</v>
      </c>
      <c r="C75" s="31" t="s">
        <v>1755</v>
      </c>
      <c r="D75" s="32" t="s">
        <v>2120</v>
      </c>
      <c r="E75" t="s">
        <v>21</v>
      </c>
      <c r="F75" t="s">
        <v>22</v>
      </c>
      <c r="G75" t="s">
        <v>46</v>
      </c>
      <c r="H75" t="s">
        <v>91</v>
      </c>
      <c r="I75" t="s">
        <v>25</v>
      </c>
      <c r="J75">
        <v>12.4</v>
      </c>
      <c r="K75">
        <v>8</v>
      </c>
      <c r="L75" t="s">
        <v>27</v>
      </c>
      <c r="M75">
        <v>1</v>
      </c>
      <c r="N75" t="s">
        <v>27</v>
      </c>
      <c r="O75" t="s">
        <v>28</v>
      </c>
      <c r="P75" t="s">
        <v>57</v>
      </c>
      <c r="Q75" t="s">
        <v>30</v>
      </c>
      <c r="R75" t="str">
        <f>IF(Table14[[#This Row],[Resolution_Time]]&gt;Table14[[#This Row],[SLA_Target]],"No", "Yes")</f>
        <v>No</v>
      </c>
      <c r="S75" t="str">
        <f>IF(Table14[[#This Row],[Calculated_SLA]]=Table14[[#This Row],[SLA_Met]],"Match","Mismatch")</f>
        <v>Match</v>
      </c>
      <c r="T75">
        <f>IF(Table14[[#This Row],[Calculated_SLA]]="Yes",1,0)</f>
        <v>0</v>
      </c>
      <c r="U75" t="str">
        <f>IF(COUNTIFS(Reference_data!A:A,Table14[[#This Row],[Category]],Reference_data!B:B,Table14[[#This Row],[Subcategory]])&gt;0,"Valid","Invalid")</f>
        <v>Valid</v>
      </c>
    </row>
    <row r="76" spans="1:21">
      <c r="A76" t="s">
        <v>295</v>
      </c>
      <c r="B76" t="s">
        <v>75</v>
      </c>
      <c r="C76" s="31" t="s">
        <v>1687</v>
      </c>
      <c r="D76" s="32" t="s">
        <v>2121</v>
      </c>
      <c r="E76" t="s">
        <v>21</v>
      </c>
      <c r="F76" t="s">
        <v>69</v>
      </c>
      <c r="G76" t="s">
        <v>54</v>
      </c>
      <c r="H76" t="s">
        <v>234</v>
      </c>
      <c r="I76" t="s">
        <v>25</v>
      </c>
      <c r="J76">
        <v>8.6999999999999993</v>
      </c>
      <c r="K76">
        <v>4</v>
      </c>
      <c r="L76" t="s">
        <v>27</v>
      </c>
      <c r="M76">
        <v>2</v>
      </c>
      <c r="N76" t="s">
        <v>27</v>
      </c>
      <c r="O76" t="s">
        <v>28</v>
      </c>
      <c r="P76" t="s">
        <v>57</v>
      </c>
      <c r="Q76" t="s">
        <v>39</v>
      </c>
      <c r="R76" t="str">
        <f>IF(Table14[[#This Row],[Resolution_Time]]&gt;Table14[[#This Row],[SLA_Target]],"No", "Yes")</f>
        <v>No</v>
      </c>
      <c r="S76" t="str">
        <f>IF(Table14[[#This Row],[Calculated_SLA]]=Table14[[#This Row],[SLA_Met]],"Match","Mismatch")</f>
        <v>Match</v>
      </c>
      <c r="T76">
        <f>IF(Table14[[#This Row],[Calculated_SLA]]="Yes",1,0)</f>
        <v>0</v>
      </c>
      <c r="U76" t="str">
        <f>IF(COUNTIFS(Reference_data!A:A,Table14[[#This Row],[Category]],Reference_data!B:B,Table14[[#This Row],[Subcategory]])&gt;0,"Valid","Invalid")</f>
        <v>Valid</v>
      </c>
    </row>
    <row r="77" spans="1:21">
      <c r="A77" t="s">
        <v>298</v>
      </c>
      <c r="B77" t="s">
        <v>41</v>
      </c>
      <c r="C77" s="31" t="s">
        <v>1756</v>
      </c>
      <c r="D77" s="32" t="s">
        <v>2122</v>
      </c>
      <c r="E77" t="s">
        <v>21</v>
      </c>
      <c r="F77" t="s">
        <v>22</v>
      </c>
      <c r="G77" t="s">
        <v>46</v>
      </c>
      <c r="H77" t="s">
        <v>47</v>
      </c>
      <c r="I77" t="s">
        <v>25</v>
      </c>
      <c r="J77">
        <v>7.1</v>
      </c>
      <c r="K77">
        <v>8</v>
      </c>
      <c r="L77" t="s">
        <v>26</v>
      </c>
      <c r="M77" t="s">
        <v>2448</v>
      </c>
      <c r="N77" t="s">
        <v>27</v>
      </c>
      <c r="O77" t="s">
        <v>28</v>
      </c>
      <c r="P77" t="s">
        <v>29</v>
      </c>
      <c r="Q77" t="s">
        <v>101</v>
      </c>
      <c r="R77" t="str">
        <f>IF(Table14[[#This Row],[Resolution_Time]]&gt;Table14[[#This Row],[SLA_Target]],"No", "Yes")</f>
        <v>Yes</v>
      </c>
      <c r="S77" t="str">
        <f>IF(Table14[[#This Row],[Calculated_SLA]]=Table14[[#This Row],[SLA_Met]],"Match","Mismatch")</f>
        <v>Match</v>
      </c>
      <c r="T77">
        <f>IF(Table14[[#This Row],[Calculated_SLA]]="Yes",1,0)</f>
        <v>1</v>
      </c>
      <c r="U77" t="str">
        <f>IF(COUNTIFS(Reference_data!A:A,Table14[[#This Row],[Category]],Reference_data!B:B,Table14[[#This Row],[Subcategory]])&gt;0,"Valid","Invalid")</f>
        <v>Valid</v>
      </c>
    </row>
    <row r="78" spans="1:21">
      <c r="A78" t="s">
        <v>301</v>
      </c>
      <c r="B78" t="s">
        <v>41</v>
      </c>
      <c r="C78" s="31" t="s">
        <v>1757</v>
      </c>
      <c r="D78" s="32" t="s">
        <v>2123</v>
      </c>
      <c r="E78" t="s">
        <v>21</v>
      </c>
      <c r="F78" t="s">
        <v>63</v>
      </c>
      <c r="G78" t="s">
        <v>46</v>
      </c>
      <c r="H78" t="s">
        <v>138</v>
      </c>
      <c r="I78" t="s">
        <v>25</v>
      </c>
      <c r="J78">
        <v>8.5</v>
      </c>
      <c r="K78">
        <v>8</v>
      </c>
      <c r="L78" t="s">
        <v>27</v>
      </c>
      <c r="M78">
        <v>2</v>
      </c>
      <c r="N78" t="s">
        <v>26</v>
      </c>
      <c r="O78" t="s">
        <v>28</v>
      </c>
      <c r="P78" t="s">
        <v>1670</v>
      </c>
      <c r="Q78" t="s">
        <v>39</v>
      </c>
      <c r="R78" t="str">
        <f>IF(Table14[[#This Row],[Resolution_Time]]&gt;Table14[[#This Row],[SLA_Target]],"No", "Yes")</f>
        <v>No</v>
      </c>
      <c r="S78" t="str">
        <f>IF(Table14[[#This Row],[Calculated_SLA]]=Table14[[#This Row],[SLA_Met]],"Match","Mismatch")</f>
        <v>Match</v>
      </c>
      <c r="T78">
        <f>IF(Table14[[#This Row],[Calculated_SLA]]="Yes",1,0)</f>
        <v>0</v>
      </c>
      <c r="U78" t="str">
        <f>IF(COUNTIFS(Reference_data!A:A,Table14[[#This Row],[Category]],Reference_data!B:B,Table14[[#This Row],[Subcategory]])&gt;0,"Valid","Invalid")</f>
        <v>Valid</v>
      </c>
    </row>
    <row r="79" spans="1:21">
      <c r="A79" t="s">
        <v>304</v>
      </c>
      <c r="B79" t="s">
        <v>41</v>
      </c>
      <c r="C79" s="31" t="s">
        <v>1758</v>
      </c>
      <c r="D79" s="32" t="s">
        <v>2124</v>
      </c>
      <c r="E79" t="s">
        <v>21</v>
      </c>
      <c r="F79" t="s">
        <v>69</v>
      </c>
      <c r="G79" t="s">
        <v>23</v>
      </c>
      <c r="H79" t="s">
        <v>91</v>
      </c>
      <c r="I79" t="s">
        <v>25</v>
      </c>
      <c r="J79">
        <v>12.4</v>
      </c>
      <c r="K79">
        <v>24</v>
      </c>
      <c r="L79" t="s">
        <v>26</v>
      </c>
      <c r="M79">
        <v>5</v>
      </c>
      <c r="N79" t="s">
        <v>27</v>
      </c>
      <c r="O79" t="s">
        <v>28</v>
      </c>
      <c r="P79" t="s">
        <v>29</v>
      </c>
      <c r="Q79" t="s">
        <v>101</v>
      </c>
      <c r="R79" t="str">
        <f>IF(Table14[[#This Row],[Resolution_Time]]&gt;Table14[[#This Row],[SLA_Target]],"No", "Yes")</f>
        <v>Yes</v>
      </c>
      <c r="S79" t="str">
        <f>IF(Table14[[#This Row],[Calculated_SLA]]=Table14[[#This Row],[SLA_Met]],"Match","Mismatch")</f>
        <v>Match</v>
      </c>
      <c r="T79">
        <f>IF(Table14[[#This Row],[Calculated_SLA]]="Yes",1,0)</f>
        <v>1</v>
      </c>
      <c r="U79" t="str">
        <f>IF(COUNTIFS(Reference_data!A:A,Table14[[#This Row],[Category]],Reference_data!B:B,Table14[[#This Row],[Subcategory]])&gt;0,"Valid","Invalid")</f>
        <v>Valid</v>
      </c>
    </row>
    <row r="80" spans="1:21">
      <c r="A80" t="s">
        <v>307</v>
      </c>
      <c r="B80" t="s">
        <v>50</v>
      </c>
      <c r="C80" s="31" t="s">
        <v>1759</v>
      </c>
      <c r="D80" s="32" t="s">
        <v>1973</v>
      </c>
      <c r="E80" t="s">
        <v>78</v>
      </c>
      <c r="F80" t="s">
        <v>191</v>
      </c>
      <c r="G80" t="s">
        <v>23</v>
      </c>
      <c r="H80" t="s">
        <v>86</v>
      </c>
      <c r="I80" t="s">
        <v>38</v>
      </c>
      <c r="J80">
        <v>15.3</v>
      </c>
      <c r="K80">
        <v>24</v>
      </c>
      <c r="L80" t="s">
        <v>26</v>
      </c>
      <c r="M80">
        <v>5</v>
      </c>
      <c r="N80" t="s">
        <v>27</v>
      </c>
      <c r="O80" t="s">
        <v>28</v>
      </c>
      <c r="P80" t="s">
        <v>29</v>
      </c>
      <c r="Q80" t="s">
        <v>58</v>
      </c>
      <c r="R80" t="str">
        <f>IF(Table14[[#This Row],[Resolution_Time]]&gt;Table14[[#This Row],[SLA_Target]],"No", "Yes")</f>
        <v>Yes</v>
      </c>
      <c r="S80" t="str">
        <f>IF(Table14[[#This Row],[Calculated_SLA]]=Table14[[#This Row],[SLA_Met]],"Match","Mismatch")</f>
        <v>Match</v>
      </c>
      <c r="T80">
        <f>IF(Table14[[#This Row],[Calculated_SLA]]="Yes",1,0)</f>
        <v>1</v>
      </c>
      <c r="U80" t="str">
        <f>IF(COUNTIFS(Reference_data!A:A,Table14[[#This Row],[Category]],Reference_data!B:B,Table14[[#This Row],[Subcategory]])&gt;0,"Valid","Invalid")</f>
        <v>Valid</v>
      </c>
    </row>
    <row r="81" spans="1:21">
      <c r="A81" t="s">
        <v>310</v>
      </c>
      <c r="B81" t="s">
        <v>32</v>
      </c>
      <c r="C81" s="31" t="s">
        <v>1760</v>
      </c>
      <c r="D81" s="32" t="s">
        <v>2125</v>
      </c>
      <c r="E81" t="s">
        <v>21</v>
      </c>
      <c r="F81" t="s">
        <v>69</v>
      </c>
      <c r="G81" t="s">
        <v>46</v>
      </c>
      <c r="H81" t="s">
        <v>47</v>
      </c>
      <c r="I81" t="s">
        <v>25</v>
      </c>
      <c r="J81">
        <v>6.5</v>
      </c>
      <c r="K81">
        <v>8</v>
      </c>
      <c r="L81" t="s">
        <v>26</v>
      </c>
      <c r="M81">
        <v>5</v>
      </c>
      <c r="N81" t="s">
        <v>27</v>
      </c>
      <c r="O81" t="s">
        <v>28</v>
      </c>
      <c r="P81" t="s">
        <v>29</v>
      </c>
      <c r="Q81" t="s">
        <v>39</v>
      </c>
      <c r="R81" t="str">
        <f>IF(Table14[[#This Row],[Resolution_Time]]&gt;Table14[[#This Row],[SLA_Target]],"No", "Yes")</f>
        <v>Yes</v>
      </c>
      <c r="S81" t="str">
        <f>IF(Table14[[#This Row],[Calculated_SLA]]=Table14[[#This Row],[SLA_Met]],"Match","Mismatch")</f>
        <v>Match</v>
      </c>
      <c r="T81">
        <f>IF(Table14[[#This Row],[Calculated_SLA]]="Yes",1,0)</f>
        <v>1</v>
      </c>
      <c r="U81" t="str">
        <f>IF(COUNTIFS(Reference_data!A:A,Table14[[#This Row],[Category]],Reference_data!B:B,Table14[[#This Row],[Subcategory]])&gt;0,"Valid","Invalid")</f>
        <v>Valid</v>
      </c>
    </row>
    <row r="82" spans="1:21">
      <c r="A82" t="s">
        <v>313</v>
      </c>
      <c r="B82" t="s">
        <v>135</v>
      </c>
      <c r="C82" s="31" t="s">
        <v>1761</v>
      </c>
      <c r="D82" s="32" t="s">
        <v>2126</v>
      </c>
      <c r="E82" t="s">
        <v>44</v>
      </c>
      <c r="F82" t="s">
        <v>109</v>
      </c>
      <c r="G82" t="s">
        <v>46</v>
      </c>
      <c r="H82" t="s">
        <v>24</v>
      </c>
      <c r="I82" t="s">
        <v>48</v>
      </c>
      <c r="J82">
        <v>5.2</v>
      </c>
      <c r="K82">
        <v>8</v>
      </c>
      <c r="L82" t="s">
        <v>26</v>
      </c>
      <c r="M82">
        <v>4</v>
      </c>
      <c r="N82" t="s">
        <v>27</v>
      </c>
      <c r="O82" t="s">
        <v>28</v>
      </c>
      <c r="P82" t="s">
        <v>29</v>
      </c>
      <c r="Q82" t="s">
        <v>58</v>
      </c>
      <c r="R82" t="str">
        <f>IF(Table14[[#This Row],[Resolution_Time]]&gt;Table14[[#This Row],[SLA_Target]],"No", "Yes")</f>
        <v>Yes</v>
      </c>
      <c r="S82" t="str">
        <f>IF(Table14[[#This Row],[Calculated_SLA]]=Table14[[#This Row],[SLA_Met]],"Match","Mismatch")</f>
        <v>Match</v>
      </c>
      <c r="T82">
        <f>IF(Table14[[#This Row],[Calculated_SLA]]="Yes",1,0)</f>
        <v>1</v>
      </c>
      <c r="U82" t="str">
        <f>IF(COUNTIFS(Reference_data!A:A,Table14[[#This Row],[Category]],Reference_data!B:B,Table14[[#This Row],[Subcategory]])&gt;0,"Valid","Invalid")</f>
        <v>Valid</v>
      </c>
    </row>
    <row r="83" spans="1:21">
      <c r="A83" t="s">
        <v>316</v>
      </c>
      <c r="B83" t="s">
        <v>121</v>
      </c>
      <c r="C83" s="31" t="s">
        <v>1762</v>
      </c>
      <c r="D83" s="32" t="s">
        <v>1711</v>
      </c>
      <c r="E83" t="s">
        <v>84</v>
      </c>
      <c r="F83" t="s">
        <v>116</v>
      </c>
      <c r="G83" t="s">
        <v>23</v>
      </c>
      <c r="H83" t="s">
        <v>37</v>
      </c>
      <c r="I83" t="s">
        <v>87</v>
      </c>
      <c r="J83">
        <v>8.3000000000000007</v>
      </c>
      <c r="K83">
        <v>24</v>
      </c>
      <c r="L83" t="s">
        <v>26</v>
      </c>
      <c r="M83">
        <v>4</v>
      </c>
      <c r="N83" t="s">
        <v>27</v>
      </c>
      <c r="O83" t="s">
        <v>28</v>
      </c>
      <c r="P83" t="s">
        <v>29</v>
      </c>
      <c r="Q83" t="s">
        <v>101</v>
      </c>
      <c r="R83" t="str">
        <f>IF(Table14[[#This Row],[Resolution_Time]]&gt;Table14[[#This Row],[SLA_Target]],"No", "Yes")</f>
        <v>Yes</v>
      </c>
      <c r="S83" t="str">
        <f>IF(Table14[[#This Row],[Calculated_SLA]]=Table14[[#This Row],[SLA_Met]],"Match","Mismatch")</f>
        <v>Match</v>
      </c>
      <c r="T83">
        <f>IF(Table14[[#This Row],[Calculated_SLA]]="Yes",1,0)</f>
        <v>1</v>
      </c>
      <c r="U83" t="str">
        <f>IF(COUNTIFS(Reference_data!A:A,Table14[[#This Row],[Category]],Reference_data!B:B,Table14[[#This Row],[Subcategory]])&gt;0,"Valid","Invalid")</f>
        <v>Valid</v>
      </c>
    </row>
    <row r="84" spans="1:21">
      <c r="A84" t="s">
        <v>319</v>
      </c>
      <c r="B84" t="s">
        <v>18</v>
      </c>
      <c r="C84" s="31" t="s">
        <v>1763</v>
      </c>
      <c r="D84" s="32" t="s">
        <v>2127</v>
      </c>
      <c r="E84" t="s">
        <v>21</v>
      </c>
      <c r="F84" t="s">
        <v>22</v>
      </c>
      <c r="G84" t="s">
        <v>46</v>
      </c>
      <c r="H84" t="s">
        <v>64</v>
      </c>
      <c r="I84" t="s">
        <v>25</v>
      </c>
      <c r="J84">
        <v>5.3</v>
      </c>
      <c r="K84">
        <v>8</v>
      </c>
      <c r="L84" t="s">
        <v>26</v>
      </c>
      <c r="M84">
        <v>4</v>
      </c>
      <c r="N84" t="s">
        <v>27</v>
      </c>
      <c r="O84" t="s">
        <v>28</v>
      </c>
      <c r="P84" t="s">
        <v>29</v>
      </c>
      <c r="Q84" t="s">
        <v>39</v>
      </c>
      <c r="R84" t="str">
        <f>IF(Table14[[#This Row],[Resolution_Time]]&gt;Table14[[#This Row],[SLA_Target]],"No", "Yes")</f>
        <v>Yes</v>
      </c>
      <c r="S84" t="str">
        <f>IF(Table14[[#This Row],[Calculated_SLA]]=Table14[[#This Row],[SLA_Met]],"Match","Mismatch")</f>
        <v>Match</v>
      </c>
      <c r="T84">
        <f>IF(Table14[[#This Row],[Calculated_SLA]]="Yes",1,0)</f>
        <v>1</v>
      </c>
      <c r="U84" t="str">
        <f>IF(COUNTIFS(Reference_data!A:A,Table14[[#This Row],[Category]],Reference_data!B:B,Table14[[#This Row],[Subcategory]])&gt;0,"Valid","Invalid")</f>
        <v>Valid</v>
      </c>
    </row>
    <row r="85" spans="1:21">
      <c r="A85" t="s">
        <v>322</v>
      </c>
      <c r="B85" t="s">
        <v>60</v>
      </c>
      <c r="C85" s="31" t="s">
        <v>1764</v>
      </c>
      <c r="D85" s="32" t="s">
        <v>2128</v>
      </c>
      <c r="E85" t="s">
        <v>78</v>
      </c>
      <c r="F85" t="s">
        <v>79</v>
      </c>
      <c r="G85" t="s">
        <v>46</v>
      </c>
      <c r="H85" t="s">
        <v>86</v>
      </c>
      <c r="I85" t="s">
        <v>80</v>
      </c>
      <c r="J85">
        <v>12.1</v>
      </c>
      <c r="K85">
        <v>8</v>
      </c>
      <c r="L85" t="s">
        <v>27</v>
      </c>
      <c r="M85">
        <v>3</v>
      </c>
      <c r="N85" t="s">
        <v>26</v>
      </c>
      <c r="O85" t="s">
        <v>28</v>
      </c>
      <c r="P85" t="s">
        <v>1670</v>
      </c>
      <c r="Q85" t="s">
        <v>101</v>
      </c>
      <c r="R85" t="str">
        <f>IF(Table14[[#This Row],[Resolution_Time]]&gt;Table14[[#This Row],[SLA_Target]],"No", "Yes")</f>
        <v>No</v>
      </c>
      <c r="S85" t="str">
        <f>IF(Table14[[#This Row],[Calculated_SLA]]=Table14[[#This Row],[SLA_Met]],"Match","Mismatch")</f>
        <v>Match</v>
      </c>
      <c r="T85">
        <f>IF(Table14[[#This Row],[Calculated_SLA]]="Yes",1,0)</f>
        <v>0</v>
      </c>
      <c r="U85" t="str">
        <f>IF(COUNTIFS(Reference_data!A:A,Table14[[#This Row],[Category]],Reference_data!B:B,Table14[[#This Row],[Subcategory]])&gt;0,"Valid","Invalid")</f>
        <v>Valid</v>
      </c>
    </row>
    <row r="86" spans="1:21">
      <c r="A86" t="s">
        <v>325</v>
      </c>
      <c r="B86" t="s">
        <v>106</v>
      </c>
      <c r="C86" s="31" t="s">
        <v>1765</v>
      </c>
      <c r="D86" s="32" t="s">
        <v>2129</v>
      </c>
      <c r="E86" t="s">
        <v>21</v>
      </c>
      <c r="F86" t="s">
        <v>63</v>
      </c>
      <c r="G86" t="s">
        <v>46</v>
      </c>
      <c r="H86" t="s">
        <v>47</v>
      </c>
      <c r="I86" t="s">
        <v>25</v>
      </c>
      <c r="J86">
        <v>7.6</v>
      </c>
      <c r="K86">
        <v>8</v>
      </c>
      <c r="L86" t="s">
        <v>26</v>
      </c>
      <c r="M86">
        <v>5</v>
      </c>
      <c r="N86" t="s">
        <v>27</v>
      </c>
      <c r="O86" t="s">
        <v>28</v>
      </c>
      <c r="P86" t="s">
        <v>29</v>
      </c>
      <c r="Q86" t="s">
        <v>30</v>
      </c>
      <c r="R86" t="str">
        <f>IF(Table14[[#This Row],[Resolution_Time]]&gt;Table14[[#This Row],[SLA_Target]],"No", "Yes")</f>
        <v>Yes</v>
      </c>
      <c r="S86" t="str">
        <f>IF(Table14[[#This Row],[Calculated_SLA]]=Table14[[#This Row],[SLA_Met]],"Match","Mismatch")</f>
        <v>Match</v>
      </c>
      <c r="T86">
        <f>IF(Table14[[#This Row],[Calculated_SLA]]="Yes",1,0)</f>
        <v>1</v>
      </c>
      <c r="U86" t="str">
        <f>IF(COUNTIFS(Reference_data!A:A,Table14[[#This Row],[Category]],Reference_data!B:B,Table14[[#This Row],[Subcategory]])&gt;0,"Valid","Invalid")</f>
        <v>Valid</v>
      </c>
    </row>
    <row r="87" spans="1:21">
      <c r="A87" t="s">
        <v>328</v>
      </c>
      <c r="B87" t="s">
        <v>66</v>
      </c>
      <c r="C87" s="31" t="s">
        <v>1766</v>
      </c>
      <c r="D87" s="32" t="s">
        <v>2130</v>
      </c>
      <c r="E87" t="s">
        <v>35</v>
      </c>
      <c r="F87" t="s">
        <v>53</v>
      </c>
      <c r="G87" t="s">
        <v>23</v>
      </c>
      <c r="H87" t="s">
        <v>37</v>
      </c>
      <c r="I87" t="s">
        <v>56</v>
      </c>
      <c r="J87">
        <v>11.6</v>
      </c>
      <c r="K87">
        <v>24</v>
      </c>
      <c r="L87" t="s">
        <v>26</v>
      </c>
      <c r="M87">
        <v>4</v>
      </c>
      <c r="N87" t="s">
        <v>27</v>
      </c>
      <c r="O87" t="s">
        <v>28</v>
      </c>
      <c r="P87" t="s">
        <v>29</v>
      </c>
      <c r="Q87" t="s">
        <v>58</v>
      </c>
      <c r="R87" t="str">
        <f>IF(Table14[[#This Row],[Resolution_Time]]&gt;Table14[[#This Row],[SLA_Target]],"No", "Yes")</f>
        <v>Yes</v>
      </c>
      <c r="S87" t="str">
        <f>IF(Table14[[#This Row],[Calculated_SLA]]=Table14[[#This Row],[SLA_Met]],"Match","Mismatch")</f>
        <v>Match</v>
      </c>
      <c r="T87">
        <f>IF(Table14[[#This Row],[Calculated_SLA]]="Yes",1,0)</f>
        <v>1</v>
      </c>
      <c r="U87" t="str">
        <f>IF(COUNTIFS(Reference_data!A:A,Table14[[#This Row],[Category]],Reference_data!B:B,Table14[[#This Row],[Subcategory]])&gt;0,"Valid","Invalid")</f>
        <v>Valid</v>
      </c>
    </row>
    <row r="88" spans="1:21">
      <c r="A88" t="s">
        <v>331</v>
      </c>
      <c r="B88" t="s">
        <v>50</v>
      </c>
      <c r="C88" s="31" t="s">
        <v>1767</v>
      </c>
      <c r="D88" s="32" t="s">
        <v>2131</v>
      </c>
      <c r="E88" t="s">
        <v>84</v>
      </c>
      <c r="F88" t="s">
        <v>116</v>
      </c>
      <c r="G88" t="s">
        <v>46</v>
      </c>
      <c r="H88" t="s">
        <v>24</v>
      </c>
      <c r="I88" t="s">
        <v>87</v>
      </c>
      <c r="J88">
        <v>9.6999999999999993</v>
      </c>
      <c r="K88">
        <v>8</v>
      </c>
      <c r="L88" t="s">
        <v>27</v>
      </c>
      <c r="M88">
        <v>3</v>
      </c>
      <c r="N88" t="s">
        <v>26</v>
      </c>
      <c r="O88" t="s">
        <v>28</v>
      </c>
      <c r="P88" t="s">
        <v>1670</v>
      </c>
      <c r="Q88" t="s">
        <v>101</v>
      </c>
      <c r="R88" t="str">
        <f>IF(Table14[[#This Row],[Resolution_Time]]&gt;Table14[[#This Row],[SLA_Target]],"No", "Yes")</f>
        <v>No</v>
      </c>
      <c r="S88" t="str">
        <f>IF(Table14[[#This Row],[Calculated_SLA]]=Table14[[#This Row],[SLA_Met]],"Match","Mismatch")</f>
        <v>Match</v>
      </c>
      <c r="T88">
        <f>IF(Table14[[#This Row],[Calculated_SLA]]="Yes",1,0)</f>
        <v>0</v>
      </c>
      <c r="U88" t="str">
        <f>IF(COUNTIFS(Reference_data!A:A,Table14[[#This Row],[Category]],Reference_data!B:B,Table14[[#This Row],[Subcategory]])&gt;0,"Valid","Invalid")</f>
        <v>Valid</v>
      </c>
    </row>
    <row r="89" spans="1:21">
      <c r="A89" t="s">
        <v>334</v>
      </c>
      <c r="B89" t="s">
        <v>50</v>
      </c>
      <c r="C89" s="31" t="s">
        <v>1768</v>
      </c>
      <c r="D89" s="32" t="s">
        <v>2132</v>
      </c>
      <c r="E89" t="s">
        <v>21</v>
      </c>
      <c r="F89" t="s">
        <v>63</v>
      </c>
      <c r="G89" t="s">
        <v>54</v>
      </c>
      <c r="H89" t="s">
        <v>91</v>
      </c>
      <c r="I89" t="s">
        <v>25</v>
      </c>
      <c r="J89">
        <v>12.4</v>
      </c>
      <c r="K89">
        <v>4</v>
      </c>
      <c r="L89" t="s">
        <v>27</v>
      </c>
      <c r="M89">
        <v>3</v>
      </c>
      <c r="N89" t="s">
        <v>26</v>
      </c>
      <c r="O89" t="s">
        <v>28</v>
      </c>
      <c r="P89" t="s">
        <v>57</v>
      </c>
      <c r="Q89" t="s">
        <v>101</v>
      </c>
      <c r="R89" t="str">
        <f>IF(Table14[[#This Row],[Resolution_Time]]&gt;Table14[[#This Row],[SLA_Target]],"No", "Yes")</f>
        <v>No</v>
      </c>
      <c r="S89" t="str">
        <f>IF(Table14[[#This Row],[Calculated_SLA]]=Table14[[#This Row],[SLA_Met]],"Match","Mismatch")</f>
        <v>Match</v>
      </c>
      <c r="T89">
        <f>IF(Table14[[#This Row],[Calculated_SLA]]="Yes",1,0)</f>
        <v>0</v>
      </c>
      <c r="U89" t="str">
        <f>IF(COUNTIFS(Reference_data!A:A,Table14[[#This Row],[Category]],Reference_data!B:B,Table14[[#This Row],[Subcategory]])&gt;0,"Valid","Invalid")</f>
        <v>Valid</v>
      </c>
    </row>
    <row r="90" spans="1:21">
      <c r="A90" t="s">
        <v>337</v>
      </c>
      <c r="B90" t="s">
        <v>106</v>
      </c>
      <c r="C90" s="31" t="s">
        <v>1769</v>
      </c>
      <c r="D90" s="32" t="s">
        <v>2133</v>
      </c>
      <c r="E90" t="s">
        <v>35</v>
      </c>
      <c r="F90" t="s">
        <v>53</v>
      </c>
      <c r="G90" t="s">
        <v>46</v>
      </c>
      <c r="H90" t="s">
        <v>91</v>
      </c>
      <c r="I90" t="s">
        <v>56</v>
      </c>
      <c r="J90">
        <v>8.4</v>
      </c>
      <c r="K90">
        <v>8</v>
      </c>
      <c r="L90" t="s">
        <v>27</v>
      </c>
      <c r="M90">
        <v>3</v>
      </c>
      <c r="N90" t="s">
        <v>27</v>
      </c>
      <c r="O90" t="s">
        <v>28</v>
      </c>
      <c r="P90" t="s">
        <v>1670</v>
      </c>
      <c r="Q90" t="s">
        <v>39</v>
      </c>
      <c r="R90" t="str">
        <f>IF(Table14[[#This Row],[Resolution_Time]]&gt;Table14[[#This Row],[SLA_Target]],"No", "Yes")</f>
        <v>No</v>
      </c>
      <c r="S90" t="str">
        <f>IF(Table14[[#This Row],[Calculated_SLA]]=Table14[[#This Row],[SLA_Met]],"Match","Mismatch")</f>
        <v>Match</v>
      </c>
      <c r="T90">
        <f>IF(Table14[[#This Row],[Calculated_SLA]]="Yes",1,0)</f>
        <v>0</v>
      </c>
      <c r="U90" t="str">
        <f>IF(COUNTIFS(Reference_data!A:A,Table14[[#This Row],[Category]],Reference_data!B:B,Table14[[#This Row],[Subcategory]])&gt;0,"Valid","Invalid")</f>
        <v>Valid</v>
      </c>
    </row>
    <row r="91" spans="1:21">
      <c r="A91" t="s">
        <v>340</v>
      </c>
      <c r="B91" t="s">
        <v>41</v>
      </c>
      <c r="C91" s="31" t="s">
        <v>1694</v>
      </c>
      <c r="D91" s="32" t="s">
        <v>2134</v>
      </c>
      <c r="E91" t="s">
        <v>35</v>
      </c>
      <c r="F91" t="s">
        <v>36</v>
      </c>
      <c r="G91" t="s">
        <v>54</v>
      </c>
      <c r="H91" t="s">
        <v>64</v>
      </c>
      <c r="I91" t="s">
        <v>38</v>
      </c>
      <c r="J91">
        <v>5.0999999999999996</v>
      </c>
      <c r="K91">
        <v>4</v>
      </c>
      <c r="L91" t="s">
        <v>27</v>
      </c>
      <c r="M91">
        <v>3</v>
      </c>
      <c r="N91" t="s">
        <v>26</v>
      </c>
      <c r="O91" t="s">
        <v>28</v>
      </c>
      <c r="P91" t="s">
        <v>57</v>
      </c>
      <c r="Q91" t="s">
        <v>101</v>
      </c>
      <c r="R91" t="str">
        <f>IF(Table14[[#This Row],[Resolution_Time]]&gt;Table14[[#This Row],[SLA_Target]],"No", "Yes")</f>
        <v>No</v>
      </c>
      <c r="S91" t="str">
        <f>IF(Table14[[#This Row],[Calculated_SLA]]=Table14[[#This Row],[SLA_Met]],"Match","Mismatch")</f>
        <v>Match</v>
      </c>
      <c r="T91">
        <f>IF(Table14[[#This Row],[Calculated_SLA]]="Yes",1,0)</f>
        <v>0</v>
      </c>
      <c r="U91" t="str">
        <f>IF(COUNTIFS(Reference_data!A:A,Table14[[#This Row],[Category]],Reference_data!B:B,Table14[[#This Row],[Subcategory]])&gt;0,"Valid","Invalid")</f>
        <v>Valid</v>
      </c>
    </row>
    <row r="92" spans="1:21">
      <c r="A92" t="s">
        <v>343</v>
      </c>
      <c r="B92" t="s">
        <v>50</v>
      </c>
      <c r="C92" s="31" t="s">
        <v>1770</v>
      </c>
      <c r="D92" s="32" t="s">
        <v>2135</v>
      </c>
      <c r="E92" t="s">
        <v>21</v>
      </c>
      <c r="F92" t="s">
        <v>69</v>
      </c>
      <c r="G92" t="s">
        <v>54</v>
      </c>
      <c r="H92" t="s">
        <v>86</v>
      </c>
      <c r="I92" t="s">
        <v>25</v>
      </c>
      <c r="J92">
        <v>12.7</v>
      </c>
      <c r="K92">
        <v>4</v>
      </c>
      <c r="L92" t="s">
        <v>27</v>
      </c>
      <c r="M92">
        <v>1</v>
      </c>
      <c r="N92" t="s">
        <v>26</v>
      </c>
      <c r="O92" t="s">
        <v>28</v>
      </c>
      <c r="P92" t="s">
        <v>57</v>
      </c>
      <c r="Q92" t="s">
        <v>39</v>
      </c>
      <c r="R92" t="str">
        <f>IF(Table14[[#This Row],[Resolution_Time]]&gt;Table14[[#This Row],[SLA_Target]],"No", "Yes")</f>
        <v>No</v>
      </c>
      <c r="S92" t="str">
        <f>IF(Table14[[#This Row],[Calculated_SLA]]=Table14[[#This Row],[SLA_Met]],"Match","Mismatch")</f>
        <v>Match</v>
      </c>
      <c r="T92">
        <f>IF(Table14[[#This Row],[Calculated_SLA]]="Yes",1,0)</f>
        <v>0</v>
      </c>
      <c r="U92" t="str">
        <f>IF(COUNTIFS(Reference_data!A:A,Table14[[#This Row],[Category]],Reference_data!B:B,Table14[[#This Row],[Subcategory]])&gt;0,"Valid","Invalid")</f>
        <v>Valid</v>
      </c>
    </row>
    <row r="93" spans="1:21">
      <c r="A93" t="s">
        <v>346</v>
      </c>
      <c r="B93" t="s">
        <v>106</v>
      </c>
      <c r="C93" s="31" t="s">
        <v>1771</v>
      </c>
      <c r="D93" s="32" t="s">
        <v>2136</v>
      </c>
      <c r="E93" t="s">
        <v>21</v>
      </c>
      <c r="F93" t="s">
        <v>69</v>
      </c>
      <c r="G93" t="s">
        <v>46</v>
      </c>
      <c r="H93" t="s">
        <v>86</v>
      </c>
      <c r="I93" t="s">
        <v>25</v>
      </c>
      <c r="J93">
        <v>13.1</v>
      </c>
      <c r="K93">
        <v>8</v>
      </c>
      <c r="L93" t="s">
        <v>27</v>
      </c>
      <c r="M93">
        <v>2</v>
      </c>
      <c r="N93" t="s">
        <v>27</v>
      </c>
      <c r="O93" t="s">
        <v>28</v>
      </c>
      <c r="P93" t="s">
        <v>57</v>
      </c>
      <c r="Q93" t="s">
        <v>58</v>
      </c>
      <c r="R93" t="str">
        <f>IF(Table14[[#This Row],[Resolution_Time]]&gt;Table14[[#This Row],[SLA_Target]],"No", "Yes")</f>
        <v>No</v>
      </c>
      <c r="S93" t="str">
        <f>IF(Table14[[#This Row],[Calculated_SLA]]=Table14[[#This Row],[SLA_Met]],"Match","Mismatch")</f>
        <v>Match</v>
      </c>
      <c r="T93">
        <f>IF(Table14[[#This Row],[Calculated_SLA]]="Yes",1,0)</f>
        <v>0</v>
      </c>
      <c r="U93" t="str">
        <f>IF(COUNTIFS(Reference_data!A:A,Table14[[#This Row],[Category]],Reference_data!B:B,Table14[[#This Row],[Subcategory]])&gt;0,"Valid","Invalid")</f>
        <v>Valid</v>
      </c>
    </row>
    <row r="94" spans="1:21">
      <c r="A94" t="s">
        <v>349</v>
      </c>
      <c r="B94" t="s">
        <v>121</v>
      </c>
      <c r="C94" s="31" t="s">
        <v>1772</v>
      </c>
      <c r="D94" s="32" t="s">
        <v>2137</v>
      </c>
      <c r="E94" t="s">
        <v>21</v>
      </c>
      <c r="F94" t="s">
        <v>69</v>
      </c>
      <c r="G94" t="s">
        <v>54</v>
      </c>
      <c r="H94" t="s">
        <v>86</v>
      </c>
      <c r="I94" t="s">
        <v>25</v>
      </c>
      <c r="J94">
        <v>9.6</v>
      </c>
      <c r="K94">
        <v>4</v>
      </c>
      <c r="L94" t="s">
        <v>27</v>
      </c>
      <c r="M94">
        <v>1</v>
      </c>
      <c r="N94" t="s">
        <v>27</v>
      </c>
      <c r="O94" t="s">
        <v>28</v>
      </c>
      <c r="P94" t="s">
        <v>57</v>
      </c>
      <c r="Q94" t="s">
        <v>39</v>
      </c>
      <c r="R94" t="str">
        <f>IF(Table14[[#This Row],[Resolution_Time]]&gt;Table14[[#This Row],[SLA_Target]],"No", "Yes")</f>
        <v>No</v>
      </c>
      <c r="S94" t="str">
        <f>IF(Table14[[#This Row],[Calculated_SLA]]=Table14[[#This Row],[SLA_Met]],"Match","Mismatch")</f>
        <v>Match</v>
      </c>
      <c r="T94">
        <f>IF(Table14[[#This Row],[Calculated_SLA]]="Yes",1,0)</f>
        <v>0</v>
      </c>
      <c r="U94" t="str">
        <f>IF(COUNTIFS(Reference_data!A:A,Table14[[#This Row],[Category]],Reference_data!B:B,Table14[[#This Row],[Subcategory]])&gt;0,"Valid","Invalid")</f>
        <v>Valid</v>
      </c>
    </row>
    <row r="95" spans="1:21">
      <c r="A95" t="s">
        <v>352</v>
      </c>
      <c r="B95" t="s">
        <v>135</v>
      </c>
      <c r="C95" s="31" t="s">
        <v>1773</v>
      </c>
      <c r="D95" s="32" t="s">
        <v>2138</v>
      </c>
      <c r="E95" t="s">
        <v>78</v>
      </c>
      <c r="F95" t="s">
        <v>79</v>
      </c>
      <c r="G95" t="s">
        <v>23</v>
      </c>
      <c r="H95" t="s">
        <v>47</v>
      </c>
      <c r="I95" t="s">
        <v>80</v>
      </c>
      <c r="J95">
        <v>14.9</v>
      </c>
      <c r="K95">
        <v>24</v>
      </c>
      <c r="L95" t="s">
        <v>26</v>
      </c>
      <c r="M95">
        <v>4</v>
      </c>
      <c r="N95" t="s">
        <v>27</v>
      </c>
      <c r="O95" t="s">
        <v>28</v>
      </c>
      <c r="P95" t="s">
        <v>29</v>
      </c>
      <c r="Q95" t="s">
        <v>30</v>
      </c>
      <c r="R95" t="str">
        <f>IF(Table14[[#This Row],[Resolution_Time]]&gt;Table14[[#This Row],[SLA_Target]],"No", "Yes")</f>
        <v>Yes</v>
      </c>
      <c r="S95" t="str">
        <f>IF(Table14[[#This Row],[Calculated_SLA]]=Table14[[#This Row],[SLA_Met]],"Match","Mismatch")</f>
        <v>Match</v>
      </c>
      <c r="T95">
        <f>IF(Table14[[#This Row],[Calculated_SLA]]="Yes",1,0)</f>
        <v>1</v>
      </c>
      <c r="U95" t="str">
        <f>IF(COUNTIFS(Reference_data!A:A,Table14[[#This Row],[Category]],Reference_data!B:B,Table14[[#This Row],[Subcategory]])&gt;0,"Valid","Invalid")</f>
        <v>Valid</v>
      </c>
    </row>
    <row r="96" spans="1:21">
      <c r="A96" t="s">
        <v>355</v>
      </c>
      <c r="B96" t="s">
        <v>135</v>
      </c>
      <c r="C96" s="31" t="s">
        <v>1774</v>
      </c>
      <c r="D96" s="32" t="s">
        <v>2139</v>
      </c>
      <c r="E96" t="s">
        <v>78</v>
      </c>
      <c r="F96" t="s">
        <v>191</v>
      </c>
      <c r="G96" t="s">
        <v>46</v>
      </c>
      <c r="H96" t="s">
        <v>138</v>
      </c>
      <c r="I96" t="s">
        <v>38</v>
      </c>
      <c r="J96">
        <v>17.3</v>
      </c>
      <c r="K96">
        <v>8</v>
      </c>
      <c r="L96" t="s">
        <v>27</v>
      </c>
      <c r="M96">
        <v>2</v>
      </c>
      <c r="N96" t="s">
        <v>27</v>
      </c>
      <c r="O96" t="s">
        <v>28</v>
      </c>
      <c r="P96" t="s">
        <v>57</v>
      </c>
      <c r="Q96" t="s">
        <v>39</v>
      </c>
      <c r="R96" t="str">
        <f>IF(Table14[[#This Row],[Resolution_Time]]&gt;Table14[[#This Row],[SLA_Target]],"No", "Yes")</f>
        <v>No</v>
      </c>
      <c r="S96" t="str">
        <f>IF(Table14[[#This Row],[Calculated_SLA]]=Table14[[#This Row],[SLA_Met]],"Match","Mismatch")</f>
        <v>Match</v>
      </c>
      <c r="T96">
        <f>IF(Table14[[#This Row],[Calculated_SLA]]="Yes",1,0)</f>
        <v>0</v>
      </c>
      <c r="U96" t="str">
        <f>IF(COUNTIFS(Reference_data!A:A,Table14[[#This Row],[Category]],Reference_data!B:B,Table14[[#This Row],[Subcategory]])&gt;0,"Valid","Invalid")</f>
        <v>Valid</v>
      </c>
    </row>
    <row r="97" spans="1:21">
      <c r="A97" t="s">
        <v>358</v>
      </c>
      <c r="B97" t="s">
        <v>121</v>
      </c>
      <c r="C97" s="31" t="s">
        <v>1775</v>
      </c>
      <c r="D97" s="32" t="s">
        <v>2140</v>
      </c>
      <c r="E97" t="s">
        <v>35</v>
      </c>
      <c r="F97" t="s">
        <v>36</v>
      </c>
      <c r="G97" t="s">
        <v>23</v>
      </c>
      <c r="H97" t="s">
        <v>47</v>
      </c>
      <c r="I97" t="s">
        <v>38</v>
      </c>
      <c r="J97">
        <v>7.1</v>
      </c>
      <c r="K97">
        <v>24</v>
      </c>
      <c r="L97" t="s">
        <v>26</v>
      </c>
      <c r="M97">
        <v>5</v>
      </c>
      <c r="N97" t="s">
        <v>27</v>
      </c>
      <c r="O97" t="s">
        <v>28</v>
      </c>
      <c r="P97" t="s">
        <v>29</v>
      </c>
      <c r="Q97" t="s">
        <v>30</v>
      </c>
      <c r="R97" t="str">
        <f>IF(Table14[[#This Row],[Resolution_Time]]&gt;Table14[[#This Row],[SLA_Target]],"No", "Yes")</f>
        <v>Yes</v>
      </c>
      <c r="S97" t="str">
        <f>IF(Table14[[#This Row],[Calculated_SLA]]=Table14[[#This Row],[SLA_Met]],"Match","Mismatch")</f>
        <v>Match</v>
      </c>
      <c r="T97">
        <f>IF(Table14[[#This Row],[Calculated_SLA]]="Yes",1,0)</f>
        <v>1</v>
      </c>
      <c r="U97" t="str">
        <f>IF(COUNTIFS(Reference_data!A:A,Table14[[#This Row],[Category]],Reference_data!B:B,Table14[[#This Row],[Subcategory]])&gt;0,"Valid","Invalid")</f>
        <v>Valid</v>
      </c>
    </row>
    <row r="98" spans="1:21">
      <c r="A98" t="s">
        <v>361</v>
      </c>
      <c r="B98" t="s">
        <v>18</v>
      </c>
      <c r="C98" s="31" t="s">
        <v>1776</v>
      </c>
      <c r="D98" s="32" t="s">
        <v>2141</v>
      </c>
      <c r="E98" t="s">
        <v>35</v>
      </c>
      <c r="F98" t="s">
        <v>36</v>
      </c>
      <c r="G98" t="s">
        <v>54</v>
      </c>
      <c r="H98" t="s">
        <v>55</v>
      </c>
      <c r="I98" t="s">
        <v>38</v>
      </c>
      <c r="J98">
        <v>8.5</v>
      </c>
      <c r="K98">
        <v>4</v>
      </c>
      <c r="L98" t="s">
        <v>27</v>
      </c>
      <c r="M98">
        <v>1</v>
      </c>
      <c r="N98" t="s">
        <v>27</v>
      </c>
      <c r="O98" t="s">
        <v>28</v>
      </c>
      <c r="P98" t="s">
        <v>57</v>
      </c>
      <c r="Q98" t="s">
        <v>58</v>
      </c>
      <c r="R98" t="str">
        <f>IF(Table14[[#This Row],[Resolution_Time]]&gt;Table14[[#This Row],[SLA_Target]],"No", "Yes")</f>
        <v>No</v>
      </c>
      <c r="S98" t="str">
        <f>IF(Table14[[#This Row],[Calculated_SLA]]=Table14[[#This Row],[SLA_Met]],"Match","Mismatch")</f>
        <v>Match</v>
      </c>
      <c r="T98">
        <f>IF(Table14[[#This Row],[Calculated_SLA]]="Yes",1,0)</f>
        <v>0</v>
      </c>
      <c r="U98" t="str">
        <f>IF(COUNTIFS(Reference_data!A:A,Table14[[#This Row],[Category]],Reference_data!B:B,Table14[[#This Row],[Subcategory]])&gt;0,"Valid","Invalid")</f>
        <v>Valid</v>
      </c>
    </row>
    <row r="99" spans="1:21">
      <c r="A99" t="s">
        <v>364</v>
      </c>
      <c r="B99" t="s">
        <v>32</v>
      </c>
      <c r="C99" s="31" t="s">
        <v>1777</v>
      </c>
      <c r="D99" s="32" t="s">
        <v>2142</v>
      </c>
      <c r="E99" t="s">
        <v>84</v>
      </c>
      <c r="F99" t="s">
        <v>116</v>
      </c>
      <c r="G99" t="s">
        <v>23</v>
      </c>
      <c r="H99" t="s">
        <v>24</v>
      </c>
      <c r="I99" t="s">
        <v>87</v>
      </c>
      <c r="J99">
        <v>7.6</v>
      </c>
      <c r="K99">
        <v>24</v>
      </c>
      <c r="L99" t="s">
        <v>26</v>
      </c>
      <c r="M99">
        <v>4</v>
      </c>
      <c r="N99" t="s">
        <v>27</v>
      </c>
      <c r="O99" t="s">
        <v>28</v>
      </c>
      <c r="P99" t="s">
        <v>29</v>
      </c>
      <c r="Q99" t="s">
        <v>101</v>
      </c>
      <c r="R99" t="str">
        <f>IF(Table14[[#This Row],[Resolution_Time]]&gt;Table14[[#This Row],[SLA_Target]],"No", "Yes")</f>
        <v>Yes</v>
      </c>
      <c r="S99" t="str">
        <f>IF(Table14[[#This Row],[Calculated_SLA]]=Table14[[#This Row],[SLA_Met]],"Match","Mismatch")</f>
        <v>Match</v>
      </c>
      <c r="T99">
        <f>IF(Table14[[#This Row],[Calculated_SLA]]="Yes",1,0)</f>
        <v>1</v>
      </c>
      <c r="U99" t="str">
        <f>IF(COUNTIFS(Reference_data!A:A,Table14[[#This Row],[Category]],Reference_data!B:B,Table14[[#This Row],[Subcategory]])&gt;0,"Valid","Invalid")</f>
        <v>Valid</v>
      </c>
    </row>
    <row r="100" spans="1:21">
      <c r="A100" t="s">
        <v>367</v>
      </c>
      <c r="B100" t="s">
        <v>41</v>
      </c>
      <c r="C100" s="31" t="s">
        <v>1778</v>
      </c>
      <c r="D100" s="32" t="s">
        <v>1811</v>
      </c>
      <c r="E100" t="s">
        <v>35</v>
      </c>
      <c r="F100" t="s">
        <v>127</v>
      </c>
      <c r="G100" t="s">
        <v>54</v>
      </c>
      <c r="H100" t="s">
        <v>91</v>
      </c>
      <c r="I100" t="s">
        <v>56</v>
      </c>
      <c r="J100">
        <v>5.0999999999999996</v>
      </c>
      <c r="K100">
        <v>4</v>
      </c>
      <c r="L100" t="s">
        <v>27</v>
      </c>
      <c r="M100">
        <v>2</v>
      </c>
      <c r="N100" t="s">
        <v>27</v>
      </c>
      <c r="O100" t="s">
        <v>28</v>
      </c>
      <c r="P100" t="s">
        <v>57</v>
      </c>
      <c r="Q100" t="s">
        <v>30</v>
      </c>
      <c r="R100" t="str">
        <f>IF(Table14[[#This Row],[Resolution_Time]]&gt;Table14[[#This Row],[SLA_Target]],"No", "Yes")</f>
        <v>No</v>
      </c>
      <c r="S100" t="str">
        <f>IF(Table14[[#This Row],[Calculated_SLA]]=Table14[[#This Row],[SLA_Met]],"Match","Mismatch")</f>
        <v>Match</v>
      </c>
      <c r="T100">
        <f>IF(Table14[[#This Row],[Calculated_SLA]]="Yes",1,0)</f>
        <v>0</v>
      </c>
      <c r="U100" t="str">
        <f>IF(COUNTIFS(Reference_data!A:A,Table14[[#This Row],[Category]],Reference_data!B:B,Table14[[#This Row],[Subcategory]])&gt;0,"Valid","Invalid")</f>
        <v>Valid</v>
      </c>
    </row>
    <row r="101" spans="1:21">
      <c r="A101" t="s">
        <v>370</v>
      </c>
      <c r="B101" t="s">
        <v>32</v>
      </c>
      <c r="C101" s="31" t="s">
        <v>1779</v>
      </c>
      <c r="D101" s="32" t="s">
        <v>2143</v>
      </c>
      <c r="E101" t="s">
        <v>78</v>
      </c>
      <c r="F101" t="s">
        <v>79</v>
      </c>
      <c r="G101" t="s">
        <v>23</v>
      </c>
      <c r="H101" t="s">
        <v>91</v>
      </c>
      <c r="I101" t="s">
        <v>80</v>
      </c>
      <c r="J101">
        <v>9.1999999999999993</v>
      </c>
      <c r="K101">
        <v>24</v>
      </c>
      <c r="L101" t="s">
        <v>26</v>
      </c>
      <c r="M101">
        <v>4</v>
      </c>
      <c r="N101" t="s">
        <v>27</v>
      </c>
      <c r="O101" t="s">
        <v>28</v>
      </c>
      <c r="P101" t="s">
        <v>29</v>
      </c>
      <c r="Q101" t="s">
        <v>58</v>
      </c>
      <c r="R101" t="str">
        <f>IF(Table14[[#This Row],[Resolution_Time]]&gt;Table14[[#This Row],[SLA_Target]],"No", "Yes")</f>
        <v>Yes</v>
      </c>
      <c r="S101" t="str">
        <f>IF(Table14[[#This Row],[Calculated_SLA]]=Table14[[#This Row],[SLA_Met]],"Match","Mismatch")</f>
        <v>Match</v>
      </c>
      <c r="T101">
        <f>IF(Table14[[#This Row],[Calculated_SLA]]="Yes",1,0)</f>
        <v>1</v>
      </c>
      <c r="U101" t="str">
        <f>IF(COUNTIFS(Reference_data!A:A,Table14[[#This Row],[Category]],Reference_data!B:B,Table14[[#This Row],[Subcategory]])&gt;0,"Valid","Invalid")</f>
        <v>Valid</v>
      </c>
    </row>
    <row r="102" spans="1:21">
      <c r="A102" t="s">
        <v>373</v>
      </c>
      <c r="B102" t="s">
        <v>75</v>
      </c>
      <c r="C102" s="31" t="s">
        <v>1723</v>
      </c>
      <c r="D102" s="32" t="s">
        <v>2144</v>
      </c>
      <c r="E102" t="s">
        <v>35</v>
      </c>
      <c r="F102" t="s">
        <v>53</v>
      </c>
      <c r="G102" t="s">
        <v>23</v>
      </c>
      <c r="H102" t="s">
        <v>70</v>
      </c>
      <c r="I102" t="s">
        <v>56</v>
      </c>
      <c r="J102">
        <v>11.7</v>
      </c>
      <c r="K102">
        <v>24</v>
      </c>
      <c r="L102" t="s">
        <v>26</v>
      </c>
      <c r="M102">
        <v>4</v>
      </c>
      <c r="N102" t="s">
        <v>27</v>
      </c>
      <c r="O102" t="s">
        <v>28</v>
      </c>
      <c r="P102" t="s">
        <v>29</v>
      </c>
      <c r="Q102" t="s">
        <v>58</v>
      </c>
      <c r="R102" t="str">
        <f>IF(Table14[[#This Row],[Resolution_Time]]&gt;Table14[[#This Row],[SLA_Target]],"No", "Yes")</f>
        <v>Yes</v>
      </c>
      <c r="S102" t="str">
        <f>IF(Table14[[#This Row],[Calculated_SLA]]=Table14[[#This Row],[SLA_Met]],"Match","Mismatch")</f>
        <v>Match</v>
      </c>
      <c r="T102">
        <f>IF(Table14[[#This Row],[Calculated_SLA]]="Yes",1,0)</f>
        <v>1</v>
      </c>
      <c r="U102" t="str">
        <f>IF(COUNTIFS(Reference_data!A:A,Table14[[#This Row],[Category]],Reference_data!B:B,Table14[[#This Row],[Subcategory]])&gt;0,"Valid","Invalid")</f>
        <v>Valid</v>
      </c>
    </row>
    <row r="103" spans="1:21">
      <c r="A103" t="s">
        <v>376</v>
      </c>
      <c r="B103" t="s">
        <v>41</v>
      </c>
      <c r="C103" s="31" t="s">
        <v>1780</v>
      </c>
      <c r="D103" s="32" t="s">
        <v>2145</v>
      </c>
      <c r="E103" t="s">
        <v>84</v>
      </c>
      <c r="F103" t="s">
        <v>85</v>
      </c>
      <c r="G103" t="s">
        <v>46</v>
      </c>
      <c r="H103" t="s">
        <v>86</v>
      </c>
      <c r="I103" t="s">
        <v>87</v>
      </c>
      <c r="J103">
        <v>5.4</v>
      </c>
      <c r="K103">
        <v>8</v>
      </c>
      <c r="L103" t="s">
        <v>26</v>
      </c>
      <c r="M103">
        <v>5</v>
      </c>
      <c r="N103" t="s">
        <v>27</v>
      </c>
      <c r="O103" t="s">
        <v>28</v>
      </c>
      <c r="P103" t="s">
        <v>29</v>
      </c>
      <c r="Q103" t="s">
        <v>39</v>
      </c>
      <c r="R103" t="str">
        <f>IF(Table14[[#This Row],[Resolution_Time]]&gt;Table14[[#This Row],[SLA_Target]],"No", "Yes")</f>
        <v>Yes</v>
      </c>
      <c r="S103" t="str">
        <f>IF(Table14[[#This Row],[Calculated_SLA]]=Table14[[#This Row],[SLA_Met]],"Match","Mismatch")</f>
        <v>Match</v>
      </c>
      <c r="T103">
        <f>IF(Table14[[#This Row],[Calculated_SLA]]="Yes",1,0)</f>
        <v>1</v>
      </c>
      <c r="U103" t="str">
        <f>IF(COUNTIFS(Reference_data!A:A,Table14[[#This Row],[Category]],Reference_data!B:B,Table14[[#This Row],[Subcategory]])&gt;0,"Valid","Invalid")</f>
        <v>Valid</v>
      </c>
    </row>
    <row r="104" spans="1:21">
      <c r="A104" t="s">
        <v>379</v>
      </c>
      <c r="B104" t="s">
        <v>18</v>
      </c>
      <c r="C104" s="31" t="s">
        <v>1781</v>
      </c>
      <c r="D104" s="32" t="s">
        <v>1717</v>
      </c>
      <c r="E104" t="s">
        <v>35</v>
      </c>
      <c r="F104" t="s">
        <v>36</v>
      </c>
      <c r="G104" t="s">
        <v>46</v>
      </c>
      <c r="H104" t="s">
        <v>70</v>
      </c>
      <c r="I104" t="s">
        <v>38</v>
      </c>
      <c r="J104">
        <v>5.0999999999999996</v>
      </c>
      <c r="K104">
        <v>8</v>
      </c>
      <c r="L104" t="s">
        <v>26</v>
      </c>
      <c r="M104">
        <v>5</v>
      </c>
      <c r="N104" t="s">
        <v>27</v>
      </c>
      <c r="O104" t="s">
        <v>28</v>
      </c>
      <c r="P104" t="s">
        <v>29</v>
      </c>
      <c r="Q104" t="s">
        <v>58</v>
      </c>
      <c r="R104" t="str">
        <f>IF(Table14[[#This Row],[Resolution_Time]]&gt;Table14[[#This Row],[SLA_Target]],"No", "Yes")</f>
        <v>Yes</v>
      </c>
      <c r="S104" t="str">
        <f>IF(Table14[[#This Row],[Calculated_SLA]]=Table14[[#This Row],[SLA_Met]],"Match","Mismatch")</f>
        <v>Match</v>
      </c>
      <c r="T104">
        <f>IF(Table14[[#This Row],[Calculated_SLA]]="Yes",1,0)</f>
        <v>1</v>
      </c>
      <c r="U104" t="str">
        <f>IF(COUNTIFS(Reference_data!A:A,Table14[[#This Row],[Category]],Reference_data!B:B,Table14[[#This Row],[Subcategory]])&gt;0,"Valid","Invalid")</f>
        <v>Valid</v>
      </c>
    </row>
    <row r="105" spans="1:21">
      <c r="A105" t="s">
        <v>382</v>
      </c>
      <c r="B105" t="s">
        <v>32</v>
      </c>
      <c r="C105" s="31" t="s">
        <v>1762</v>
      </c>
      <c r="D105" s="32" t="s">
        <v>2146</v>
      </c>
      <c r="E105" t="s">
        <v>78</v>
      </c>
      <c r="F105" t="s">
        <v>191</v>
      </c>
      <c r="G105" t="s">
        <v>23</v>
      </c>
      <c r="H105" t="s">
        <v>70</v>
      </c>
      <c r="I105" t="s">
        <v>38</v>
      </c>
      <c r="J105">
        <v>20.7</v>
      </c>
      <c r="K105">
        <v>24</v>
      </c>
      <c r="L105" t="s">
        <v>26</v>
      </c>
      <c r="M105">
        <v>4</v>
      </c>
      <c r="N105" t="s">
        <v>27</v>
      </c>
      <c r="O105" t="s">
        <v>28</v>
      </c>
      <c r="P105" t="s">
        <v>29</v>
      </c>
      <c r="Q105" t="s">
        <v>39</v>
      </c>
      <c r="R105" t="str">
        <f>IF(Table14[[#This Row],[Resolution_Time]]&gt;Table14[[#This Row],[SLA_Target]],"No", "Yes")</f>
        <v>Yes</v>
      </c>
      <c r="S105" t="str">
        <f>IF(Table14[[#This Row],[Calculated_SLA]]=Table14[[#This Row],[SLA_Met]],"Match","Mismatch")</f>
        <v>Match</v>
      </c>
      <c r="T105">
        <f>IF(Table14[[#This Row],[Calculated_SLA]]="Yes",1,0)</f>
        <v>1</v>
      </c>
      <c r="U105" t="str">
        <f>IF(COUNTIFS(Reference_data!A:A,Table14[[#This Row],[Category]],Reference_data!B:B,Table14[[#This Row],[Subcategory]])&gt;0,"Valid","Invalid")</f>
        <v>Valid</v>
      </c>
    </row>
    <row r="106" spans="1:21">
      <c r="A106" t="s">
        <v>385</v>
      </c>
      <c r="B106" t="s">
        <v>60</v>
      </c>
      <c r="C106" s="31" t="s">
        <v>1782</v>
      </c>
      <c r="D106" s="32" t="s">
        <v>2147</v>
      </c>
      <c r="E106" t="s">
        <v>21</v>
      </c>
      <c r="F106" t="s">
        <v>69</v>
      </c>
      <c r="G106" t="s">
        <v>46</v>
      </c>
      <c r="H106" t="s">
        <v>86</v>
      </c>
      <c r="I106" t="s">
        <v>25</v>
      </c>
      <c r="J106">
        <v>10.3</v>
      </c>
      <c r="K106">
        <v>8</v>
      </c>
      <c r="L106" t="s">
        <v>27</v>
      </c>
      <c r="M106">
        <v>3</v>
      </c>
      <c r="N106" t="s">
        <v>27</v>
      </c>
      <c r="O106" t="s">
        <v>28</v>
      </c>
      <c r="P106" t="s">
        <v>1670</v>
      </c>
      <c r="Q106" t="s">
        <v>39</v>
      </c>
      <c r="R106" t="str">
        <f>IF(Table14[[#This Row],[Resolution_Time]]&gt;Table14[[#This Row],[SLA_Target]],"No", "Yes")</f>
        <v>No</v>
      </c>
      <c r="S106" t="str">
        <f>IF(Table14[[#This Row],[Calculated_SLA]]=Table14[[#This Row],[SLA_Met]],"Match","Mismatch")</f>
        <v>Match</v>
      </c>
      <c r="T106">
        <f>IF(Table14[[#This Row],[Calculated_SLA]]="Yes",1,0)</f>
        <v>0</v>
      </c>
      <c r="U106" t="str">
        <f>IF(COUNTIFS(Reference_data!A:A,Table14[[#This Row],[Category]],Reference_data!B:B,Table14[[#This Row],[Subcategory]])&gt;0,"Valid","Invalid")</f>
        <v>Valid</v>
      </c>
    </row>
    <row r="107" spans="1:21">
      <c r="A107" t="s">
        <v>388</v>
      </c>
      <c r="B107" t="s">
        <v>75</v>
      </c>
      <c r="C107" s="31" t="s">
        <v>1783</v>
      </c>
      <c r="D107" s="32" t="s">
        <v>2092</v>
      </c>
      <c r="E107" t="s">
        <v>21</v>
      </c>
      <c r="F107" t="s">
        <v>69</v>
      </c>
      <c r="G107" t="s">
        <v>46</v>
      </c>
      <c r="H107" t="s">
        <v>47</v>
      </c>
      <c r="I107" t="s">
        <v>25</v>
      </c>
      <c r="J107">
        <v>10.5</v>
      </c>
      <c r="K107">
        <v>8</v>
      </c>
      <c r="L107" t="s">
        <v>27</v>
      </c>
      <c r="M107">
        <v>1</v>
      </c>
      <c r="N107" t="s">
        <v>27</v>
      </c>
      <c r="O107" t="s">
        <v>28</v>
      </c>
      <c r="P107" t="s">
        <v>1670</v>
      </c>
      <c r="Q107" t="s">
        <v>39</v>
      </c>
      <c r="R107" t="str">
        <f>IF(Table14[[#This Row],[Resolution_Time]]&gt;Table14[[#This Row],[SLA_Target]],"No", "Yes")</f>
        <v>No</v>
      </c>
      <c r="S107" t="str">
        <f>IF(Table14[[#This Row],[Calculated_SLA]]=Table14[[#This Row],[SLA_Met]],"Match","Mismatch")</f>
        <v>Match</v>
      </c>
      <c r="T107">
        <f>IF(Table14[[#This Row],[Calculated_SLA]]="Yes",1,0)</f>
        <v>0</v>
      </c>
      <c r="U107" t="str">
        <f>IF(COUNTIFS(Reference_data!A:A,Table14[[#This Row],[Category]],Reference_data!B:B,Table14[[#This Row],[Subcategory]])&gt;0,"Valid","Invalid")</f>
        <v>Valid</v>
      </c>
    </row>
    <row r="108" spans="1:21">
      <c r="A108" t="s">
        <v>391</v>
      </c>
      <c r="B108" t="s">
        <v>121</v>
      </c>
      <c r="C108" s="31" t="s">
        <v>1784</v>
      </c>
      <c r="D108" s="32" t="s">
        <v>2148</v>
      </c>
      <c r="E108" t="s">
        <v>35</v>
      </c>
      <c r="F108" t="s">
        <v>36</v>
      </c>
      <c r="G108" t="s">
        <v>54</v>
      </c>
      <c r="H108" t="s">
        <v>24</v>
      </c>
      <c r="I108" t="s">
        <v>38</v>
      </c>
      <c r="J108">
        <v>16.5</v>
      </c>
      <c r="K108">
        <v>4</v>
      </c>
      <c r="L108" t="s">
        <v>27</v>
      </c>
      <c r="M108">
        <v>1</v>
      </c>
      <c r="N108" t="s">
        <v>27</v>
      </c>
      <c r="O108" t="s">
        <v>28</v>
      </c>
      <c r="P108" t="s">
        <v>1670</v>
      </c>
      <c r="Q108" t="s">
        <v>39</v>
      </c>
      <c r="R108" t="str">
        <f>IF(Table14[[#This Row],[Resolution_Time]]&gt;Table14[[#This Row],[SLA_Target]],"No", "Yes")</f>
        <v>No</v>
      </c>
      <c r="S108" t="str">
        <f>IF(Table14[[#This Row],[Calculated_SLA]]=Table14[[#This Row],[SLA_Met]],"Match","Mismatch")</f>
        <v>Match</v>
      </c>
      <c r="T108">
        <f>IF(Table14[[#This Row],[Calculated_SLA]]="Yes",1,0)</f>
        <v>0</v>
      </c>
      <c r="U108" t="str">
        <f>IF(COUNTIFS(Reference_data!A:A,Table14[[#This Row],[Category]],Reference_data!B:B,Table14[[#This Row],[Subcategory]])&gt;0,"Valid","Invalid")</f>
        <v>Valid</v>
      </c>
    </row>
    <row r="109" spans="1:21">
      <c r="A109" t="s">
        <v>394</v>
      </c>
      <c r="B109" t="s">
        <v>106</v>
      </c>
      <c r="C109" s="31" t="s">
        <v>1740</v>
      </c>
      <c r="D109" s="32" t="s">
        <v>2149</v>
      </c>
      <c r="E109" t="s">
        <v>35</v>
      </c>
      <c r="F109" t="s">
        <v>127</v>
      </c>
      <c r="G109" t="s">
        <v>46</v>
      </c>
      <c r="H109" t="s">
        <v>37</v>
      </c>
      <c r="I109" t="s">
        <v>56</v>
      </c>
      <c r="J109">
        <v>10.4</v>
      </c>
      <c r="K109">
        <v>8</v>
      </c>
      <c r="L109" t="s">
        <v>27</v>
      </c>
      <c r="M109">
        <v>3</v>
      </c>
      <c r="N109" t="s">
        <v>26</v>
      </c>
      <c r="O109" t="s">
        <v>28</v>
      </c>
      <c r="P109" t="s">
        <v>57</v>
      </c>
      <c r="Q109" t="s">
        <v>30</v>
      </c>
      <c r="R109" t="str">
        <f>IF(Table14[[#This Row],[Resolution_Time]]&gt;Table14[[#This Row],[SLA_Target]],"No", "Yes")</f>
        <v>No</v>
      </c>
      <c r="S109" t="str">
        <f>IF(Table14[[#This Row],[Calculated_SLA]]=Table14[[#This Row],[SLA_Met]],"Match","Mismatch")</f>
        <v>Match</v>
      </c>
      <c r="T109">
        <f>IF(Table14[[#This Row],[Calculated_SLA]]="Yes",1,0)</f>
        <v>0</v>
      </c>
      <c r="U109" t="str">
        <f>IF(COUNTIFS(Reference_data!A:A,Table14[[#This Row],[Category]],Reference_data!B:B,Table14[[#This Row],[Subcategory]])&gt;0,"Valid","Invalid")</f>
        <v>Valid</v>
      </c>
    </row>
    <row r="110" spans="1:21">
      <c r="A110" t="s">
        <v>397</v>
      </c>
      <c r="B110" t="s">
        <v>18</v>
      </c>
      <c r="C110" s="31" t="s">
        <v>1785</v>
      </c>
      <c r="D110" s="32" t="s">
        <v>2150</v>
      </c>
      <c r="E110" t="s">
        <v>35</v>
      </c>
      <c r="F110" t="s">
        <v>36</v>
      </c>
      <c r="G110" t="s">
        <v>46</v>
      </c>
      <c r="H110" t="s">
        <v>86</v>
      </c>
      <c r="I110" t="s">
        <v>38</v>
      </c>
      <c r="J110">
        <v>8.9</v>
      </c>
      <c r="K110">
        <v>8</v>
      </c>
      <c r="L110" t="s">
        <v>27</v>
      </c>
      <c r="M110">
        <v>1</v>
      </c>
      <c r="N110" t="s">
        <v>26</v>
      </c>
      <c r="O110" t="s">
        <v>28</v>
      </c>
      <c r="P110" t="s">
        <v>57</v>
      </c>
      <c r="Q110" t="s">
        <v>39</v>
      </c>
      <c r="R110" t="str">
        <f>IF(Table14[[#This Row],[Resolution_Time]]&gt;Table14[[#This Row],[SLA_Target]],"No", "Yes")</f>
        <v>No</v>
      </c>
      <c r="S110" t="str">
        <f>IF(Table14[[#This Row],[Calculated_SLA]]=Table14[[#This Row],[SLA_Met]],"Match","Mismatch")</f>
        <v>Match</v>
      </c>
      <c r="T110">
        <f>IF(Table14[[#This Row],[Calculated_SLA]]="Yes",1,0)</f>
        <v>0</v>
      </c>
      <c r="U110" t="str">
        <f>IF(COUNTIFS(Reference_data!A:A,Table14[[#This Row],[Category]],Reference_data!B:B,Table14[[#This Row],[Subcategory]])&gt;0,"Valid","Invalid")</f>
        <v>Valid</v>
      </c>
    </row>
    <row r="111" spans="1:21">
      <c r="A111" t="s">
        <v>400</v>
      </c>
      <c r="B111" t="s">
        <v>41</v>
      </c>
      <c r="C111" s="31" t="s">
        <v>1704</v>
      </c>
      <c r="D111" s="32" t="s">
        <v>2151</v>
      </c>
      <c r="E111" t="s">
        <v>21</v>
      </c>
      <c r="F111" t="s">
        <v>63</v>
      </c>
      <c r="G111" t="s">
        <v>23</v>
      </c>
      <c r="H111" t="s">
        <v>55</v>
      </c>
      <c r="I111" t="s">
        <v>25</v>
      </c>
      <c r="J111">
        <v>12.1</v>
      </c>
      <c r="K111">
        <v>24</v>
      </c>
      <c r="L111" t="s">
        <v>26</v>
      </c>
      <c r="M111">
        <v>4</v>
      </c>
      <c r="N111" t="s">
        <v>27</v>
      </c>
      <c r="O111" t="s">
        <v>28</v>
      </c>
      <c r="P111" t="s">
        <v>29</v>
      </c>
      <c r="Q111" t="s">
        <v>30</v>
      </c>
      <c r="R111" t="str">
        <f>IF(Table14[[#This Row],[Resolution_Time]]&gt;Table14[[#This Row],[SLA_Target]],"No", "Yes")</f>
        <v>Yes</v>
      </c>
      <c r="S111" t="str">
        <f>IF(Table14[[#This Row],[Calculated_SLA]]=Table14[[#This Row],[SLA_Met]],"Match","Mismatch")</f>
        <v>Match</v>
      </c>
      <c r="T111">
        <f>IF(Table14[[#This Row],[Calculated_SLA]]="Yes",1,0)</f>
        <v>1</v>
      </c>
      <c r="U111" t="str">
        <f>IF(COUNTIFS(Reference_data!A:A,Table14[[#This Row],[Category]],Reference_data!B:B,Table14[[#This Row],[Subcategory]])&gt;0,"Valid","Invalid")</f>
        <v>Valid</v>
      </c>
    </row>
    <row r="112" spans="1:21">
      <c r="A112" t="s">
        <v>403</v>
      </c>
      <c r="B112" t="s">
        <v>60</v>
      </c>
      <c r="C112" s="31" t="s">
        <v>1786</v>
      </c>
      <c r="D112" s="32" t="s">
        <v>2152</v>
      </c>
      <c r="E112" t="s">
        <v>84</v>
      </c>
      <c r="F112" t="s">
        <v>85</v>
      </c>
      <c r="G112" t="s">
        <v>46</v>
      </c>
      <c r="H112" t="s">
        <v>55</v>
      </c>
      <c r="I112" t="s">
        <v>87</v>
      </c>
      <c r="J112">
        <v>8.8000000000000007</v>
      </c>
      <c r="K112">
        <v>8</v>
      </c>
      <c r="L112" t="s">
        <v>27</v>
      </c>
      <c r="M112">
        <v>1</v>
      </c>
      <c r="N112" t="s">
        <v>26</v>
      </c>
      <c r="O112" t="s">
        <v>28</v>
      </c>
      <c r="P112" t="s">
        <v>57</v>
      </c>
      <c r="Q112" t="s">
        <v>101</v>
      </c>
      <c r="R112" t="str">
        <f>IF(Table14[[#This Row],[Resolution_Time]]&gt;Table14[[#This Row],[SLA_Target]],"No", "Yes")</f>
        <v>No</v>
      </c>
      <c r="S112" t="str">
        <f>IF(Table14[[#This Row],[Calculated_SLA]]=Table14[[#This Row],[SLA_Met]],"Match","Mismatch")</f>
        <v>Match</v>
      </c>
      <c r="T112">
        <f>IF(Table14[[#This Row],[Calculated_SLA]]="Yes",1,0)</f>
        <v>0</v>
      </c>
      <c r="U112" t="str">
        <f>IF(COUNTIFS(Reference_data!A:A,Table14[[#This Row],[Category]],Reference_data!B:B,Table14[[#This Row],[Subcategory]])&gt;0,"Valid","Invalid")</f>
        <v>Valid</v>
      </c>
    </row>
    <row r="113" spans="1:21">
      <c r="A113" t="s">
        <v>406</v>
      </c>
      <c r="B113" t="s">
        <v>121</v>
      </c>
      <c r="C113" s="31" t="s">
        <v>1787</v>
      </c>
      <c r="D113" s="32" t="s">
        <v>2153</v>
      </c>
      <c r="E113" t="s">
        <v>84</v>
      </c>
      <c r="F113" t="s">
        <v>116</v>
      </c>
      <c r="G113" t="s">
        <v>23</v>
      </c>
      <c r="H113" t="s">
        <v>24</v>
      </c>
      <c r="I113" t="s">
        <v>87</v>
      </c>
      <c r="J113">
        <v>9.3000000000000007</v>
      </c>
      <c r="K113">
        <v>24</v>
      </c>
      <c r="L113" t="s">
        <v>26</v>
      </c>
      <c r="M113">
        <v>5</v>
      </c>
      <c r="N113" t="s">
        <v>27</v>
      </c>
      <c r="O113" t="s">
        <v>28</v>
      </c>
      <c r="P113" t="s">
        <v>29</v>
      </c>
      <c r="Q113" t="s">
        <v>58</v>
      </c>
      <c r="R113" t="str">
        <f>IF(Table14[[#This Row],[Resolution_Time]]&gt;Table14[[#This Row],[SLA_Target]],"No", "Yes")</f>
        <v>Yes</v>
      </c>
      <c r="S113" t="str">
        <f>IF(Table14[[#This Row],[Calculated_SLA]]=Table14[[#This Row],[SLA_Met]],"Match","Mismatch")</f>
        <v>Match</v>
      </c>
      <c r="T113">
        <f>IF(Table14[[#This Row],[Calculated_SLA]]="Yes",1,0)</f>
        <v>1</v>
      </c>
      <c r="U113" t="str">
        <f>IF(COUNTIFS(Reference_data!A:A,Table14[[#This Row],[Category]],Reference_data!B:B,Table14[[#This Row],[Subcategory]])&gt;0,"Valid","Invalid")</f>
        <v>Valid</v>
      </c>
    </row>
    <row r="114" spans="1:21">
      <c r="A114" t="s">
        <v>409</v>
      </c>
      <c r="B114" t="s">
        <v>75</v>
      </c>
      <c r="C114" s="31" t="s">
        <v>1788</v>
      </c>
      <c r="D114" s="32" t="s">
        <v>1691</v>
      </c>
      <c r="E114" t="s">
        <v>84</v>
      </c>
      <c r="F114" t="s">
        <v>85</v>
      </c>
      <c r="G114" t="s">
        <v>54</v>
      </c>
      <c r="H114" t="s">
        <v>47</v>
      </c>
      <c r="I114" t="s">
        <v>87</v>
      </c>
      <c r="J114">
        <v>2.9</v>
      </c>
      <c r="K114">
        <v>4</v>
      </c>
      <c r="L114" t="s">
        <v>26</v>
      </c>
      <c r="M114">
        <v>5</v>
      </c>
      <c r="N114" t="s">
        <v>27</v>
      </c>
      <c r="O114" t="s">
        <v>28</v>
      </c>
      <c r="P114" t="s">
        <v>29</v>
      </c>
      <c r="Q114" t="s">
        <v>39</v>
      </c>
      <c r="R114" t="str">
        <f>IF(Table14[[#This Row],[Resolution_Time]]&gt;Table14[[#This Row],[SLA_Target]],"No", "Yes")</f>
        <v>Yes</v>
      </c>
      <c r="S114" t="str">
        <f>IF(Table14[[#This Row],[Calculated_SLA]]=Table14[[#This Row],[SLA_Met]],"Match","Mismatch")</f>
        <v>Match</v>
      </c>
      <c r="T114">
        <f>IF(Table14[[#This Row],[Calculated_SLA]]="Yes",1,0)</f>
        <v>1</v>
      </c>
      <c r="U114" t="str">
        <f>IF(COUNTIFS(Reference_data!A:A,Table14[[#This Row],[Category]],Reference_data!B:B,Table14[[#This Row],[Subcategory]])&gt;0,"Valid","Invalid")</f>
        <v>Valid</v>
      </c>
    </row>
    <row r="115" spans="1:21">
      <c r="A115" t="s">
        <v>412</v>
      </c>
      <c r="B115" t="s">
        <v>75</v>
      </c>
      <c r="C115" s="31" t="s">
        <v>1789</v>
      </c>
      <c r="D115" s="32" t="s">
        <v>2154</v>
      </c>
      <c r="E115" t="s">
        <v>21</v>
      </c>
      <c r="F115" t="s">
        <v>63</v>
      </c>
      <c r="G115" t="s">
        <v>23</v>
      </c>
      <c r="H115" t="s">
        <v>86</v>
      </c>
      <c r="I115" t="s">
        <v>25</v>
      </c>
      <c r="J115">
        <v>8</v>
      </c>
      <c r="K115">
        <v>24</v>
      </c>
      <c r="L115" t="s">
        <v>26</v>
      </c>
      <c r="M115">
        <v>4</v>
      </c>
      <c r="N115" t="s">
        <v>27</v>
      </c>
      <c r="O115" t="s">
        <v>28</v>
      </c>
      <c r="P115" t="s">
        <v>29</v>
      </c>
      <c r="Q115" t="s">
        <v>30</v>
      </c>
      <c r="R115" t="str">
        <f>IF(Table14[[#This Row],[Resolution_Time]]&gt;Table14[[#This Row],[SLA_Target]],"No", "Yes")</f>
        <v>Yes</v>
      </c>
      <c r="S115" t="str">
        <f>IF(Table14[[#This Row],[Calculated_SLA]]=Table14[[#This Row],[SLA_Met]],"Match","Mismatch")</f>
        <v>Match</v>
      </c>
      <c r="T115">
        <f>IF(Table14[[#This Row],[Calculated_SLA]]="Yes",1,0)</f>
        <v>1</v>
      </c>
      <c r="U115" t="str">
        <f>IF(COUNTIFS(Reference_data!A:A,Table14[[#This Row],[Category]],Reference_data!B:B,Table14[[#This Row],[Subcategory]])&gt;0,"Valid","Invalid")</f>
        <v>Valid</v>
      </c>
    </row>
    <row r="116" spans="1:21">
      <c r="A116" t="s">
        <v>415</v>
      </c>
      <c r="B116" t="s">
        <v>50</v>
      </c>
      <c r="C116" s="31" t="s">
        <v>1790</v>
      </c>
      <c r="D116" s="32" t="s">
        <v>2155</v>
      </c>
      <c r="E116" t="s">
        <v>21</v>
      </c>
      <c r="F116" t="s">
        <v>69</v>
      </c>
      <c r="G116" t="s">
        <v>23</v>
      </c>
      <c r="H116" t="s">
        <v>70</v>
      </c>
      <c r="I116" t="s">
        <v>25</v>
      </c>
      <c r="J116">
        <v>10.3</v>
      </c>
      <c r="K116">
        <v>24</v>
      </c>
      <c r="L116" t="s">
        <v>26</v>
      </c>
      <c r="M116">
        <v>4</v>
      </c>
      <c r="N116" t="s">
        <v>27</v>
      </c>
      <c r="O116" t="s">
        <v>28</v>
      </c>
      <c r="P116" t="s">
        <v>29</v>
      </c>
      <c r="Q116" t="s">
        <v>101</v>
      </c>
      <c r="R116" t="str">
        <f>IF(Table14[[#This Row],[Resolution_Time]]&gt;Table14[[#This Row],[SLA_Target]],"No", "Yes")</f>
        <v>Yes</v>
      </c>
      <c r="S116" t="str">
        <f>IF(Table14[[#This Row],[Calculated_SLA]]=Table14[[#This Row],[SLA_Met]],"Match","Mismatch")</f>
        <v>Match</v>
      </c>
      <c r="T116">
        <f>IF(Table14[[#This Row],[Calculated_SLA]]="Yes",1,0)</f>
        <v>1</v>
      </c>
      <c r="U116" t="str">
        <f>IF(COUNTIFS(Reference_data!A:A,Table14[[#This Row],[Category]],Reference_data!B:B,Table14[[#This Row],[Subcategory]])&gt;0,"Valid","Invalid")</f>
        <v>Valid</v>
      </c>
    </row>
    <row r="117" spans="1:21">
      <c r="A117" t="s">
        <v>418</v>
      </c>
      <c r="B117" t="s">
        <v>75</v>
      </c>
      <c r="C117" s="31" t="s">
        <v>1791</v>
      </c>
      <c r="D117" s="32" t="s">
        <v>2156</v>
      </c>
      <c r="E117" t="s">
        <v>78</v>
      </c>
      <c r="F117" t="s">
        <v>79</v>
      </c>
      <c r="G117" t="s">
        <v>46</v>
      </c>
      <c r="H117" t="s">
        <v>234</v>
      </c>
      <c r="I117" t="s">
        <v>80</v>
      </c>
      <c r="J117">
        <v>13.1</v>
      </c>
      <c r="K117">
        <v>8</v>
      </c>
      <c r="L117" t="s">
        <v>27</v>
      </c>
      <c r="M117">
        <v>3</v>
      </c>
      <c r="N117" t="s">
        <v>27</v>
      </c>
      <c r="O117" t="s">
        <v>28</v>
      </c>
      <c r="P117" t="s">
        <v>57</v>
      </c>
      <c r="Q117" t="s">
        <v>39</v>
      </c>
      <c r="R117" t="str">
        <f>IF(Table14[[#This Row],[Resolution_Time]]&gt;Table14[[#This Row],[SLA_Target]],"No", "Yes")</f>
        <v>No</v>
      </c>
      <c r="S117" t="str">
        <f>IF(Table14[[#This Row],[Calculated_SLA]]=Table14[[#This Row],[SLA_Met]],"Match","Mismatch")</f>
        <v>Match</v>
      </c>
      <c r="T117">
        <f>IF(Table14[[#This Row],[Calculated_SLA]]="Yes",1,0)</f>
        <v>0</v>
      </c>
      <c r="U117" t="str">
        <f>IF(COUNTIFS(Reference_data!A:A,Table14[[#This Row],[Category]],Reference_data!B:B,Table14[[#This Row],[Subcategory]])&gt;0,"Valid","Invalid")</f>
        <v>Valid</v>
      </c>
    </row>
    <row r="118" spans="1:21">
      <c r="A118" t="s">
        <v>421</v>
      </c>
      <c r="B118" t="s">
        <v>66</v>
      </c>
      <c r="C118" s="31" t="s">
        <v>1792</v>
      </c>
      <c r="D118" s="32" t="s">
        <v>2157</v>
      </c>
      <c r="E118" t="s">
        <v>78</v>
      </c>
      <c r="F118" t="s">
        <v>191</v>
      </c>
      <c r="G118" t="s">
        <v>46</v>
      </c>
      <c r="H118" t="s">
        <v>91</v>
      </c>
      <c r="I118" t="s">
        <v>38</v>
      </c>
      <c r="J118">
        <v>15.1</v>
      </c>
      <c r="K118">
        <v>8</v>
      </c>
      <c r="L118" t="s">
        <v>27</v>
      </c>
      <c r="M118">
        <v>2</v>
      </c>
      <c r="N118" t="s">
        <v>26</v>
      </c>
      <c r="O118" t="s">
        <v>28</v>
      </c>
      <c r="P118" t="s">
        <v>57</v>
      </c>
      <c r="Q118" t="s">
        <v>39</v>
      </c>
      <c r="R118" t="str">
        <f>IF(Table14[[#This Row],[Resolution_Time]]&gt;Table14[[#This Row],[SLA_Target]],"No", "Yes")</f>
        <v>No</v>
      </c>
      <c r="S118" t="str">
        <f>IF(Table14[[#This Row],[Calculated_SLA]]=Table14[[#This Row],[SLA_Met]],"Match","Mismatch")</f>
        <v>Match</v>
      </c>
      <c r="T118">
        <f>IF(Table14[[#This Row],[Calculated_SLA]]="Yes",1,0)</f>
        <v>0</v>
      </c>
      <c r="U118" t="str">
        <f>IF(COUNTIFS(Reference_data!A:A,Table14[[#This Row],[Category]],Reference_data!B:B,Table14[[#This Row],[Subcategory]])&gt;0,"Valid","Invalid")</f>
        <v>Valid</v>
      </c>
    </row>
    <row r="119" spans="1:21">
      <c r="A119" t="s">
        <v>424</v>
      </c>
      <c r="B119" t="s">
        <v>75</v>
      </c>
      <c r="C119" s="31" t="s">
        <v>1793</v>
      </c>
      <c r="D119" s="32" t="s">
        <v>2158</v>
      </c>
      <c r="E119" t="s">
        <v>78</v>
      </c>
      <c r="F119" t="s">
        <v>166</v>
      </c>
      <c r="G119" t="s">
        <v>46</v>
      </c>
      <c r="H119" t="s">
        <v>55</v>
      </c>
      <c r="I119" t="s">
        <v>80</v>
      </c>
      <c r="J119">
        <v>19.399999999999999</v>
      </c>
      <c r="K119">
        <v>8</v>
      </c>
      <c r="L119" t="s">
        <v>27</v>
      </c>
      <c r="M119">
        <v>3</v>
      </c>
      <c r="N119" t="s">
        <v>26</v>
      </c>
      <c r="O119" t="s">
        <v>28</v>
      </c>
      <c r="P119" t="s">
        <v>57</v>
      </c>
      <c r="Q119" t="s">
        <v>58</v>
      </c>
      <c r="R119" t="str">
        <f>IF(Table14[[#This Row],[Resolution_Time]]&gt;Table14[[#This Row],[SLA_Target]],"No", "Yes")</f>
        <v>No</v>
      </c>
      <c r="S119" t="str">
        <f>IF(Table14[[#This Row],[Calculated_SLA]]=Table14[[#This Row],[SLA_Met]],"Match","Mismatch")</f>
        <v>Match</v>
      </c>
      <c r="T119">
        <f>IF(Table14[[#This Row],[Calculated_SLA]]="Yes",1,0)</f>
        <v>0</v>
      </c>
      <c r="U119" t="str">
        <f>IF(COUNTIFS(Reference_data!A:A,Table14[[#This Row],[Category]],Reference_data!B:B,Table14[[#This Row],[Subcategory]])&gt;0,"Valid","Invalid")</f>
        <v>Valid</v>
      </c>
    </row>
    <row r="120" spans="1:21">
      <c r="A120" t="s">
        <v>427</v>
      </c>
      <c r="B120" t="s">
        <v>32</v>
      </c>
      <c r="C120" s="31" t="s">
        <v>1794</v>
      </c>
      <c r="D120" s="32" t="s">
        <v>2159</v>
      </c>
      <c r="E120" t="s">
        <v>21</v>
      </c>
      <c r="F120" t="s">
        <v>22</v>
      </c>
      <c r="G120" t="s">
        <v>46</v>
      </c>
      <c r="H120" t="s">
        <v>70</v>
      </c>
      <c r="I120" t="s">
        <v>25</v>
      </c>
      <c r="J120">
        <v>12.8</v>
      </c>
      <c r="K120">
        <v>8</v>
      </c>
      <c r="L120" t="s">
        <v>27</v>
      </c>
      <c r="M120">
        <v>2</v>
      </c>
      <c r="N120" t="s">
        <v>27</v>
      </c>
      <c r="O120" t="s">
        <v>28</v>
      </c>
      <c r="P120" t="s">
        <v>57</v>
      </c>
      <c r="Q120" t="s">
        <v>39</v>
      </c>
      <c r="R120" t="str">
        <f>IF(Table14[[#This Row],[Resolution_Time]]&gt;Table14[[#This Row],[SLA_Target]],"No", "Yes")</f>
        <v>No</v>
      </c>
      <c r="S120" t="str">
        <f>IF(Table14[[#This Row],[Calculated_SLA]]=Table14[[#This Row],[SLA_Met]],"Match","Mismatch")</f>
        <v>Match</v>
      </c>
      <c r="T120">
        <f>IF(Table14[[#This Row],[Calculated_SLA]]="Yes",1,0)</f>
        <v>0</v>
      </c>
      <c r="U120" t="str">
        <f>IF(COUNTIFS(Reference_data!A:A,Table14[[#This Row],[Category]],Reference_data!B:B,Table14[[#This Row],[Subcategory]])&gt;0,"Valid","Invalid")</f>
        <v>Valid</v>
      </c>
    </row>
    <row r="121" spans="1:21">
      <c r="A121" t="s">
        <v>430</v>
      </c>
      <c r="B121" t="s">
        <v>60</v>
      </c>
      <c r="C121" s="31" t="s">
        <v>1795</v>
      </c>
      <c r="D121" s="32" t="s">
        <v>2160</v>
      </c>
      <c r="E121" t="s">
        <v>78</v>
      </c>
      <c r="F121" t="s">
        <v>166</v>
      </c>
      <c r="G121" t="s">
        <v>46</v>
      </c>
      <c r="H121" t="s">
        <v>70</v>
      </c>
      <c r="I121" t="s">
        <v>80</v>
      </c>
      <c r="J121">
        <v>19.399999999999999</v>
      </c>
      <c r="K121">
        <v>8</v>
      </c>
      <c r="L121" t="s">
        <v>27</v>
      </c>
      <c r="M121">
        <v>3</v>
      </c>
      <c r="N121" t="s">
        <v>27</v>
      </c>
      <c r="O121" t="s">
        <v>28</v>
      </c>
      <c r="P121" t="s">
        <v>57</v>
      </c>
      <c r="Q121" t="s">
        <v>101</v>
      </c>
      <c r="R121" t="str">
        <f>IF(Table14[[#This Row],[Resolution_Time]]&gt;Table14[[#This Row],[SLA_Target]],"No", "Yes")</f>
        <v>No</v>
      </c>
      <c r="S121" t="str">
        <f>IF(Table14[[#This Row],[Calculated_SLA]]=Table14[[#This Row],[SLA_Met]],"Match","Mismatch")</f>
        <v>Match</v>
      </c>
      <c r="T121">
        <f>IF(Table14[[#This Row],[Calculated_SLA]]="Yes",1,0)</f>
        <v>0</v>
      </c>
      <c r="U121" t="str">
        <f>IF(COUNTIFS(Reference_data!A:A,Table14[[#This Row],[Category]],Reference_data!B:B,Table14[[#This Row],[Subcategory]])&gt;0,"Valid","Invalid")</f>
        <v>Valid</v>
      </c>
    </row>
    <row r="122" spans="1:21">
      <c r="A122" t="s">
        <v>433</v>
      </c>
      <c r="B122" t="s">
        <v>121</v>
      </c>
      <c r="C122" s="31" t="s">
        <v>1796</v>
      </c>
      <c r="D122" s="32" t="s">
        <v>2161</v>
      </c>
      <c r="E122" t="s">
        <v>78</v>
      </c>
      <c r="F122" t="s">
        <v>166</v>
      </c>
      <c r="G122" t="s">
        <v>46</v>
      </c>
      <c r="H122" t="s">
        <v>55</v>
      </c>
      <c r="I122" t="s">
        <v>80</v>
      </c>
      <c r="J122">
        <v>17.5</v>
      </c>
      <c r="K122">
        <v>8</v>
      </c>
      <c r="L122" t="s">
        <v>27</v>
      </c>
      <c r="M122">
        <v>2</v>
      </c>
      <c r="N122" t="s">
        <v>26</v>
      </c>
      <c r="O122" t="s">
        <v>28</v>
      </c>
      <c r="P122" t="s">
        <v>1670</v>
      </c>
      <c r="Q122" t="s">
        <v>30</v>
      </c>
      <c r="R122" t="str">
        <f>IF(Table14[[#This Row],[Resolution_Time]]&gt;Table14[[#This Row],[SLA_Target]],"No", "Yes")</f>
        <v>No</v>
      </c>
      <c r="S122" t="str">
        <f>IF(Table14[[#This Row],[Calculated_SLA]]=Table14[[#This Row],[SLA_Met]],"Match","Mismatch")</f>
        <v>Match</v>
      </c>
      <c r="T122">
        <f>IF(Table14[[#This Row],[Calculated_SLA]]="Yes",1,0)</f>
        <v>0</v>
      </c>
      <c r="U122" t="str">
        <f>IF(COUNTIFS(Reference_data!A:A,Table14[[#This Row],[Category]],Reference_data!B:B,Table14[[#This Row],[Subcategory]])&gt;0,"Valid","Invalid")</f>
        <v>Valid</v>
      </c>
    </row>
    <row r="123" spans="1:21">
      <c r="A123" t="s">
        <v>436</v>
      </c>
      <c r="B123" t="s">
        <v>106</v>
      </c>
      <c r="C123" s="31" t="s">
        <v>1797</v>
      </c>
      <c r="D123" s="32" t="s">
        <v>2162</v>
      </c>
      <c r="E123" t="s">
        <v>84</v>
      </c>
      <c r="F123" t="s">
        <v>85</v>
      </c>
      <c r="G123" t="s">
        <v>46</v>
      </c>
      <c r="H123" t="s">
        <v>64</v>
      </c>
      <c r="I123" t="s">
        <v>87</v>
      </c>
      <c r="J123">
        <v>5.4</v>
      </c>
      <c r="K123">
        <v>8</v>
      </c>
      <c r="L123" t="s">
        <v>26</v>
      </c>
      <c r="M123">
        <v>4</v>
      </c>
      <c r="N123" t="s">
        <v>27</v>
      </c>
      <c r="O123" t="s">
        <v>28</v>
      </c>
      <c r="P123" t="s">
        <v>29</v>
      </c>
      <c r="Q123" t="s">
        <v>30</v>
      </c>
      <c r="R123" t="str">
        <f>IF(Table14[[#This Row],[Resolution_Time]]&gt;Table14[[#This Row],[SLA_Target]],"No", "Yes")</f>
        <v>Yes</v>
      </c>
      <c r="S123" t="str">
        <f>IF(Table14[[#This Row],[Calculated_SLA]]=Table14[[#This Row],[SLA_Met]],"Match","Mismatch")</f>
        <v>Match</v>
      </c>
      <c r="T123">
        <f>IF(Table14[[#This Row],[Calculated_SLA]]="Yes",1,0)</f>
        <v>1</v>
      </c>
      <c r="U123" t="str">
        <f>IF(COUNTIFS(Reference_data!A:A,Table14[[#This Row],[Category]],Reference_data!B:B,Table14[[#This Row],[Subcategory]])&gt;0,"Valid","Invalid")</f>
        <v>Valid</v>
      </c>
    </row>
    <row r="124" spans="1:21">
      <c r="A124" t="s">
        <v>439</v>
      </c>
      <c r="B124" t="s">
        <v>41</v>
      </c>
      <c r="C124" s="31" t="s">
        <v>1798</v>
      </c>
      <c r="D124" s="32" t="s">
        <v>2163</v>
      </c>
      <c r="E124" t="s">
        <v>35</v>
      </c>
      <c r="F124" t="s">
        <v>127</v>
      </c>
      <c r="G124" t="s">
        <v>46</v>
      </c>
      <c r="H124" t="s">
        <v>91</v>
      </c>
      <c r="I124" t="s">
        <v>56</v>
      </c>
      <c r="J124">
        <v>11.6</v>
      </c>
      <c r="K124">
        <v>8</v>
      </c>
      <c r="L124" t="s">
        <v>27</v>
      </c>
      <c r="M124">
        <v>1</v>
      </c>
      <c r="N124" t="s">
        <v>26</v>
      </c>
      <c r="O124" t="s">
        <v>28</v>
      </c>
      <c r="P124" t="s">
        <v>57</v>
      </c>
      <c r="Q124" t="s">
        <v>58</v>
      </c>
      <c r="R124" t="str">
        <f>IF(Table14[[#This Row],[Resolution_Time]]&gt;Table14[[#This Row],[SLA_Target]],"No", "Yes")</f>
        <v>No</v>
      </c>
      <c r="S124" t="str">
        <f>IF(Table14[[#This Row],[Calculated_SLA]]=Table14[[#This Row],[SLA_Met]],"Match","Mismatch")</f>
        <v>Match</v>
      </c>
      <c r="T124">
        <f>IF(Table14[[#This Row],[Calculated_SLA]]="Yes",1,0)</f>
        <v>0</v>
      </c>
      <c r="U124" t="str">
        <f>IF(COUNTIFS(Reference_data!A:A,Table14[[#This Row],[Category]],Reference_data!B:B,Table14[[#This Row],[Subcategory]])&gt;0,"Valid","Invalid")</f>
        <v>Valid</v>
      </c>
    </row>
    <row r="125" spans="1:21">
      <c r="A125" t="s">
        <v>442</v>
      </c>
      <c r="B125" t="s">
        <v>41</v>
      </c>
      <c r="C125" s="31" t="s">
        <v>1799</v>
      </c>
      <c r="D125" s="32" t="s">
        <v>2164</v>
      </c>
      <c r="E125" t="s">
        <v>78</v>
      </c>
      <c r="F125" t="s">
        <v>166</v>
      </c>
      <c r="G125" t="s">
        <v>23</v>
      </c>
      <c r="H125" t="s">
        <v>234</v>
      </c>
      <c r="I125" t="s">
        <v>80</v>
      </c>
      <c r="J125">
        <v>12.1</v>
      </c>
      <c r="K125">
        <v>24</v>
      </c>
      <c r="L125" t="s">
        <v>26</v>
      </c>
      <c r="M125">
        <v>4</v>
      </c>
      <c r="N125" t="s">
        <v>27</v>
      </c>
      <c r="O125" t="s">
        <v>28</v>
      </c>
      <c r="P125" t="s">
        <v>29</v>
      </c>
      <c r="Q125" t="s">
        <v>101</v>
      </c>
      <c r="R125" t="str">
        <f>IF(Table14[[#This Row],[Resolution_Time]]&gt;Table14[[#This Row],[SLA_Target]],"No", "Yes")</f>
        <v>Yes</v>
      </c>
      <c r="S125" t="str">
        <f>IF(Table14[[#This Row],[Calculated_SLA]]=Table14[[#This Row],[SLA_Met]],"Match","Mismatch")</f>
        <v>Match</v>
      </c>
      <c r="T125">
        <f>IF(Table14[[#This Row],[Calculated_SLA]]="Yes",1,0)</f>
        <v>1</v>
      </c>
      <c r="U125" t="str">
        <f>IF(COUNTIFS(Reference_data!A:A,Table14[[#This Row],[Category]],Reference_data!B:B,Table14[[#This Row],[Subcategory]])&gt;0,"Valid","Invalid")</f>
        <v>Valid</v>
      </c>
    </row>
    <row r="126" spans="1:21">
      <c r="A126" t="s">
        <v>445</v>
      </c>
      <c r="B126" t="s">
        <v>135</v>
      </c>
      <c r="C126" s="31" t="s">
        <v>1800</v>
      </c>
      <c r="D126" s="32" t="s">
        <v>2165</v>
      </c>
      <c r="E126" t="s">
        <v>21</v>
      </c>
      <c r="F126" t="s">
        <v>69</v>
      </c>
      <c r="G126" t="s">
        <v>23</v>
      </c>
      <c r="H126" t="s">
        <v>138</v>
      </c>
      <c r="I126" t="s">
        <v>25</v>
      </c>
      <c r="J126">
        <v>9.3000000000000007</v>
      </c>
      <c r="K126">
        <v>24</v>
      </c>
      <c r="L126" t="s">
        <v>26</v>
      </c>
      <c r="M126">
        <v>5</v>
      </c>
      <c r="N126" t="s">
        <v>27</v>
      </c>
      <c r="O126" t="s">
        <v>28</v>
      </c>
      <c r="P126" t="s">
        <v>29</v>
      </c>
      <c r="Q126" t="s">
        <v>39</v>
      </c>
      <c r="R126" t="str">
        <f>IF(Table14[[#This Row],[Resolution_Time]]&gt;Table14[[#This Row],[SLA_Target]],"No", "Yes")</f>
        <v>Yes</v>
      </c>
      <c r="S126" t="str">
        <f>IF(Table14[[#This Row],[Calculated_SLA]]=Table14[[#This Row],[SLA_Met]],"Match","Mismatch")</f>
        <v>Match</v>
      </c>
      <c r="T126">
        <f>IF(Table14[[#This Row],[Calculated_SLA]]="Yes",1,0)</f>
        <v>1</v>
      </c>
      <c r="U126" t="str">
        <f>IF(COUNTIFS(Reference_data!A:A,Table14[[#This Row],[Category]],Reference_data!B:B,Table14[[#This Row],[Subcategory]])&gt;0,"Valid","Invalid")</f>
        <v>Valid</v>
      </c>
    </row>
    <row r="127" spans="1:21">
      <c r="A127" t="s">
        <v>448</v>
      </c>
      <c r="B127" t="s">
        <v>32</v>
      </c>
      <c r="C127" s="31" t="s">
        <v>1801</v>
      </c>
      <c r="D127" s="32" t="s">
        <v>2166</v>
      </c>
      <c r="E127" t="s">
        <v>35</v>
      </c>
      <c r="F127" t="s">
        <v>127</v>
      </c>
      <c r="G127" t="s">
        <v>46</v>
      </c>
      <c r="H127" t="s">
        <v>234</v>
      </c>
      <c r="I127" t="s">
        <v>56</v>
      </c>
      <c r="J127">
        <v>5</v>
      </c>
      <c r="K127">
        <v>8</v>
      </c>
      <c r="L127" t="s">
        <v>26</v>
      </c>
      <c r="M127">
        <v>5</v>
      </c>
      <c r="N127" t="s">
        <v>27</v>
      </c>
      <c r="O127" t="s">
        <v>28</v>
      </c>
      <c r="P127" t="s">
        <v>29</v>
      </c>
      <c r="Q127" t="s">
        <v>58</v>
      </c>
      <c r="R127" t="str">
        <f>IF(Table14[[#This Row],[Resolution_Time]]&gt;Table14[[#This Row],[SLA_Target]],"No", "Yes")</f>
        <v>Yes</v>
      </c>
      <c r="S127" t="str">
        <f>IF(Table14[[#This Row],[Calculated_SLA]]=Table14[[#This Row],[SLA_Met]],"Match","Mismatch")</f>
        <v>Match</v>
      </c>
      <c r="T127">
        <f>IF(Table14[[#This Row],[Calculated_SLA]]="Yes",1,0)</f>
        <v>1</v>
      </c>
      <c r="U127" t="str">
        <f>IF(COUNTIFS(Reference_data!A:A,Table14[[#This Row],[Category]],Reference_data!B:B,Table14[[#This Row],[Subcategory]])&gt;0,"Valid","Invalid")</f>
        <v>Valid</v>
      </c>
    </row>
    <row r="128" spans="1:21">
      <c r="A128" t="s">
        <v>451</v>
      </c>
      <c r="B128" t="s">
        <v>75</v>
      </c>
      <c r="C128" s="31" t="s">
        <v>1712</v>
      </c>
      <c r="D128" s="32" t="s">
        <v>2167</v>
      </c>
      <c r="E128" t="s">
        <v>35</v>
      </c>
      <c r="F128" t="s">
        <v>36</v>
      </c>
      <c r="G128" t="s">
        <v>46</v>
      </c>
      <c r="H128" t="s">
        <v>91</v>
      </c>
      <c r="I128" t="s">
        <v>38</v>
      </c>
      <c r="J128">
        <v>4.9000000000000004</v>
      </c>
      <c r="K128">
        <v>8</v>
      </c>
      <c r="L128" t="s">
        <v>26</v>
      </c>
      <c r="M128">
        <v>5</v>
      </c>
      <c r="N128" t="s">
        <v>27</v>
      </c>
      <c r="O128" t="s">
        <v>28</v>
      </c>
      <c r="P128" t="s">
        <v>29</v>
      </c>
      <c r="Q128" t="s">
        <v>30</v>
      </c>
      <c r="R128" t="str">
        <f>IF(Table14[[#This Row],[Resolution_Time]]&gt;Table14[[#This Row],[SLA_Target]],"No", "Yes")</f>
        <v>Yes</v>
      </c>
      <c r="S128" t="str">
        <f>IF(Table14[[#This Row],[Calculated_SLA]]=Table14[[#This Row],[SLA_Met]],"Match","Mismatch")</f>
        <v>Match</v>
      </c>
      <c r="T128">
        <f>IF(Table14[[#This Row],[Calculated_SLA]]="Yes",1,0)</f>
        <v>1</v>
      </c>
      <c r="U128" t="str">
        <f>IF(COUNTIFS(Reference_data!A:A,Table14[[#This Row],[Category]],Reference_data!B:B,Table14[[#This Row],[Subcategory]])&gt;0,"Valid","Invalid")</f>
        <v>Valid</v>
      </c>
    </row>
    <row r="129" spans="1:21">
      <c r="A129" t="s">
        <v>454</v>
      </c>
      <c r="B129" t="s">
        <v>50</v>
      </c>
      <c r="C129" s="31" t="s">
        <v>1802</v>
      </c>
      <c r="D129" s="32" t="s">
        <v>2168</v>
      </c>
      <c r="E129" t="s">
        <v>35</v>
      </c>
      <c r="F129" t="s">
        <v>127</v>
      </c>
      <c r="G129" t="s">
        <v>23</v>
      </c>
      <c r="H129" t="s">
        <v>91</v>
      </c>
      <c r="I129" t="s">
        <v>56</v>
      </c>
      <c r="J129">
        <v>8.6999999999999993</v>
      </c>
      <c r="K129">
        <v>24</v>
      </c>
      <c r="L129" t="s">
        <v>26</v>
      </c>
      <c r="M129">
        <v>4</v>
      </c>
      <c r="N129" t="s">
        <v>27</v>
      </c>
      <c r="O129" t="s">
        <v>28</v>
      </c>
      <c r="P129" t="s">
        <v>29</v>
      </c>
      <c r="Q129" t="s">
        <v>101</v>
      </c>
      <c r="R129" t="str">
        <f>IF(Table14[[#This Row],[Resolution_Time]]&gt;Table14[[#This Row],[SLA_Target]],"No", "Yes")</f>
        <v>Yes</v>
      </c>
      <c r="S129" t="str">
        <f>IF(Table14[[#This Row],[Calculated_SLA]]=Table14[[#This Row],[SLA_Met]],"Match","Mismatch")</f>
        <v>Match</v>
      </c>
      <c r="T129">
        <f>IF(Table14[[#This Row],[Calculated_SLA]]="Yes",1,0)</f>
        <v>1</v>
      </c>
      <c r="U129" t="str">
        <f>IF(COUNTIFS(Reference_data!A:A,Table14[[#This Row],[Category]],Reference_data!B:B,Table14[[#This Row],[Subcategory]])&gt;0,"Valid","Invalid")</f>
        <v>Valid</v>
      </c>
    </row>
    <row r="130" spans="1:21">
      <c r="A130" t="s">
        <v>457</v>
      </c>
      <c r="B130" t="s">
        <v>121</v>
      </c>
      <c r="C130" s="31" t="s">
        <v>1803</v>
      </c>
      <c r="D130" s="32" t="s">
        <v>2169</v>
      </c>
      <c r="E130" t="s">
        <v>78</v>
      </c>
      <c r="F130" t="s">
        <v>191</v>
      </c>
      <c r="G130" t="s">
        <v>54</v>
      </c>
      <c r="H130" t="s">
        <v>138</v>
      </c>
      <c r="I130" t="s">
        <v>38</v>
      </c>
      <c r="J130">
        <v>15.1</v>
      </c>
      <c r="K130">
        <v>4</v>
      </c>
      <c r="L130" t="s">
        <v>27</v>
      </c>
      <c r="M130">
        <v>3</v>
      </c>
      <c r="N130" t="s">
        <v>27</v>
      </c>
      <c r="O130" t="s">
        <v>28</v>
      </c>
      <c r="P130" t="s">
        <v>57</v>
      </c>
      <c r="Q130" t="s">
        <v>30</v>
      </c>
      <c r="R130" t="str">
        <f>IF(Table14[[#This Row],[Resolution_Time]]&gt;Table14[[#This Row],[SLA_Target]],"No", "Yes")</f>
        <v>No</v>
      </c>
      <c r="S130" t="str">
        <f>IF(Table14[[#This Row],[Calculated_SLA]]=Table14[[#This Row],[SLA_Met]],"Match","Mismatch")</f>
        <v>Match</v>
      </c>
      <c r="T130">
        <f>IF(Table14[[#This Row],[Calculated_SLA]]="Yes",1,0)</f>
        <v>0</v>
      </c>
      <c r="U130" t="str">
        <f>IF(COUNTIFS(Reference_data!A:A,Table14[[#This Row],[Category]],Reference_data!B:B,Table14[[#This Row],[Subcategory]])&gt;0,"Valid","Invalid")</f>
        <v>Valid</v>
      </c>
    </row>
    <row r="131" spans="1:21">
      <c r="A131" t="s">
        <v>460</v>
      </c>
      <c r="B131" t="s">
        <v>60</v>
      </c>
      <c r="C131" s="31" t="s">
        <v>1804</v>
      </c>
      <c r="D131" s="32" t="s">
        <v>1723</v>
      </c>
      <c r="E131" t="s">
        <v>84</v>
      </c>
      <c r="F131" t="s">
        <v>85</v>
      </c>
      <c r="G131" t="s">
        <v>46</v>
      </c>
      <c r="H131" t="s">
        <v>64</v>
      </c>
      <c r="I131" t="s">
        <v>87</v>
      </c>
      <c r="J131">
        <v>3.3</v>
      </c>
      <c r="K131">
        <v>8</v>
      </c>
      <c r="L131" t="s">
        <v>26</v>
      </c>
      <c r="M131">
        <v>5</v>
      </c>
      <c r="N131" t="s">
        <v>27</v>
      </c>
      <c r="O131" t="s">
        <v>28</v>
      </c>
      <c r="P131" t="s">
        <v>29</v>
      </c>
      <c r="Q131" t="s">
        <v>39</v>
      </c>
      <c r="R131" t="str">
        <f>IF(Table14[[#This Row],[Resolution_Time]]&gt;Table14[[#This Row],[SLA_Target]],"No", "Yes")</f>
        <v>Yes</v>
      </c>
      <c r="S131" t="str">
        <f>IF(Table14[[#This Row],[Calculated_SLA]]=Table14[[#This Row],[SLA_Met]],"Match","Mismatch")</f>
        <v>Match</v>
      </c>
      <c r="T131">
        <f>IF(Table14[[#This Row],[Calculated_SLA]]="Yes",1,0)</f>
        <v>1</v>
      </c>
      <c r="U131" t="str">
        <f>IF(COUNTIFS(Reference_data!A:A,Table14[[#This Row],[Category]],Reference_data!B:B,Table14[[#This Row],[Subcategory]])&gt;0,"Valid","Invalid")</f>
        <v>Valid</v>
      </c>
    </row>
    <row r="132" spans="1:21">
      <c r="A132" t="s">
        <v>463</v>
      </c>
      <c r="B132" t="s">
        <v>60</v>
      </c>
      <c r="C132" s="31" t="s">
        <v>1805</v>
      </c>
      <c r="D132" s="32" t="s">
        <v>2170</v>
      </c>
      <c r="E132" t="s">
        <v>21</v>
      </c>
      <c r="F132" t="s">
        <v>22</v>
      </c>
      <c r="G132" t="s">
        <v>23</v>
      </c>
      <c r="H132" t="s">
        <v>91</v>
      </c>
      <c r="I132" t="s">
        <v>25</v>
      </c>
      <c r="J132">
        <v>6.6</v>
      </c>
      <c r="K132">
        <v>24</v>
      </c>
      <c r="L132" t="s">
        <v>26</v>
      </c>
      <c r="M132">
        <v>5</v>
      </c>
      <c r="N132" t="s">
        <v>27</v>
      </c>
      <c r="O132" t="s">
        <v>28</v>
      </c>
      <c r="P132" t="s">
        <v>29</v>
      </c>
      <c r="Q132" t="s">
        <v>30</v>
      </c>
      <c r="R132" t="str">
        <f>IF(Table14[[#This Row],[Resolution_Time]]&gt;Table14[[#This Row],[SLA_Target]],"No", "Yes")</f>
        <v>Yes</v>
      </c>
      <c r="S132" t="str">
        <f>IF(Table14[[#This Row],[Calculated_SLA]]=Table14[[#This Row],[SLA_Met]],"Match","Mismatch")</f>
        <v>Match</v>
      </c>
      <c r="T132">
        <f>IF(Table14[[#This Row],[Calculated_SLA]]="Yes",1,0)</f>
        <v>1</v>
      </c>
      <c r="U132" t="str">
        <f>IF(COUNTIFS(Reference_data!A:A,Table14[[#This Row],[Category]],Reference_data!B:B,Table14[[#This Row],[Subcategory]])&gt;0,"Valid","Invalid")</f>
        <v>Valid</v>
      </c>
    </row>
    <row r="133" spans="1:21">
      <c r="A133" t="s">
        <v>466</v>
      </c>
      <c r="B133" t="s">
        <v>135</v>
      </c>
      <c r="C133" s="31" t="s">
        <v>1806</v>
      </c>
      <c r="D133" s="32" t="s">
        <v>2171</v>
      </c>
      <c r="E133" t="s">
        <v>35</v>
      </c>
      <c r="F133" t="s">
        <v>53</v>
      </c>
      <c r="G133" t="s">
        <v>54</v>
      </c>
      <c r="H133" t="s">
        <v>24</v>
      </c>
      <c r="I133" t="s">
        <v>56</v>
      </c>
      <c r="J133">
        <v>9.4</v>
      </c>
      <c r="K133">
        <v>4</v>
      </c>
      <c r="L133" t="s">
        <v>27</v>
      </c>
      <c r="M133">
        <v>3</v>
      </c>
      <c r="N133" t="s">
        <v>27</v>
      </c>
      <c r="O133" t="s">
        <v>28</v>
      </c>
      <c r="P133" t="s">
        <v>1670</v>
      </c>
      <c r="Q133" t="s">
        <v>58</v>
      </c>
      <c r="R133" t="str">
        <f>IF(Table14[[#This Row],[Resolution_Time]]&gt;Table14[[#This Row],[SLA_Target]],"No", "Yes")</f>
        <v>No</v>
      </c>
      <c r="S133" t="str">
        <f>IF(Table14[[#This Row],[Calculated_SLA]]=Table14[[#This Row],[SLA_Met]],"Match","Mismatch")</f>
        <v>Match</v>
      </c>
      <c r="T133">
        <f>IF(Table14[[#This Row],[Calculated_SLA]]="Yes",1,0)</f>
        <v>0</v>
      </c>
      <c r="U133" t="str">
        <f>IF(COUNTIFS(Reference_data!A:A,Table14[[#This Row],[Category]],Reference_data!B:B,Table14[[#This Row],[Subcategory]])&gt;0,"Valid","Invalid")</f>
        <v>Valid</v>
      </c>
    </row>
    <row r="134" spans="1:21">
      <c r="A134" t="s">
        <v>469</v>
      </c>
      <c r="B134" t="s">
        <v>66</v>
      </c>
      <c r="C134" s="31" t="s">
        <v>1723</v>
      </c>
      <c r="D134" s="32" t="s">
        <v>2172</v>
      </c>
      <c r="E134" t="s">
        <v>78</v>
      </c>
      <c r="F134" t="s">
        <v>79</v>
      </c>
      <c r="G134" t="s">
        <v>46</v>
      </c>
      <c r="H134" t="s">
        <v>47</v>
      </c>
      <c r="I134" t="s">
        <v>80</v>
      </c>
      <c r="J134">
        <v>14.7</v>
      </c>
      <c r="K134">
        <v>8</v>
      </c>
      <c r="L134" t="s">
        <v>27</v>
      </c>
      <c r="M134">
        <v>3</v>
      </c>
      <c r="N134" t="s">
        <v>27</v>
      </c>
      <c r="O134" t="s">
        <v>28</v>
      </c>
      <c r="P134" t="s">
        <v>1670</v>
      </c>
      <c r="Q134" t="s">
        <v>39</v>
      </c>
      <c r="R134" t="str">
        <f>IF(Table14[[#This Row],[Resolution_Time]]&gt;Table14[[#This Row],[SLA_Target]],"No", "Yes")</f>
        <v>No</v>
      </c>
      <c r="S134" t="str">
        <f>IF(Table14[[#This Row],[Calculated_SLA]]=Table14[[#This Row],[SLA_Met]],"Match","Mismatch")</f>
        <v>Match</v>
      </c>
      <c r="T134">
        <f>IF(Table14[[#This Row],[Calculated_SLA]]="Yes",1,0)</f>
        <v>0</v>
      </c>
      <c r="U134" t="str">
        <f>IF(COUNTIFS(Reference_data!A:A,Table14[[#This Row],[Category]],Reference_data!B:B,Table14[[#This Row],[Subcategory]])&gt;0,"Valid","Invalid")</f>
        <v>Valid</v>
      </c>
    </row>
    <row r="135" spans="1:21">
      <c r="A135" t="s">
        <v>472</v>
      </c>
      <c r="B135" t="s">
        <v>32</v>
      </c>
      <c r="C135" s="31" t="s">
        <v>1807</v>
      </c>
      <c r="D135" s="32" t="s">
        <v>2173</v>
      </c>
      <c r="E135" t="s">
        <v>78</v>
      </c>
      <c r="F135" t="s">
        <v>166</v>
      </c>
      <c r="G135" t="s">
        <v>46</v>
      </c>
      <c r="H135" t="s">
        <v>64</v>
      </c>
      <c r="I135" t="s">
        <v>80</v>
      </c>
      <c r="J135">
        <v>11.3</v>
      </c>
      <c r="K135">
        <v>8</v>
      </c>
      <c r="L135" t="s">
        <v>27</v>
      </c>
      <c r="M135">
        <v>3</v>
      </c>
      <c r="N135" t="s">
        <v>27</v>
      </c>
      <c r="O135" t="s">
        <v>28</v>
      </c>
      <c r="P135" t="s">
        <v>57</v>
      </c>
      <c r="Q135" t="s">
        <v>30</v>
      </c>
      <c r="R135" t="str">
        <f>IF(Table14[[#This Row],[Resolution_Time]]&gt;Table14[[#This Row],[SLA_Target]],"No", "Yes")</f>
        <v>No</v>
      </c>
      <c r="S135" t="str">
        <f>IF(Table14[[#This Row],[Calculated_SLA]]=Table14[[#This Row],[SLA_Met]],"Match","Mismatch")</f>
        <v>Match</v>
      </c>
      <c r="T135">
        <f>IF(Table14[[#This Row],[Calculated_SLA]]="Yes",1,0)</f>
        <v>0</v>
      </c>
      <c r="U135" t="str">
        <f>IF(COUNTIFS(Reference_data!A:A,Table14[[#This Row],[Category]],Reference_data!B:B,Table14[[#This Row],[Subcategory]])&gt;0,"Valid","Invalid")</f>
        <v>Valid</v>
      </c>
    </row>
    <row r="136" spans="1:21">
      <c r="A136" t="s">
        <v>475</v>
      </c>
      <c r="B136" t="s">
        <v>18</v>
      </c>
      <c r="C136" s="31" t="s">
        <v>1808</v>
      </c>
      <c r="D136" s="32" t="s">
        <v>2174</v>
      </c>
      <c r="E136" t="s">
        <v>21</v>
      </c>
      <c r="F136" t="s">
        <v>63</v>
      </c>
      <c r="G136" t="s">
        <v>23</v>
      </c>
      <c r="H136" t="s">
        <v>55</v>
      </c>
      <c r="I136" t="s">
        <v>25</v>
      </c>
      <c r="J136">
        <v>9.9</v>
      </c>
      <c r="K136">
        <v>24</v>
      </c>
      <c r="L136" t="s">
        <v>26</v>
      </c>
      <c r="M136">
        <v>5</v>
      </c>
      <c r="N136" t="s">
        <v>27</v>
      </c>
      <c r="O136" t="s">
        <v>28</v>
      </c>
      <c r="P136" t="s">
        <v>29</v>
      </c>
      <c r="Q136" t="s">
        <v>58</v>
      </c>
      <c r="R136" t="str">
        <f>IF(Table14[[#This Row],[Resolution_Time]]&gt;Table14[[#This Row],[SLA_Target]],"No", "Yes")</f>
        <v>Yes</v>
      </c>
      <c r="S136" t="str">
        <f>IF(Table14[[#This Row],[Calculated_SLA]]=Table14[[#This Row],[SLA_Met]],"Match","Mismatch")</f>
        <v>Match</v>
      </c>
      <c r="T136">
        <f>IF(Table14[[#This Row],[Calculated_SLA]]="Yes",1,0)</f>
        <v>1</v>
      </c>
      <c r="U136" t="str">
        <f>IF(COUNTIFS(Reference_data!A:A,Table14[[#This Row],[Category]],Reference_data!B:B,Table14[[#This Row],[Subcategory]])&gt;0,"Valid","Invalid")</f>
        <v>Valid</v>
      </c>
    </row>
    <row r="137" spans="1:21">
      <c r="A137" t="s">
        <v>478</v>
      </c>
      <c r="B137" t="s">
        <v>66</v>
      </c>
      <c r="C137" s="31" t="s">
        <v>1809</v>
      </c>
      <c r="D137" s="32" t="s">
        <v>2175</v>
      </c>
      <c r="E137" t="s">
        <v>21</v>
      </c>
      <c r="F137" t="s">
        <v>69</v>
      </c>
      <c r="G137" t="s">
        <v>46</v>
      </c>
      <c r="H137" t="s">
        <v>86</v>
      </c>
      <c r="I137" t="s">
        <v>25</v>
      </c>
      <c r="J137">
        <v>11.9</v>
      </c>
      <c r="K137">
        <v>8</v>
      </c>
      <c r="L137" t="s">
        <v>27</v>
      </c>
      <c r="M137">
        <v>2</v>
      </c>
      <c r="N137" t="s">
        <v>26</v>
      </c>
      <c r="O137" t="s">
        <v>28</v>
      </c>
      <c r="P137" t="s">
        <v>57</v>
      </c>
      <c r="Q137" t="s">
        <v>39</v>
      </c>
      <c r="R137" t="str">
        <f>IF(Table14[[#This Row],[Resolution_Time]]&gt;Table14[[#This Row],[SLA_Target]],"No", "Yes")</f>
        <v>No</v>
      </c>
      <c r="S137" t="str">
        <f>IF(Table14[[#This Row],[Calculated_SLA]]=Table14[[#This Row],[SLA_Met]],"Match","Mismatch")</f>
        <v>Match</v>
      </c>
      <c r="T137">
        <f>IF(Table14[[#This Row],[Calculated_SLA]]="Yes",1,0)</f>
        <v>0</v>
      </c>
      <c r="U137" t="str">
        <f>IF(COUNTIFS(Reference_data!A:A,Table14[[#This Row],[Category]],Reference_data!B:B,Table14[[#This Row],[Subcategory]])&gt;0,"Valid","Invalid")</f>
        <v>Valid</v>
      </c>
    </row>
    <row r="138" spans="1:21">
      <c r="A138" t="s">
        <v>481</v>
      </c>
      <c r="B138" t="s">
        <v>121</v>
      </c>
      <c r="C138" s="31" t="s">
        <v>1810</v>
      </c>
      <c r="D138" s="32" t="s">
        <v>2176</v>
      </c>
      <c r="E138" t="s">
        <v>35</v>
      </c>
      <c r="F138" t="s">
        <v>53</v>
      </c>
      <c r="G138" t="s">
        <v>46</v>
      </c>
      <c r="H138" t="s">
        <v>55</v>
      </c>
      <c r="I138" t="s">
        <v>56</v>
      </c>
      <c r="J138">
        <v>8.5</v>
      </c>
      <c r="K138">
        <v>8</v>
      </c>
      <c r="L138" t="s">
        <v>27</v>
      </c>
      <c r="M138">
        <v>1</v>
      </c>
      <c r="N138" t="s">
        <v>26</v>
      </c>
      <c r="O138" t="s">
        <v>28</v>
      </c>
      <c r="P138" t="s">
        <v>1670</v>
      </c>
      <c r="Q138" t="s">
        <v>101</v>
      </c>
      <c r="R138" t="str">
        <f>IF(Table14[[#This Row],[Resolution_Time]]&gt;Table14[[#This Row],[SLA_Target]],"No", "Yes")</f>
        <v>No</v>
      </c>
      <c r="S138" t="str">
        <f>IF(Table14[[#This Row],[Calculated_SLA]]=Table14[[#This Row],[SLA_Met]],"Match","Mismatch")</f>
        <v>Match</v>
      </c>
      <c r="T138">
        <f>IF(Table14[[#This Row],[Calculated_SLA]]="Yes",1,0)</f>
        <v>0</v>
      </c>
      <c r="U138" t="str">
        <f>IF(COUNTIFS(Reference_data!A:A,Table14[[#This Row],[Category]],Reference_data!B:B,Table14[[#This Row],[Subcategory]])&gt;0,"Valid","Invalid")</f>
        <v>Valid</v>
      </c>
    </row>
    <row r="139" spans="1:21">
      <c r="A139" t="s">
        <v>484</v>
      </c>
      <c r="B139" t="s">
        <v>18</v>
      </c>
      <c r="C139" s="31" t="s">
        <v>1811</v>
      </c>
      <c r="D139" s="32" t="s">
        <v>2177</v>
      </c>
      <c r="E139" t="s">
        <v>78</v>
      </c>
      <c r="F139" t="s">
        <v>191</v>
      </c>
      <c r="G139" t="s">
        <v>46</v>
      </c>
      <c r="H139" t="s">
        <v>47</v>
      </c>
      <c r="I139" t="s">
        <v>38</v>
      </c>
      <c r="J139">
        <v>8.9</v>
      </c>
      <c r="K139">
        <v>8</v>
      </c>
      <c r="L139" t="s">
        <v>27</v>
      </c>
      <c r="M139">
        <v>1</v>
      </c>
      <c r="N139" t="s">
        <v>27</v>
      </c>
      <c r="O139" t="s">
        <v>28</v>
      </c>
      <c r="P139" t="s">
        <v>1670</v>
      </c>
      <c r="Q139" t="s">
        <v>58</v>
      </c>
      <c r="R139" t="str">
        <f>IF(Table14[[#This Row],[Resolution_Time]]&gt;Table14[[#This Row],[SLA_Target]],"No", "Yes")</f>
        <v>No</v>
      </c>
      <c r="S139" t="str">
        <f>IF(Table14[[#This Row],[Calculated_SLA]]=Table14[[#This Row],[SLA_Met]],"Match","Mismatch")</f>
        <v>Match</v>
      </c>
      <c r="T139">
        <f>IF(Table14[[#This Row],[Calculated_SLA]]="Yes",1,0)</f>
        <v>0</v>
      </c>
      <c r="U139" t="str">
        <f>IF(COUNTIFS(Reference_data!A:A,Table14[[#This Row],[Category]],Reference_data!B:B,Table14[[#This Row],[Subcategory]])&gt;0,"Valid","Invalid")</f>
        <v>Valid</v>
      </c>
    </row>
    <row r="140" spans="1:21">
      <c r="A140" t="s">
        <v>487</v>
      </c>
      <c r="B140" t="s">
        <v>135</v>
      </c>
      <c r="C140" s="31" t="s">
        <v>1812</v>
      </c>
      <c r="D140" s="32" t="s">
        <v>2017</v>
      </c>
      <c r="E140" t="s">
        <v>78</v>
      </c>
      <c r="F140" t="s">
        <v>79</v>
      </c>
      <c r="G140" t="s">
        <v>46</v>
      </c>
      <c r="H140" t="s">
        <v>24</v>
      </c>
      <c r="I140" t="s">
        <v>80</v>
      </c>
      <c r="J140">
        <v>25.1</v>
      </c>
      <c r="K140">
        <v>8</v>
      </c>
      <c r="L140" t="s">
        <v>27</v>
      </c>
      <c r="M140">
        <v>3</v>
      </c>
      <c r="N140" t="s">
        <v>27</v>
      </c>
      <c r="O140" t="s">
        <v>28</v>
      </c>
      <c r="P140" t="s">
        <v>1670</v>
      </c>
      <c r="Q140" t="s">
        <v>58</v>
      </c>
      <c r="R140" t="str">
        <f>IF(Table14[[#This Row],[Resolution_Time]]&gt;Table14[[#This Row],[SLA_Target]],"No", "Yes")</f>
        <v>No</v>
      </c>
      <c r="S140" t="str">
        <f>IF(Table14[[#This Row],[Calculated_SLA]]=Table14[[#This Row],[SLA_Met]],"Match","Mismatch")</f>
        <v>Match</v>
      </c>
      <c r="T140">
        <f>IF(Table14[[#This Row],[Calculated_SLA]]="Yes",1,0)</f>
        <v>0</v>
      </c>
      <c r="U140" t="str">
        <f>IF(COUNTIFS(Reference_data!A:A,Table14[[#This Row],[Category]],Reference_data!B:B,Table14[[#This Row],[Subcategory]])&gt;0,"Valid","Invalid")</f>
        <v>Valid</v>
      </c>
    </row>
    <row r="141" spans="1:21">
      <c r="A141" t="s">
        <v>490</v>
      </c>
      <c r="B141" t="s">
        <v>106</v>
      </c>
      <c r="C141" s="31" t="s">
        <v>1813</v>
      </c>
      <c r="D141" s="32" t="s">
        <v>2178</v>
      </c>
      <c r="E141" t="s">
        <v>78</v>
      </c>
      <c r="F141" t="s">
        <v>191</v>
      </c>
      <c r="G141" t="s">
        <v>46</v>
      </c>
      <c r="H141" t="s">
        <v>86</v>
      </c>
      <c r="I141" t="s">
        <v>38</v>
      </c>
      <c r="J141">
        <v>19.3</v>
      </c>
      <c r="K141">
        <v>8</v>
      </c>
      <c r="L141" t="s">
        <v>27</v>
      </c>
      <c r="M141">
        <v>3</v>
      </c>
      <c r="N141" t="s">
        <v>27</v>
      </c>
      <c r="O141" t="s">
        <v>28</v>
      </c>
      <c r="P141" t="s">
        <v>1670</v>
      </c>
      <c r="Q141" t="s">
        <v>101</v>
      </c>
      <c r="R141" t="str">
        <f>IF(Table14[[#This Row],[Resolution_Time]]&gt;Table14[[#This Row],[SLA_Target]],"No", "Yes")</f>
        <v>No</v>
      </c>
      <c r="S141" t="str">
        <f>IF(Table14[[#This Row],[Calculated_SLA]]=Table14[[#This Row],[SLA_Met]],"Match","Mismatch")</f>
        <v>Match</v>
      </c>
      <c r="T141">
        <f>IF(Table14[[#This Row],[Calculated_SLA]]="Yes",1,0)</f>
        <v>0</v>
      </c>
      <c r="U141" t="str">
        <f>IF(COUNTIFS(Reference_data!A:A,Table14[[#This Row],[Category]],Reference_data!B:B,Table14[[#This Row],[Subcategory]])&gt;0,"Valid","Invalid")</f>
        <v>Valid</v>
      </c>
    </row>
    <row r="142" spans="1:21">
      <c r="A142" t="s">
        <v>493</v>
      </c>
      <c r="B142" t="s">
        <v>135</v>
      </c>
      <c r="C142" s="31" t="s">
        <v>1814</v>
      </c>
      <c r="D142" s="32" t="s">
        <v>2179</v>
      </c>
      <c r="E142" t="s">
        <v>35</v>
      </c>
      <c r="F142" t="s">
        <v>53</v>
      </c>
      <c r="G142" t="s">
        <v>23</v>
      </c>
      <c r="H142" t="s">
        <v>24</v>
      </c>
      <c r="I142" t="s">
        <v>56</v>
      </c>
      <c r="J142">
        <v>15.3</v>
      </c>
      <c r="K142">
        <v>24</v>
      </c>
      <c r="L142" t="s">
        <v>26</v>
      </c>
      <c r="M142">
        <v>5</v>
      </c>
      <c r="N142" t="s">
        <v>27</v>
      </c>
      <c r="O142" t="s">
        <v>28</v>
      </c>
      <c r="P142" t="s">
        <v>29</v>
      </c>
      <c r="Q142" t="s">
        <v>101</v>
      </c>
      <c r="R142" t="str">
        <f>IF(Table14[[#This Row],[Resolution_Time]]&gt;Table14[[#This Row],[SLA_Target]],"No", "Yes")</f>
        <v>Yes</v>
      </c>
      <c r="S142" t="str">
        <f>IF(Table14[[#This Row],[Calculated_SLA]]=Table14[[#This Row],[SLA_Met]],"Match","Mismatch")</f>
        <v>Match</v>
      </c>
      <c r="T142">
        <f>IF(Table14[[#This Row],[Calculated_SLA]]="Yes",1,0)</f>
        <v>1</v>
      </c>
      <c r="U142" t="str">
        <f>IF(COUNTIFS(Reference_data!A:A,Table14[[#This Row],[Category]],Reference_data!B:B,Table14[[#This Row],[Subcategory]])&gt;0,"Valid","Invalid")</f>
        <v>Valid</v>
      </c>
    </row>
    <row r="143" spans="1:21">
      <c r="A143" t="s">
        <v>496</v>
      </c>
      <c r="B143" t="s">
        <v>106</v>
      </c>
      <c r="C143" s="31" t="s">
        <v>1687</v>
      </c>
      <c r="D143" s="32" t="s">
        <v>2180</v>
      </c>
      <c r="E143" t="s">
        <v>35</v>
      </c>
      <c r="F143" t="s">
        <v>53</v>
      </c>
      <c r="G143" t="s">
        <v>23</v>
      </c>
      <c r="H143" t="s">
        <v>47</v>
      </c>
      <c r="I143" t="s">
        <v>56</v>
      </c>
      <c r="J143">
        <v>5.9</v>
      </c>
      <c r="K143">
        <v>24</v>
      </c>
      <c r="L143" t="s">
        <v>26</v>
      </c>
      <c r="M143">
        <v>4</v>
      </c>
      <c r="N143" t="s">
        <v>27</v>
      </c>
      <c r="O143" t="s">
        <v>28</v>
      </c>
      <c r="P143" t="s">
        <v>29</v>
      </c>
      <c r="Q143" t="s">
        <v>30</v>
      </c>
      <c r="R143" t="str">
        <f>IF(Table14[[#This Row],[Resolution_Time]]&gt;Table14[[#This Row],[SLA_Target]],"No", "Yes")</f>
        <v>Yes</v>
      </c>
      <c r="S143" t="str">
        <f>IF(Table14[[#This Row],[Calculated_SLA]]=Table14[[#This Row],[SLA_Met]],"Match","Mismatch")</f>
        <v>Match</v>
      </c>
      <c r="T143">
        <f>IF(Table14[[#This Row],[Calculated_SLA]]="Yes",1,0)</f>
        <v>1</v>
      </c>
      <c r="U143" t="str">
        <f>IF(COUNTIFS(Reference_data!A:A,Table14[[#This Row],[Category]],Reference_data!B:B,Table14[[#This Row],[Subcategory]])&gt;0,"Valid","Invalid")</f>
        <v>Valid</v>
      </c>
    </row>
    <row r="144" spans="1:21">
      <c r="A144" t="s">
        <v>499</v>
      </c>
      <c r="B144" t="s">
        <v>32</v>
      </c>
      <c r="C144" s="31" t="s">
        <v>1734</v>
      </c>
      <c r="D144" s="32" t="s">
        <v>2181</v>
      </c>
      <c r="E144" t="s">
        <v>35</v>
      </c>
      <c r="F144" t="s">
        <v>127</v>
      </c>
      <c r="G144" t="s">
        <v>46</v>
      </c>
      <c r="H144" t="s">
        <v>234</v>
      </c>
      <c r="I144" t="s">
        <v>56</v>
      </c>
      <c r="J144">
        <v>5.9</v>
      </c>
      <c r="K144">
        <v>8</v>
      </c>
      <c r="L144" t="s">
        <v>26</v>
      </c>
      <c r="M144">
        <v>4</v>
      </c>
      <c r="N144" t="s">
        <v>27</v>
      </c>
      <c r="O144" t="s">
        <v>28</v>
      </c>
      <c r="P144" t="s">
        <v>29</v>
      </c>
      <c r="Q144" t="s">
        <v>101</v>
      </c>
      <c r="R144" t="str">
        <f>IF(Table14[[#This Row],[Resolution_Time]]&gt;Table14[[#This Row],[SLA_Target]],"No", "Yes")</f>
        <v>Yes</v>
      </c>
      <c r="S144" t="str">
        <f>IF(Table14[[#This Row],[Calculated_SLA]]=Table14[[#This Row],[SLA_Met]],"Match","Mismatch")</f>
        <v>Match</v>
      </c>
      <c r="T144">
        <f>IF(Table14[[#This Row],[Calculated_SLA]]="Yes",1,0)</f>
        <v>1</v>
      </c>
      <c r="U144" t="str">
        <f>IF(COUNTIFS(Reference_data!A:A,Table14[[#This Row],[Category]],Reference_data!B:B,Table14[[#This Row],[Subcategory]])&gt;0,"Valid","Invalid")</f>
        <v>Valid</v>
      </c>
    </row>
    <row r="145" spans="1:21">
      <c r="A145" t="s">
        <v>502</v>
      </c>
      <c r="B145" t="s">
        <v>135</v>
      </c>
      <c r="C145" s="31" t="s">
        <v>1815</v>
      </c>
      <c r="D145" s="32" t="s">
        <v>2182</v>
      </c>
      <c r="E145" t="s">
        <v>78</v>
      </c>
      <c r="F145" t="s">
        <v>79</v>
      </c>
      <c r="G145" t="s">
        <v>54</v>
      </c>
      <c r="H145" t="s">
        <v>24</v>
      </c>
      <c r="I145" t="s">
        <v>80</v>
      </c>
      <c r="J145">
        <v>23</v>
      </c>
      <c r="K145">
        <v>4</v>
      </c>
      <c r="L145" t="s">
        <v>27</v>
      </c>
      <c r="M145">
        <v>2</v>
      </c>
      <c r="N145" t="s">
        <v>27</v>
      </c>
      <c r="O145" t="s">
        <v>28</v>
      </c>
      <c r="P145" t="s">
        <v>57</v>
      </c>
      <c r="Q145" t="s">
        <v>58</v>
      </c>
      <c r="R145" t="str">
        <f>IF(Table14[[#This Row],[Resolution_Time]]&gt;Table14[[#This Row],[SLA_Target]],"No", "Yes")</f>
        <v>No</v>
      </c>
      <c r="S145" t="str">
        <f>IF(Table14[[#This Row],[Calculated_SLA]]=Table14[[#This Row],[SLA_Met]],"Match","Mismatch")</f>
        <v>Match</v>
      </c>
      <c r="T145">
        <f>IF(Table14[[#This Row],[Calculated_SLA]]="Yes",1,0)</f>
        <v>0</v>
      </c>
      <c r="U145" t="str">
        <f>IF(COUNTIFS(Reference_data!A:A,Table14[[#This Row],[Category]],Reference_data!B:B,Table14[[#This Row],[Subcategory]])&gt;0,"Valid","Invalid")</f>
        <v>Valid</v>
      </c>
    </row>
    <row r="146" spans="1:21">
      <c r="A146" t="s">
        <v>505</v>
      </c>
      <c r="B146" t="s">
        <v>60</v>
      </c>
      <c r="C146" s="31" t="s">
        <v>1816</v>
      </c>
      <c r="D146" s="32" t="s">
        <v>2183</v>
      </c>
      <c r="E146" t="s">
        <v>35</v>
      </c>
      <c r="F146" t="s">
        <v>36</v>
      </c>
      <c r="G146" t="s">
        <v>54</v>
      </c>
      <c r="H146" t="s">
        <v>138</v>
      </c>
      <c r="I146" t="s">
        <v>38</v>
      </c>
      <c r="J146">
        <v>4.8</v>
      </c>
      <c r="K146">
        <v>4</v>
      </c>
      <c r="L146" t="s">
        <v>27</v>
      </c>
      <c r="M146">
        <v>1</v>
      </c>
      <c r="N146" t="s">
        <v>27</v>
      </c>
      <c r="O146" t="s">
        <v>28</v>
      </c>
      <c r="P146" t="s">
        <v>1670</v>
      </c>
      <c r="Q146" t="s">
        <v>30</v>
      </c>
      <c r="R146" t="str">
        <f>IF(Table14[[#This Row],[Resolution_Time]]&gt;Table14[[#This Row],[SLA_Target]],"No", "Yes")</f>
        <v>No</v>
      </c>
      <c r="S146" t="str">
        <f>IF(Table14[[#This Row],[Calculated_SLA]]=Table14[[#This Row],[SLA_Met]],"Match","Mismatch")</f>
        <v>Match</v>
      </c>
      <c r="T146">
        <f>IF(Table14[[#This Row],[Calculated_SLA]]="Yes",1,0)</f>
        <v>0</v>
      </c>
      <c r="U146" t="str">
        <f>IF(COUNTIFS(Reference_data!A:A,Table14[[#This Row],[Category]],Reference_data!B:B,Table14[[#This Row],[Subcategory]])&gt;0,"Valid","Invalid")</f>
        <v>Valid</v>
      </c>
    </row>
    <row r="147" spans="1:21">
      <c r="A147" t="s">
        <v>508</v>
      </c>
      <c r="B147" t="s">
        <v>60</v>
      </c>
      <c r="C147" s="31" t="s">
        <v>1817</v>
      </c>
      <c r="D147" s="32" t="s">
        <v>2184</v>
      </c>
      <c r="E147" t="s">
        <v>78</v>
      </c>
      <c r="F147" t="s">
        <v>166</v>
      </c>
      <c r="G147" t="s">
        <v>23</v>
      </c>
      <c r="H147" t="s">
        <v>24</v>
      </c>
      <c r="I147" t="s">
        <v>80</v>
      </c>
      <c r="J147">
        <v>18.3</v>
      </c>
      <c r="K147">
        <v>24</v>
      </c>
      <c r="L147" t="s">
        <v>26</v>
      </c>
      <c r="M147">
        <v>4</v>
      </c>
      <c r="N147" t="s">
        <v>27</v>
      </c>
      <c r="O147" t="s">
        <v>28</v>
      </c>
      <c r="P147" t="s">
        <v>29</v>
      </c>
      <c r="Q147" t="s">
        <v>101</v>
      </c>
      <c r="R147" t="str">
        <f>IF(Table14[[#This Row],[Resolution_Time]]&gt;Table14[[#This Row],[SLA_Target]],"No", "Yes")</f>
        <v>Yes</v>
      </c>
      <c r="S147" t="str">
        <f>IF(Table14[[#This Row],[Calculated_SLA]]=Table14[[#This Row],[SLA_Met]],"Match","Mismatch")</f>
        <v>Match</v>
      </c>
      <c r="T147">
        <f>IF(Table14[[#This Row],[Calculated_SLA]]="Yes",1,0)</f>
        <v>1</v>
      </c>
      <c r="U147" t="str">
        <f>IF(COUNTIFS(Reference_data!A:A,Table14[[#This Row],[Category]],Reference_data!B:B,Table14[[#This Row],[Subcategory]])&gt;0,"Valid","Invalid")</f>
        <v>Valid</v>
      </c>
    </row>
    <row r="148" spans="1:21">
      <c r="A148" t="s">
        <v>511</v>
      </c>
      <c r="B148" t="s">
        <v>75</v>
      </c>
      <c r="C148" s="31" t="s">
        <v>1818</v>
      </c>
      <c r="D148" s="32" t="s">
        <v>2185</v>
      </c>
      <c r="E148" t="s">
        <v>21</v>
      </c>
      <c r="F148" t="s">
        <v>22</v>
      </c>
      <c r="G148" t="s">
        <v>46</v>
      </c>
      <c r="H148" t="s">
        <v>70</v>
      </c>
      <c r="I148" t="s">
        <v>25</v>
      </c>
      <c r="J148">
        <v>14</v>
      </c>
      <c r="K148">
        <v>8</v>
      </c>
      <c r="L148" t="s">
        <v>27</v>
      </c>
      <c r="M148">
        <v>2</v>
      </c>
      <c r="N148" t="s">
        <v>26</v>
      </c>
      <c r="O148" t="s">
        <v>28</v>
      </c>
      <c r="P148" t="s">
        <v>1670</v>
      </c>
      <c r="Q148" t="s">
        <v>101</v>
      </c>
      <c r="R148" t="str">
        <f>IF(Table14[[#This Row],[Resolution_Time]]&gt;Table14[[#This Row],[SLA_Target]],"No", "Yes")</f>
        <v>No</v>
      </c>
      <c r="S148" t="str">
        <f>IF(Table14[[#This Row],[Calculated_SLA]]=Table14[[#This Row],[SLA_Met]],"Match","Mismatch")</f>
        <v>Match</v>
      </c>
      <c r="T148">
        <f>IF(Table14[[#This Row],[Calculated_SLA]]="Yes",1,0)</f>
        <v>0</v>
      </c>
      <c r="U148" t="str">
        <f>IF(COUNTIFS(Reference_data!A:A,Table14[[#This Row],[Category]],Reference_data!B:B,Table14[[#This Row],[Subcategory]])&gt;0,"Valid","Invalid")</f>
        <v>Valid</v>
      </c>
    </row>
    <row r="149" spans="1:21">
      <c r="A149" t="s">
        <v>514</v>
      </c>
      <c r="B149" t="s">
        <v>32</v>
      </c>
      <c r="C149" s="31" t="s">
        <v>1819</v>
      </c>
      <c r="D149" s="32" t="s">
        <v>2186</v>
      </c>
      <c r="E149" t="s">
        <v>35</v>
      </c>
      <c r="F149" t="s">
        <v>127</v>
      </c>
      <c r="G149" t="s">
        <v>54</v>
      </c>
      <c r="H149" t="s">
        <v>64</v>
      </c>
      <c r="I149" t="s">
        <v>56</v>
      </c>
      <c r="J149">
        <v>7</v>
      </c>
      <c r="K149">
        <v>4</v>
      </c>
      <c r="L149" t="s">
        <v>27</v>
      </c>
      <c r="M149">
        <v>2</v>
      </c>
      <c r="N149" t="s">
        <v>27</v>
      </c>
      <c r="O149" t="s">
        <v>28</v>
      </c>
      <c r="P149" t="s">
        <v>57</v>
      </c>
      <c r="Q149" t="s">
        <v>58</v>
      </c>
      <c r="R149" t="str">
        <f>IF(Table14[[#This Row],[Resolution_Time]]&gt;Table14[[#This Row],[SLA_Target]],"No", "Yes")</f>
        <v>No</v>
      </c>
      <c r="S149" t="str">
        <f>IF(Table14[[#This Row],[Calculated_SLA]]=Table14[[#This Row],[SLA_Met]],"Match","Mismatch")</f>
        <v>Match</v>
      </c>
      <c r="T149">
        <f>IF(Table14[[#This Row],[Calculated_SLA]]="Yes",1,0)</f>
        <v>0</v>
      </c>
      <c r="U149" t="str">
        <f>IF(COUNTIFS(Reference_data!A:A,Table14[[#This Row],[Category]],Reference_data!B:B,Table14[[#This Row],[Subcategory]])&gt;0,"Valid","Invalid")</f>
        <v>Valid</v>
      </c>
    </row>
    <row r="150" spans="1:21">
      <c r="A150" t="s">
        <v>517</v>
      </c>
      <c r="B150" t="s">
        <v>50</v>
      </c>
      <c r="C150" s="31" t="s">
        <v>1820</v>
      </c>
      <c r="D150" s="32" t="s">
        <v>2187</v>
      </c>
      <c r="E150" t="s">
        <v>78</v>
      </c>
      <c r="F150" t="s">
        <v>79</v>
      </c>
      <c r="G150" t="s">
        <v>23</v>
      </c>
      <c r="H150" t="s">
        <v>234</v>
      </c>
      <c r="I150" t="s">
        <v>80</v>
      </c>
      <c r="J150">
        <v>8.9</v>
      </c>
      <c r="K150">
        <v>24</v>
      </c>
      <c r="L150" t="s">
        <v>26</v>
      </c>
      <c r="M150">
        <v>4</v>
      </c>
      <c r="N150" t="s">
        <v>27</v>
      </c>
      <c r="O150" t="s">
        <v>28</v>
      </c>
      <c r="P150" t="s">
        <v>29</v>
      </c>
      <c r="Q150" t="s">
        <v>58</v>
      </c>
      <c r="R150" t="str">
        <f>IF(Table14[[#This Row],[Resolution_Time]]&gt;Table14[[#This Row],[SLA_Target]],"No", "Yes")</f>
        <v>Yes</v>
      </c>
      <c r="S150" t="str">
        <f>IF(Table14[[#This Row],[Calculated_SLA]]=Table14[[#This Row],[SLA_Met]],"Match","Mismatch")</f>
        <v>Match</v>
      </c>
      <c r="T150">
        <f>IF(Table14[[#This Row],[Calculated_SLA]]="Yes",1,0)</f>
        <v>1</v>
      </c>
      <c r="U150" t="str">
        <f>IF(COUNTIFS(Reference_data!A:A,Table14[[#This Row],[Category]],Reference_data!B:B,Table14[[#This Row],[Subcategory]])&gt;0,"Valid","Invalid")</f>
        <v>Valid</v>
      </c>
    </row>
    <row r="151" spans="1:21">
      <c r="A151" t="s">
        <v>520</v>
      </c>
      <c r="B151" t="s">
        <v>135</v>
      </c>
      <c r="C151" s="31" t="s">
        <v>1701</v>
      </c>
      <c r="D151" s="32" t="s">
        <v>2067</v>
      </c>
      <c r="E151" t="s">
        <v>21</v>
      </c>
      <c r="F151" t="s">
        <v>63</v>
      </c>
      <c r="G151" t="s">
        <v>54</v>
      </c>
      <c r="H151" t="s">
        <v>47</v>
      </c>
      <c r="I151" t="s">
        <v>25</v>
      </c>
      <c r="J151">
        <v>9.1999999999999993</v>
      </c>
      <c r="K151">
        <v>4</v>
      </c>
      <c r="L151" t="s">
        <v>27</v>
      </c>
      <c r="M151">
        <v>1</v>
      </c>
      <c r="N151" t="s">
        <v>27</v>
      </c>
      <c r="O151" t="s">
        <v>28</v>
      </c>
      <c r="P151" t="s">
        <v>1670</v>
      </c>
      <c r="Q151" t="s">
        <v>39</v>
      </c>
      <c r="R151" t="str">
        <f>IF(Table14[[#This Row],[Resolution_Time]]&gt;Table14[[#This Row],[SLA_Target]],"No", "Yes")</f>
        <v>No</v>
      </c>
      <c r="S151" t="str">
        <f>IF(Table14[[#This Row],[Calculated_SLA]]=Table14[[#This Row],[SLA_Met]],"Match","Mismatch")</f>
        <v>Match</v>
      </c>
      <c r="T151">
        <f>IF(Table14[[#This Row],[Calculated_SLA]]="Yes",1,0)</f>
        <v>0</v>
      </c>
      <c r="U151" t="str">
        <f>IF(COUNTIFS(Reference_data!A:A,Table14[[#This Row],[Category]],Reference_data!B:B,Table14[[#This Row],[Subcategory]])&gt;0,"Valid","Invalid")</f>
        <v>Valid</v>
      </c>
    </row>
    <row r="152" spans="1:21">
      <c r="A152" t="s">
        <v>523</v>
      </c>
      <c r="B152" t="s">
        <v>75</v>
      </c>
      <c r="C152" s="31" t="s">
        <v>1698</v>
      </c>
      <c r="D152" s="32" t="s">
        <v>2005</v>
      </c>
      <c r="E152" t="s">
        <v>35</v>
      </c>
      <c r="F152" t="s">
        <v>36</v>
      </c>
      <c r="G152" t="s">
        <v>46</v>
      </c>
      <c r="H152" t="s">
        <v>86</v>
      </c>
      <c r="I152" t="s">
        <v>38</v>
      </c>
      <c r="J152">
        <v>5.2</v>
      </c>
      <c r="K152">
        <v>8</v>
      </c>
      <c r="L152" t="s">
        <v>26</v>
      </c>
      <c r="M152">
        <v>5</v>
      </c>
      <c r="N152" t="s">
        <v>27</v>
      </c>
      <c r="O152" t="s">
        <v>28</v>
      </c>
      <c r="P152" t="s">
        <v>29</v>
      </c>
      <c r="Q152" t="s">
        <v>101</v>
      </c>
      <c r="R152" t="str">
        <f>IF(Table14[[#This Row],[Resolution_Time]]&gt;Table14[[#This Row],[SLA_Target]],"No", "Yes")</f>
        <v>Yes</v>
      </c>
      <c r="S152" t="str">
        <f>IF(Table14[[#This Row],[Calculated_SLA]]=Table14[[#This Row],[SLA_Met]],"Match","Mismatch")</f>
        <v>Match</v>
      </c>
      <c r="T152">
        <f>IF(Table14[[#This Row],[Calculated_SLA]]="Yes",1,0)</f>
        <v>1</v>
      </c>
      <c r="U152" t="str">
        <f>IF(COUNTIFS(Reference_data!A:A,Table14[[#This Row],[Category]],Reference_data!B:B,Table14[[#This Row],[Subcategory]])&gt;0,"Valid","Invalid")</f>
        <v>Valid</v>
      </c>
    </row>
    <row r="153" spans="1:21">
      <c r="A153" t="s">
        <v>526</v>
      </c>
      <c r="B153" t="s">
        <v>32</v>
      </c>
      <c r="C153" s="31" t="s">
        <v>1821</v>
      </c>
      <c r="D153" s="32" t="s">
        <v>2188</v>
      </c>
      <c r="E153" t="s">
        <v>21</v>
      </c>
      <c r="F153" t="s">
        <v>69</v>
      </c>
      <c r="G153" t="s">
        <v>46</v>
      </c>
      <c r="H153" t="s">
        <v>64</v>
      </c>
      <c r="I153" t="s">
        <v>25</v>
      </c>
      <c r="J153">
        <v>8.5</v>
      </c>
      <c r="K153">
        <v>8</v>
      </c>
      <c r="L153" t="s">
        <v>27</v>
      </c>
      <c r="M153">
        <v>1</v>
      </c>
      <c r="N153" t="s">
        <v>26</v>
      </c>
      <c r="O153" t="s">
        <v>28</v>
      </c>
      <c r="P153" t="s">
        <v>1670</v>
      </c>
      <c r="Q153" t="s">
        <v>39</v>
      </c>
      <c r="R153" t="str">
        <f>IF(Table14[[#This Row],[Resolution_Time]]&gt;Table14[[#This Row],[SLA_Target]],"No", "Yes")</f>
        <v>No</v>
      </c>
      <c r="S153" t="str">
        <f>IF(Table14[[#This Row],[Calculated_SLA]]=Table14[[#This Row],[SLA_Met]],"Match","Mismatch")</f>
        <v>Match</v>
      </c>
      <c r="T153">
        <f>IF(Table14[[#This Row],[Calculated_SLA]]="Yes",1,0)</f>
        <v>0</v>
      </c>
      <c r="U153" t="str">
        <f>IF(COUNTIFS(Reference_data!A:A,Table14[[#This Row],[Category]],Reference_data!B:B,Table14[[#This Row],[Subcategory]])&gt;0,"Valid","Invalid")</f>
        <v>Valid</v>
      </c>
    </row>
    <row r="154" spans="1:21">
      <c r="A154" t="s">
        <v>529</v>
      </c>
      <c r="B154" t="s">
        <v>106</v>
      </c>
      <c r="C154" s="31" t="s">
        <v>1822</v>
      </c>
      <c r="D154" s="32" t="s">
        <v>2189</v>
      </c>
      <c r="E154" t="s">
        <v>35</v>
      </c>
      <c r="F154" t="s">
        <v>127</v>
      </c>
      <c r="G154" t="s">
        <v>23</v>
      </c>
      <c r="H154" t="s">
        <v>24</v>
      </c>
      <c r="I154" t="s">
        <v>56</v>
      </c>
      <c r="J154">
        <v>10.4</v>
      </c>
      <c r="K154">
        <v>24</v>
      </c>
      <c r="L154" t="s">
        <v>26</v>
      </c>
      <c r="M154">
        <v>5</v>
      </c>
      <c r="N154" t="s">
        <v>27</v>
      </c>
      <c r="O154" t="s">
        <v>28</v>
      </c>
      <c r="P154" t="s">
        <v>29</v>
      </c>
      <c r="Q154" t="s">
        <v>30</v>
      </c>
      <c r="R154" t="str">
        <f>IF(Table14[[#This Row],[Resolution_Time]]&gt;Table14[[#This Row],[SLA_Target]],"No", "Yes")</f>
        <v>Yes</v>
      </c>
      <c r="S154" t="str">
        <f>IF(Table14[[#This Row],[Calculated_SLA]]=Table14[[#This Row],[SLA_Met]],"Match","Mismatch")</f>
        <v>Match</v>
      </c>
      <c r="T154">
        <f>IF(Table14[[#This Row],[Calculated_SLA]]="Yes",1,0)</f>
        <v>1</v>
      </c>
      <c r="U154" t="str">
        <f>IF(COUNTIFS(Reference_data!A:A,Table14[[#This Row],[Category]],Reference_data!B:B,Table14[[#This Row],[Subcategory]])&gt;0,"Valid","Invalid")</f>
        <v>Valid</v>
      </c>
    </row>
    <row r="155" spans="1:21">
      <c r="A155" t="s">
        <v>532</v>
      </c>
      <c r="B155" t="s">
        <v>106</v>
      </c>
      <c r="C155" s="31" t="s">
        <v>1823</v>
      </c>
      <c r="D155" s="32" t="s">
        <v>2190</v>
      </c>
      <c r="E155" t="s">
        <v>21</v>
      </c>
      <c r="F155" t="s">
        <v>22</v>
      </c>
      <c r="G155" t="s">
        <v>23</v>
      </c>
      <c r="H155" t="s">
        <v>91</v>
      </c>
      <c r="I155" t="s">
        <v>25</v>
      </c>
      <c r="J155">
        <v>13.9</v>
      </c>
      <c r="K155">
        <v>24</v>
      </c>
      <c r="L155" t="s">
        <v>26</v>
      </c>
      <c r="M155">
        <v>5</v>
      </c>
      <c r="N155" t="s">
        <v>27</v>
      </c>
      <c r="O155" t="s">
        <v>28</v>
      </c>
      <c r="P155" t="s">
        <v>29</v>
      </c>
      <c r="Q155" t="s">
        <v>30</v>
      </c>
      <c r="R155" t="str">
        <f>IF(Table14[[#This Row],[Resolution_Time]]&gt;Table14[[#This Row],[SLA_Target]],"No", "Yes")</f>
        <v>Yes</v>
      </c>
      <c r="S155" t="str">
        <f>IF(Table14[[#This Row],[Calculated_SLA]]=Table14[[#This Row],[SLA_Met]],"Match","Mismatch")</f>
        <v>Match</v>
      </c>
      <c r="T155">
        <f>IF(Table14[[#This Row],[Calculated_SLA]]="Yes",1,0)</f>
        <v>1</v>
      </c>
      <c r="U155" t="str">
        <f>IF(COUNTIFS(Reference_data!A:A,Table14[[#This Row],[Category]],Reference_data!B:B,Table14[[#This Row],[Subcategory]])&gt;0,"Valid","Invalid")</f>
        <v>Valid</v>
      </c>
    </row>
    <row r="156" spans="1:21">
      <c r="A156" t="s">
        <v>535</v>
      </c>
      <c r="B156" t="s">
        <v>121</v>
      </c>
      <c r="C156" s="31" t="s">
        <v>1824</v>
      </c>
      <c r="D156" s="32" t="s">
        <v>2191</v>
      </c>
      <c r="E156" t="s">
        <v>21</v>
      </c>
      <c r="F156" t="s">
        <v>22</v>
      </c>
      <c r="G156" t="s">
        <v>23</v>
      </c>
      <c r="H156" t="s">
        <v>91</v>
      </c>
      <c r="I156" t="s">
        <v>25</v>
      </c>
      <c r="J156">
        <v>12.3</v>
      </c>
      <c r="K156">
        <v>24</v>
      </c>
      <c r="L156" t="s">
        <v>26</v>
      </c>
      <c r="M156">
        <v>5</v>
      </c>
      <c r="N156" t="s">
        <v>27</v>
      </c>
      <c r="O156" t="s">
        <v>28</v>
      </c>
      <c r="P156" t="s">
        <v>29</v>
      </c>
      <c r="Q156" t="s">
        <v>30</v>
      </c>
      <c r="R156" t="str">
        <f>IF(Table14[[#This Row],[Resolution_Time]]&gt;Table14[[#This Row],[SLA_Target]],"No", "Yes")</f>
        <v>Yes</v>
      </c>
      <c r="S156" t="str">
        <f>IF(Table14[[#This Row],[Calculated_SLA]]=Table14[[#This Row],[SLA_Met]],"Match","Mismatch")</f>
        <v>Match</v>
      </c>
      <c r="T156">
        <f>IF(Table14[[#This Row],[Calculated_SLA]]="Yes",1,0)</f>
        <v>1</v>
      </c>
      <c r="U156" t="str">
        <f>IF(COUNTIFS(Reference_data!A:A,Table14[[#This Row],[Category]],Reference_data!B:B,Table14[[#This Row],[Subcategory]])&gt;0,"Valid","Invalid")</f>
        <v>Valid</v>
      </c>
    </row>
    <row r="157" spans="1:21">
      <c r="A157" t="s">
        <v>538</v>
      </c>
      <c r="B157" t="s">
        <v>106</v>
      </c>
      <c r="C157" s="31" t="s">
        <v>1754</v>
      </c>
      <c r="D157" s="32" t="s">
        <v>2192</v>
      </c>
      <c r="E157" t="s">
        <v>78</v>
      </c>
      <c r="F157" t="s">
        <v>166</v>
      </c>
      <c r="G157" t="s">
        <v>46</v>
      </c>
      <c r="H157" t="s">
        <v>91</v>
      </c>
      <c r="I157" t="s">
        <v>80</v>
      </c>
      <c r="J157">
        <v>8.6</v>
      </c>
      <c r="K157">
        <v>8</v>
      </c>
      <c r="L157" t="s">
        <v>27</v>
      </c>
      <c r="M157">
        <v>2</v>
      </c>
      <c r="N157" t="s">
        <v>26</v>
      </c>
      <c r="O157" t="s">
        <v>28</v>
      </c>
      <c r="P157" t="s">
        <v>57</v>
      </c>
      <c r="Q157" t="s">
        <v>30</v>
      </c>
      <c r="R157" t="str">
        <f>IF(Table14[[#This Row],[Resolution_Time]]&gt;Table14[[#This Row],[SLA_Target]],"No", "Yes")</f>
        <v>No</v>
      </c>
      <c r="S157" t="str">
        <f>IF(Table14[[#This Row],[Calculated_SLA]]=Table14[[#This Row],[SLA_Met]],"Match","Mismatch")</f>
        <v>Match</v>
      </c>
      <c r="T157">
        <f>IF(Table14[[#This Row],[Calculated_SLA]]="Yes",1,0)</f>
        <v>0</v>
      </c>
      <c r="U157" t="str">
        <f>IF(COUNTIFS(Reference_data!A:A,Table14[[#This Row],[Category]],Reference_data!B:B,Table14[[#This Row],[Subcategory]])&gt;0,"Valid","Invalid")</f>
        <v>Valid</v>
      </c>
    </row>
    <row r="158" spans="1:21">
      <c r="A158" t="s">
        <v>541</v>
      </c>
      <c r="B158" t="s">
        <v>32</v>
      </c>
      <c r="C158" s="31" t="s">
        <v>1825</v>
      </c>
      <c r="D158" s="32" t="s">
        <v>2193</v>
      </c>
      <c r="E158" t="s">
        <v>21</v>
      </c>
      <c r="F158" t="s">
        <v>69</v>
      </c>
      <c r="G158" t="s">
        <v>23</v>
      </c>
      <c r="H158" t="s">
        <v>70</v>
      </c>
      <c r="I158" t="s">
        <v>25</v>
      </c>
      <c r="J158">
        <v>14.3</v>
      </c>
      <c r="K158">
        <v>24</v>
      </c>
      <c r="L158" t="s">
        <v>26</v>
      </c>
      <c r="M158">
        <v>4</v>
      </c>
      <c r="N158" t="s">
        <v>27</v>
      </c>
      <c r="O158" t="s">
        <v>28</v>
      </c>
      <c r="P158" t="s">
        <v>29</v>
      </c>
      <c r="Q158" t="s">
        <v>101</v>
      </c>
      <c r="R158" t="str">
        <f>IF(Table14[[#This Row],[Resolution_Time]]&gt;Table14[[#This Row],[SLA_Target]],"No", "Yes")</f>
        <v>Yes</v>
      </c>
      <c r="S158" t="str">
        <f>IF(Table14[[#This Row],[Calculated_SLA]]=Table14[[#This Row],[SLA_Met]],"Match","Mismatch")</f>
        <v>Match</v>
      </c>
      <c r="T158">
        <f>IF(Table14[[#This Row],[Calculated_SLA]]="Yes",1,0)</f>
        <v>1</v>
      </c>
      <c r="U158" t="str">
        <f>IF(COUNTIFS(Reference_data!A:A,Table14[[#This Row],[Category]],Reference_data!B:B,Table14[[#This Row],[Subcategory]])&gt;0,"Valid","Invalid")</f>
        <v>Valid</v>
      </c>
    </row>
    <row r="159" spans="1:21">
      <c r="A159" t="s">
        <v>544</v>
      </c>
      <c r="B159" t="s">
        <v>60</v>
      </c>
      <c r="C159" s="31" t="s">
        <v>1826</v>
      </c>
      <c r="D159" s="32" t="s">
        <v>2194</v>
      </c>
      <c r="E159" t="s">
        <v>84</v>
      </c>
      <c r="F159" t="s">
        <v>85</v>
      </c>
      <c r="G159" t="s">
        <v>23</v>
      </c>
      <c r="H159" t="s">
        <v>55</v>
      </c>
      <c r="I159" t="s">
        <v>87</v>
      </c>
      <c r="J159">
        <v>5.3</v>
      </c>
      <c r="K159">
        <v>24</v>
      </c>
      <c r="L159" t="s">
        <v>26</v>
      </c>
      <c r="M159">
        <v>4</v>
      </c>
      <c r="N159" t="s">
        <v>27</v>
      </c>
      <c r="O159" t="s">
        <v>28</v>
      </c>
      <c r="P159" t="s">
        <v>29</v>
      </c>
      <c r="Q159" t="s">
        <v>101</v>
      </c>
      <c r="R159" t="str">
        <f>IF(Table14[[#This Row],[Resolution_Time]]&gt;Table14[[#This Row],[SLA_Target]],"No", "Yes")</f>
        <v>Yes</v>
      </c>
      <c r="S159" t="str">
        <f>IF(Table14[[#This Row],[Calculated_SLA]]=Table14[[#This Row],[SLA_Met]],"Match","Mismatch")</f>
        <v>Match</v>
      </c>
      <c r="T159">
        <f>IF(Table14[[#This Row],[Calculated_SLA]]="Yes",1,0)</f>
        <v>1</v>
      </c>
      <c r="U159" t="str">
        <f>IF(COUNTIFS(Reference_data!A:A,Table14[[#This Row],[Category]],Reference_data!B:B,Table14[[#This Row],[Subcategory]])&gt;0,"Valid","Invalid")</f>
        <v>Valid</v>
      </c>
    </row>
    <row r="160" spans="1:21">
      <c r="A160" t="s">
        <v>547</v>
      </c>
      <c r="B160" t="s">
        <v>18</v>
      </c>
      <c r="C160" s="31" t="s">
        <v>1827</v>
      </c>
      <c r="D160" s="32" t="s">
        <v>2195</v>
      </c>
      <c r="E160" t="s">
        <v>78</v>
      </c>
      <c r="F160" t="s">
        <v>166</v>
      </c>
      <c r="G160" t="s">
        <v>54</v>
      </c>
      <c r="H160" t="s">
        <v>37</v>
      </c>
      <c r="I160" t="s">
        <v>80</v>
      </c>
      <c r="J160">
        <v>17</v>
      </c>
      <c r="K160">
        <v>4</v>
      </c>
      <c r="L160" t="s">
        <v>27</v>
      </c>
      <c r="M160">
        <v>2</v>
      </c>
      <c r="N160" t="s">
        <v>26</v>
      </c>
      <c r="O160" t="s">
        <v>28</v>
      </c>
      <c r="P160" t="s">
        <v>1670</v>
      </c>
      <c r="Q160" t="s">
        <v>101</v>
      </c>
      <c r="R160" t="str">
        <f>IF(Table14[[#This Row],[Resolution_Time]]&gt;Table14[[#This Row],[SLA_Target]],"No", "Yes")</f>
        <v>No</v>
      </c>
      <c r="S160" t="str">
        <f>IF(Table14[[#This Row],[Calculated_SLA]]=Table14[[#This Row],[SLA_Met]],"Match","Mismatch")</f>
        <v>Match</v>
      </c>
      <c r="T160">
        <f>IF(Table14[[#This Row],[Calculated_SLA]]="Yes",1,0)</f>
        <v>0</v>
      </c>
      <c r="U160" t="str">
        <f>IF(COUNTIFS(Reference_data!A:A,Table14[[#This Row],[Category]],Reference_data!B:B,Table14[[#This Row],[Subcategory]])&gt;0,"Valid","Invalid")</f>
        <v>Valid</v>
      </c>
    </row>
    <row r="161" spans="1:21">
      <c r="A161" t="s">
        <v>550</v>
      </c>
      <c r="B161" t="s">
        <v>60</v>
      </c>
      <c r="C161" s="31" t="s">
        <v>1828</v>
      </c>
      <c r="D161" s="32" t="s">
        <v>2196</v>
      </c>
      <c r="E161" t="s">
        <v>78</v>
      </c>
      <c r="F161" t="s">
        <v>79</v>
      </c>
      <c r="G161" t="s">
        <v>54</v>
      </c>
      <c r="H161" t="s">
        <v>37</v>
      </c>
      <c r="I161" t="s">
        <v>80</v>
      </c>
      <c r="J161">
        <v>13.8</v>
      </c>
      <c r="K161">
        <v>4</v>
      </c>
      <c r="L161" t="s">
        <v>27</v>
      </c>
      <c r="M161">
        <v>3</v>
      </c>
      <c r="N161" t="s">
        <v>27</v>
      </c>
      <c r="O161" t="s">
        <v>28</v>
      </c>
      <c r="P161" t="s">
        <v>1670</v>
      </c>
      <c r="Q161" t="s">
        <v>101</v>
      </c>
      <c r="R161" t="str">
        <f>IF(Table14[[#This Row],[Resolution_Time]]&gt;Table14[[#This Row],[SLA_Target]],"No", "Yes")</f>
        <v>No</v>
      </c>
      <c r="S161" t="str">
        <f>IF(Table14[[#This Row],[Calculated_SLA]]=Table14[[#This Row],[SLA_Met]],"Match","Mismatch")</f>
        <v>Match</v>
      </c>
      <c r="T161">
        <f>IF(Table14[[#This Row],[Calculated_SLA]]="Yes",1,0)</f>
        <v>0</v>
      </c>
      <c r="U161" t="str">
        <f>IF(COUNTIFS(Reference_data!A:A,Table14[[#This Row],[Category]],Reference_data!B:B,Table14[[#This Row],[Subcategory]])&gt;0,"Valid","Invalid")</f>
        <v>Valid</v>
      </c>
    </row>
    <row r="162" spans="1:21">
      <c r="A162" t="s">
        <v>553</v>
      </c>
      <c r="B162" t="s">
        <v>106</v>
      </c>
      <c r="C162" s="31" t="s">
        <v>1717</v>
      </c>
      <c r="D162" s="32" t="s">
        <v>2197</v>
      </c>
      <c r="E162" t="s">
        <v>78</v>
      </c>
      <c r="F162" t="s">
        <v>79</v>
      </c>
      <c r="G162" t="s">
        <v>23</v>
      </c>
      <c r="H162" t="s">
        <v>91</v>
      </c>
      <c r="I162" t="s">
        <v>80</v>
      </c>
      <c r="J162">
        <v>15.4</v>
      </c>
      <c r="K162">
        <v>24</v>
      </c>
      <c r="L162" t="s">
        <v>26</v>
      </c>
      <c r="M162">
        <v>4</v>
      </c>
      <c r="N162" t="s">
        <v>27</v>
      </c>
      <c r="O162" t="s">
        <v>28</v>
      </c>
      <c r="P162" t="s">
        <v>29</v>
      </c>
      <c r="Q162" t="s">
        <v>30</v>
      </c>
      <c r="R162" t="str">
        <f>IF(Table14[[#This Row],[Resolution_Time]]&gt;Table14[[#This Row],[SLA_Target]],"No", "Yes")</f>
        <v>Yes</v>
      </c>
      <c r="S162" t="str">
        <f>IF(Table14[[#This Row],[Calculated_SLA]]=Table14[[#This Row],[SLA_Met]],"Match","Mismatch")</f>
        <v>Match</v>
      </c>
      <c r="T162">
        <f>IF(Table14[[#This Row],[Calculated_SLA]]="Yes",1,0)</f>
        <v>1</v>
      </c>
      <c r="U162" t="str">
        <f>IF(COUNTIFS(Reference_data!A:A,Table14[[#This Row],[Category]],Reference_data!B:B,Table14[[#This Row],[Subcategory]])&gt;0,"Valid","Invalid")</f>
        <v>Valid</v>
      </c>
    </row>
    <row r="163" spans="1:21">
      <c r="A163" t="s">
        <v>556</v>
      </c>
      <c r="B163" t="s">
        <v>32</v>
      </c>
      <c r="C163" s="31" t="s">
        <v>1713</v>
      </c>
      <c r="D163" s="32" t="s">
        <v>2198</v>
      </c>
      <c r="E163" t="s">
        <v>21</v>
      </c>
      <c r="F163" t="s">
        <v>22</v>
      </c>
      <c r="G163" t="s">
        <v>23</v>
      </c>
      <c r="H163" t="s">
        <v>138</v>
      </c>
      <c r="I163" t="s">
        <v>25</v>
      </c>
      <c r="J163">
        <v>7</v>
      </c>
      <c r="K163">
        <v>24</v>
      </c>
      <c r="L163" t="s">
        <v>27</v>
      </c>
      <c r="M163">
        <v>1</v>
      </c>
      <c r="N163" t="s">
        <v>27</v>
      </c>
      <c r="O163" t="s">
        <v>28</v>
      </c>
      <c r="P163" t="s">
        <v>1670</v>
      </c>
      <c r="Q163" t="s">
        <v>39</v>
      </c>
      <c r="R163" t="str">
        <f>IF(Table14[[#This Row],[Resolution_Time]]&gt;Table14[[#This Row],[SLA_Target]],"No", "Yes")</f>
        <v>Yes</v>
      </c>
      <c r="S163" t="str">
        <f>IF(Table14[[#This Row],[Calculated_SLA]]=Table14[[#This Row],[SLA_Met]],"Match","Mismatch")</f>
        <v>Mismatch</v>
      </c>
      <c r="T163">
        <f>IF(Table14[[#This Row],[Calculated_SLA]]="Yes",1,0)</f>
        <v>1</v>
      </c>
      <c r="U163" t="str">
        <f>IF(COUNTIFS(Reference_data!A:A,Table14[[#This Row],[Category]],Reference_data!B:B,Table14[[#This Row],[Subcategory]])&gt;0,"Valid","Invalid")</f>
        <v>Valid</v>
      </c>
    </row>
    <row r="164" spans="1:21">
      <c r="A164" t="s">
        <v>559</v>
      </c>
      <c r="B164" t="s">
        <v>135</v>
      </c>
      <c r="C164" s="31" t="s">
        <v>1829</v>
      </c>
      <c r="D164" s="32" t="s">
        <v>2199</v>
      </c>
      <c r="E164" t="s">
        <v>21</v>
      </c>
      <c r="F164" t="s">
        <v>69</v>
      </c>
      <c r="G164" t="s">
        <v>46</v>
      </c>
      <c r="H164" t="s">
        <v>64</v>
      </c>
      <c r="I164" t="s">
        <v>25</v>
      </c>
      <c r="J164">
        <v>5.2</v>
      </c>
      <c r="K164">
        <v>8</v>
      </c>
      <c r="L164" t="s">
        <v>26</v>
      </c>
      <c r="M164">
        <v>4</v>
      </c>
      <c r="N164" t="s">
        <v>27</v>
      </c>
      <c r="O164" t="s">
        <v>28</v>
      </c>
      <c r="P164" t="s">
        <v>29</v>
      </c>
      <c r="Q164" t="s">
        <v>58</v>
      </c>
      <c r="R164" t="str">
        <f>IF(Table14[[#This Row],[Resolution_Time]]&gt;Table14[[#This Row],[SLA_Target]],"No", "Yes")</f>
        <v>Yes</v>
      </c>
      <c r="S164" t="str">
        <f>IF(Table14[[#This Row],[Calculated_SLA]]=Table14[[#This Row],[SLA_Met]],"Match","Mismatch")</f>
        <v>Match</v>
      </c>
      <c r="T164">
        <f>IF(Table14[[#This Row],[Calculated_SLA]]="Yes",1,0)</f>
        <v>1</v>
      </c>
      <c r="U164" t="str">
        <f>IF(COUNTIFS(Reference_data!A:A,Table14[[#This Row],[Category]],Reference_data!B:B,Table14[[#This Row],[Subcategory]])&gt;0,"Valid","Invalid")</f>
        <v>Valid</v>
      </c>
    </row>
    <row r="165" spans="1:21">
      <c r="A165" t="s">
        <v>562</v>
      </c>
      <c r="B165" t="s">
        <v>50</v>
      </c>
      <c r="C165" s="31" t="s">
        <v>1751</v>
      </c>
      <c r="D165" s="32" t="s">
        <v>2200</v>
      </c>
      <c r="E165" t="s">
        <v>78</v>
      </c>
      <c r="F165" t="s">
        <v>166</v>
      </c>
      <c r="G165" t="s">
        <v>23</v>
      </c>
      <c r="H165" t="s">
        <v>91</v>
      </c>
      <c r="I165" t="s">
        <v>80</v>
      </c>
      <c r="J165">
        <v>19.5</v>
      </c>
      <c r="K165">
        <v>24</v>
      </c>
      <c r="L165" t="s">
        <v>26</v>
      </c>
      <c r="M165">
        <v>4</v>
      </c>
      <c r="N165" t="s">
        <v>27</v>
      </c>
      <c r="O165" t="s">
        <v>28</v>
      </c>
      <c r="P165" t="s">
        <v>29</v>
      </c>
      <c r="Q165" t="s">
        <v>101</v>
      </c>
      <c r="R165" t="str">
        <f>IF(Table14[[#This Row],[Resolution_Time]]&gt;Table14[[#This Row],[SLA_Target]],"No", "Yes")</f>
        <v>Yes</v>
      </c>
      <c r="S165" t="str">
        <f>IF(Table14[[#This Row],[Calculated_SLA]]=Table14[[#This Row],[SLA_Met]],"Match","Mismatch")</f>
        <v>Match</v>
      </c>
      <c r="T165">
        <f>IF(Table14[[#This Row],[Calculated_SLA]]="Yes",1,0)</f>
        <v>1</v>
      </c>
      <c r="U165" t="str">
        <f>IF(COUNTIFS(Reference_data!A:A,Table14[[#This Row],[Category]],Reference_data!B:B,Table14[[#This Row],[Subcategory]])&gt;0,"Valid","Invalid")</f>
        <v>Valid</v>
      </c>
    </row>
    <row r="166" spans="1:21">
      <c r="A166" t="s">
        <v>565</v>
      </c>
      <c r="B166" t="s">
        <v>41</v>
      </c>
      <c r="C166" s="31" t="s">
        <v>1830</v>
      </c>
      <c r="D166" s="32" t="s">
        <v>1971</v>
      </c>
      <c r="E166" t="s">
        <v>78</v>
      </c>
      <c r="F166" t="s">
        <v>191</v>
      </c>
      <c r="G166" t="s">
        <v>46</v>
      </c>
      <c r="H166" t="s">
        <v>70</v>
      </c>
      <c r="I166" t="s">
        <v>38</v>
      </c>
      <c r="J166">
        <v>17</v>
      </c>
      <c r="K166">
        <v>8</v>
      </c>
      <c r="L166" t="s">
        <v>27</v>
      </c>
      <c r="M166">
        <v>3</v>
      </c>
      <c r="N166" t="s">
        <v>27</v>
      </c>
      <c r="O166" t="s">
        <v>28</v>
      </c>
      <c r="P166" t="s">
        <v>1670</v>
      </c>
      <c r="Q166" t="s">
        <v>58</v>
      </c>
      <c r="R166" t="str">
        <f>IF(Table14[[#This Row],[Resolution_Time]]&gt;Table14[[#This Row],[SLA_Target]],"No", "Yes")</f>
        <v>No</v>
      </c>
      <c r="S166" t="str">
        <f>IF(Table14[[#This Row],[Calculated_SLA]]=Table14[[#This Row],[SLA_Met]],"Match","Mismatch")</f>
        <v>Match</v>
      </c>
      <c r="T166">
        <f>IF(Table14[[#This Row],[Calculated_SLA]]="Yes",1,0)</f>
        <v>0</v>
      </c>
      <c r="U166" t="str">
        <f>IF(COUNTIFS(Reference_data!A:A,Table14[[#This Row],[Category]],Reference_data!B:B,Table14[[#This Row],[Subcategory]])&gt;0,"Valid","Invalid")</f>
        <v>Valid</v>
      </c>
    </row>
    <row r="167" spans="1:21">
      <c r="A167" t="s">
        <v>568</v>
      </c>
      <c r="B167" t="s">
        <v>135</v>
      </c>
      <c r="C167" s="31" t="s">
        <v>1831</v>
      </c>
      <c r="D167" s="32" t="s">
        <v>2201</v>
      </c>
      <c r="E167" t="s">
        <v>78</v>
      </c>
      <c r="F167" t="s">
        <v>191</v>
      </c>
      <c r="G167" t="s">
        <v>46</v>
      </c>
      <c r="H167" t="s">
        <v>47</v>
      </c>
      <c r="I167" t="s">
        <v>38</v>
      </c>
      <c r="J167">
        <v>12.3</v>
      </c>
      <c r="K167">
        <v>8</v>
      </c>
      <c r="L167" t="s">
        <v>27</v>
      </c>
      <c r="M167">
        <v>3</v>
      </c>
      <c r="N167" t="s">
        <v>27</v>
      </c>
      <c r="O167" t="s">
        <v>28</v>
      </c>
      <c r="P167" t="s">
        <v>57</v>
      </c>
      <c r="Q167" t="s">
        <v>30</v>
      </c>
      <c r="R167" t="str">
        <f>IF(Table14[[#This Row],[Resolution_Time]]&gt;Table14[[#This Row],[SLA_Target]],"No", "Yes")</f>
        <v>No</v>
      </c>
      <c r="S167" t="str">
        <f>IF(Table14[[#This Row],[Calculated_SLA]]=Table14[[#This Row],[SLA_Met]],"Match","Mismatch")</f>
        <v>Match</v>
      </c>
      <c r="T167">
        <f>IF(Table14[[#This Row],[Calculated_SLA]]="Yes",1,0)</f>
        <v>0</v>
      </c>
      <c r="U167" t="str">
        <f>IF(COUNTIFS(Reference_data!A:A,Table14[[#This Row],[Category]],Reference_data!B:B,Table14[[#This Row],[Subcategory]])&gt;0,"Valid","Invalid")</f>
        <v>Valid</v>
      </c>
    </row>
    <row r="168" spans="1:21">
      <c r="A168" t="s">
        <v>571</v>
      </c>
      <c r="B168" t="s">
        <v>121</v>
      </c>
      <c r="C168" s="31" t="s">
        <v>1832</v>
      </c>
      <c r="D168" s="32" t="s">
        <v>2202</v>
      </c>
      <c r="E168" t="s">
        <v>78</v>
      </c>
      <c r="F168" t="s">
        <v>79</v>
      </c>
      <c r="G168" t="s">
        <v>54</v>
      </c>
      <c r="H168" t="s">
        <v>47</v>
      </c>
      <c r="I168" t="s">
        <v>80</v>
      </c>
      <c r="J168">
        <v>9.4</v>
      </c>
      <c r="K168">
        <v>4</v>
      </c>
      <c r="L168" t="s">
        <v>27</v>
      </c>
      <c r="M168">
        <v>1</v>
      </c>
      <c r="N168" t="s">
        <v>26</v>
      </c>
      <c r="O168" t="s">
        <v>28</v>
      </c>
      <c r="P168" t="s">
        <v>57</v>
      </c>
      <c r="Q168" t="s">
        <v>30</v>
      </c>
      <c r="R168" t="str">
        <f>IF(Table14[[#This Row],[Resolution_Time]]&gt;Table14[[#This Row],[SLA_Target]],"No", "Yes")</f>
        <v>No</v>
      </c>
      <c r="S168" t="str">
        <f>IF(Table14[[#This Row],[Calculated_SLA]]=Table14[[#This Row],[SLA_Met]],"Match","Mismatch")</f>
        <v>Match</v>
      </c>
      <c r="T168">
        <f>IF(Table14[[#This Row],[Calculated_SLA]]="Yes",1,0)</f>
        <v>0</v>
      </c>
      <c r="U168" t="str">
        <f>IF(COUNTIFS(Reference_data!A:A,Table14[[#This Row],[Category]],Reference_data!B:B,Table14[[#This Row],[Subcategory]])&gt;0,"Valid","Invalid")</f>
        <v>Valid</v>
      </c>
    </row>
    <row r="169" spans="1:21">
      <c r="A169" t="s">
        <v>574</v>
      </c>
      <c r="B169" t="s">
        <v>32</v>
      </c>
      <c r="C169" s="31" t="s">
        <v>1833</v>
      </c>
      <c r="D169" s="32" t="s">
        <v>2203</v>
      </c>
      <c r="E169" t="s">
        <v>21</v>
      </c>
      <c r="F169" t="s">
        <v>22</v>
      </c>
      <c r="G169" t="s">
        <v>46</v>
      </c>
      <c r="H169" t="s">
        <v>86</v>
      </c>
      <c r="I169" t="s">
        <v>25</v>
      </c>
      <c r="J169">
        <v>7.2</v>
      </c>
      <c r="K169">
        <v>8</v>
      </c>
      <c r="L169" t="s">
        <v>26</v>
      </c>
      <c r="M169">
        <v>4</v>
      </c>
      <c r="N169" t="s">
        <v>27</v>
      </c>
      <c r="O169" t="s">
        <v>28</v>
      </c>
      <c r="P169" t="s">
        <v>29</v>
      </c>
      <c r="Q169" t="s">
        <v>58</v>
      </c>
      <c r="R169" t="str">
        <f>IF(Table14[[#This Row],[Resolution_Time]]&gt;Table14[[#This Row],[SLA_Target]],"No", "Yes")</f>
        <v>Yes</v>
      </c>
      <c r="S169" t="str">
        <f>IF(Table14[[#This Row],[Calculated_SLA]]=Table14[[#This Row],[SLA_Met]],"Match","Mismatch")</f>
        <v>Match</v>
      </c>
      <c r="T169">
        <f>IF(Table14[[#This Row],[Calculated_SLA]]="Yes",1,0)</f>
        <v>1</v>
      </c>
      <c r="U169" t="str">
        <f>IF(COUNTIFS(Reference_data!A:A,Table14[[#This Row],[Category]],Reference_data!B:B,Table14[[#This Row],[Subcategory]])&gt;0,"Valid","Invalid")</f>
        <v>Valid</v>
      </c>
    </row>
    <row r="170" spans="1:21">
      <c r="A170" t="s">
        <v>577</v>
      </c>
      <c r="B170" t="s">
        <v>32</v>
      </c>
      <c r="C170" s="31" t="s">
        <v>1834</v>
      </c>
      <c r="D170" s="32" t="s">
        <v>2204</v>
      </c>
      <c r="E170" t="s">
        <v>84</v>
      </c>
      <c r="F170" t="s">
        <v>116</v>
      </c>
      <c r="G170" t="s">
        <v>46</v>
      </c>
      <c r="H170" t="s">
        <v>47</v>
      </c>
      <c r="I170" t="s">
        <v>87</v>
      </c>
      <c r="J170">
        <v>5.7</v>
      </c>
      <c r="K170">
        <v>8</v>
      </c>
      <c r="L170" t="s">
        <v>26</v>
      </c>
      <c r="M170">
        <v>4</v>
      </c>
      <c r="N170" t="s">
        <v>27</v>
      </c>
      <c r="O170" t="s">
        <v>28</v>
      </c>
      <c r="P170" t="s">
        <v>29</v>
      </c>
      <c r="Q170" t="s">
        <v>58</v>
      </c>
      <c r="R170" t="str">
        <f>IF(Table14[[#This Row],[Resolution_Time]]&gt;Table14[[#This Row],[SLA_Target]],"No", "Yes")</f>
        <v>Yes</v>
      </c>
      <c r="S170" t="str">
        <f>IF(Table14[[#This Row],[Calculated_SLA]]=Table14[[#This Row],[SLA_Met]],"Match","Mismatch")</f>
        <v>Match</v>
      </c>
      <c r="T170">
        <f>IF(Table14[[#This Row],[Calculated_SLA]]="Yes",1,0)</f>
        <v>1</v>
      </c>
      <c r="U170" t="str">
        <f>IF(COUNTIFS(Reference_data!A:A,Table14[[#This Row],[Category]],Reference_data!B:B,Table14[[#This Row],[Subcategory]])&gt;0,"Valid","Invalid")</f>
        <v>Valid</v>
      </c>
    </row>
    <row r="171" spans="1:21">
      <c r="A171" t="s">
        <v>580</v>
      </c>
      <c r="B171" t="s">
        <v>60</v>
      </c>
      <c r="C171" s="31" t="s">
        <v>1835</v>
      </c>
      <c r="D171" s="32" t="s">
        <v>2205</v>
      </c>
      <c r="E171" t="s">
        <v>21</v>
      </c>
      <c r="F171" t="s">
        <v>22</v>
      </c>
      <c r="G171" t="s">
        <v>54</v>
      </c>
      <c r="H171" t="s">
        <v>91</v>
      </c>
      <c r="I171" t="s">
        <v>25</v>
      </c>
      <c r="J171">
        <v>11</v>
      </c>
      <c r="K171">
        <v>4</v>
      </c>
      <c r="L171" t="s">
        <v>27</v>
      </c>
      <c r="M171">
        <v>2</v>
      </c>
      <c r="N171" t="s">
        <v>27</v>
      </c>
      <c r="O171" t="s">
        <v>28</v>
      </c>
      <c r="P171" t="s">
        <v>57</v>
      </c>
      <c r="Q171" t="s">
        <v>30</v>
      </c>
      <c r="R171" t="str">
        <f>IF(Table14[[#This Row],[Resolution_Time]]&gt;Table14[[#This Row],[SLA_Target]],"No", "Yes")</f>
        <v>No</v>
      </c>
      <c r="S171" t="str">
        <f>IF(Table14[[#This Row],[Calculated_SLA]]=Table14[[#This Row],[SLA_Met]],"Match","Mismatch")</f>
        <v>Match</v>
      </c>
      <c r="T171">
        <f>IF(Table14[[#This Row],[Calculated_SLA]]="Yes",1,0)</f>
        <v>0</v>
      </c>
      <c r="U171" t="str">
        <f>IF(COUNTIFS(Reference_data!A:A,Table14[[#This Row],[Category]],Reference_data!B:B,Table14[[#This Row],[Subcategory]])&gt;0,"Valid","Invalid")</f>
        <v>Valid</v>
      </c>
    </row>
    <row r="172" spans="1:21">
      <c r="A172" t="s">
        <v>583</v>
      </c>
      <c r="B172" t="s">
        <v>41</v>
      </c>
      <c r="C172" s="31" t="s">
        <v>1835</v>
      </c>
      <c r="D172" s="32" t="s">
        <v>2206</v>
      </c>
      <c r="E172" t="s">
        <v>21</v>
      </c>
      <c r="F172" t="s">
        <v>63</v>
      </c>
      <c r="G172" t="s">
        <v>23</v>
      </c>
      <c r="H172" t="s">
        <v>138</v>
      </c>
      <c r="I172" t="s">
        <v>25</v>
      </c>
      <c r="J172">
        <v>9.6</v>
      </c>
      <c r="K172">
        <v>24</v>
      </c>
      <c r="L172" t="s">
        <v>26</v>
      </c>
      <c r="M172">
        <v>5</v>
      </c>
      <c r="N172" t="s">
        <v>27</v>
      </c>
      <c r="O172" t="s">
        <v>28</v>
      </c>
      <c r="P172" t="s">
        <v>29</v>
      </c>
      <c r="Q172" t="s">
        <v>58</v>
      </c>
      <c r="R172" t="str">
        <f>IF(Table14[[#This Row],[Resolution_Time]]&gt;Table14[[#This Row],[SLA_Target]],"No", "Yes")</f>
        <v>Yes</v>
      </c>
      <c r="S172" t="str">
        <f>IF(Table14[[#This Row],[Calculated_SLA]]=Table14[[#This Row],[SLA_Met]],"Match","Mismatch")</f>
        <v>Match</v>
      </c>
      <c r="T172">
        <f>IF(Table14[[#This Row],[Calculated_SLA]]="Yes",1,0)</f>
        <v>1</v>
      </c>
      <c r="U172" t="str">
        <f>IF(COUNTIFS(Reference_data!A:A,Table14[[#This Row],[Category]],Reference_data!B:B,Table14[[#This Row],[Subcategory]])&gt;0,"Valid","Invalid")</f>
        <v>Valid</v>
      </c>
    </row>
    <row r="173" spans="1:21">
      <c r="A173" t="s">
        <v>586</v>
      </c>
      <c r="B173" t="s">
        <v>75</v>
      </c>
      <c r="C173" s="31" t="s">
        <v>1687</v>
      </c>
      <c r="D173" s="32" t="s">
        <v>1765</v>
      </c>
      <c r="E173" t="s">
        <v>44</v>
      </c>
      <c r="F173" t="s">
        <v>109</v>
      </c>
      <c r="G173" t="s">
        <v>46</v>
      </c>
      <c r="H173" t="s">
        <v>70</v>
      </c>
      <c r="I173" t="s">
        <v>48</v>
      </c>
      <c r="J173">
        <v>3.7</v>
      </c>
      <c r="K173">
        <v>8</v>
      </c>
      <c r="L173" t="s">
        <v>26</v>
      </c>
      <c r="M173">
        <v>5</v>
      </c>
      <c r="N173" t="s">
        <v>27</v>
      </c>
      <c r="O173" t="s">
        <v>28</v>
      </c>
      <c r="P173" t="s">
        <v>29</v>
      </c>
      <c r="Q173" t="s">
        <v>30</v>
      </c>
      <c r="R173" t="str">
        <f>IF(Table14[[#This Row],[Resolution_Time]]&gt;Table14[[#This Row],[SLA_Target]],"No", "Yes")</f>
        <v>Yes</v>
      </c>
      <c r="S173" t="str">
        <f>IF(Table14[[#This Row],[Calculated_SLA]]=Table14[[#This Row],[SLA_Met]],"Match","Mismatch")</f>
        <v>Match</v>
      </c>
      <c r="T173">
        <f>IF(Table14[[#This Row],[Calculated_SLA]]="Yes",1,0)</f>
        <v>1</v>
      </c>
      <c r="U173" t="str">
        <f>IF(COUNTIFS(Reference_data!A:A,Table14[[#This Row],[Category]],Reference_data!B:B,Table14[[#This Row],[Subcategory]])&gt;0,"Valid","Invalid")</f>
        <v>Valid</v>
      </c>
    </row>
    <row r="174" spans="1:21">
      <c r="A174" t="s">
        <v>589</v>
      </c>
      <c r="B174" t="s">
        <v>60</v>
      </c>
      <c r="C174" s="31" t="s">
        <v>1711</v>
      </c>
      <c r="D174" s="32" t="s">
        <v>2207</v>
      </c>
      <c r="E174" t="s">
        <v>44</v>
      </c>
      <c r="F174" t="s">
        <v>45</v>
      </c>
      <c r="G174" t="s">
        <v>23</v>
      </c>
      <c r="H174" t="s">
        <v>55</v>
      </c>
      <c r="I174" t="s">
        <v>48</v>
      </c>
      <c r="J174">
        <v>2.5</v>
      </c>
      <c r="K174">
        <v>24</v>
      </c>
      <c r="L174" t="s">
        <v>26</v>
      </c>
      <c r="M174">
        <v>5</v>
      </c>
      <c r="N174" t="s">
        <v>27</v>
      </c>
      <c r="O174" t="s">
        <v>28</v>
      </c>
      <c r="P174" t="s">
        <v>29</v>
      </c>
      <c r="Q174" t="s">
        <v>30</v>
      </c>
      <c r="R174" t="str">
        <f>IF(Table14[[#This Row],[Resolution_Time]]&gt;Table14[[#This Row],[SLA_Target]],"No", "Yes")</f>
        <v>Yes</v>
      </c>
      <c r="S174" t="str">
        <f>IF(Table14[[#This Row],[Calculated_SLA]]=Table14[[#This Row],[SLA_Met]],"Match","Mismatch")</f>
        <v>Match</v>
      </c>
      <c r="T174">
        <f>IF(Table14[[#This Row],[Calculated_SLA]]="Yes",1,0)</f>
        <v>1</v>
      </c>
      <c r="U174" t="str">
        <f>IF(COUNTIFS(Reference_data!A:A,Table14[[#This Row],[Category]],Reference_data!B:B,Table14[[#This Row],[Subcategory]])&gt;0,"Valid","Invalid")</f>
        <v>Valid</v>
      </c>
    </row>
    <row r="175" spans="1:21">
      <c r="A175" t="s">
        <v>592</v>
      </c>
      <c r="B175" t="s">
        <v>50</v>
      </c>
      <c r="C175" s="31" t="s">
        <v>1836</v>
      </c>
      <c r="D175" s="32" t="s">
        <v>2208</v>
      </c>
      <c r="E175" t="s">
        <v>21</v>
      </c>
      <c r="F175" t="s">
        <v>22</v>
      </c>
      <c r="G175" t="s">
        <v>23</v>
      </c>
      <c r="H175" t="s">
        <v>138</v>
      </c>
      <c r="I175" t="s">
        <v>25</v>
      </c>
      <c r="J175">
        <v>6</v>
      </c>
      <c r="K175">
        <v>24</v>
      </c>
      <c r="L175" t="s">
        <v>26</v>
      </c>
      <c r="M175">
        <v>5</v>
      </c>
      <c r="N175" t="s">
        <v>27</v>
      </c>
      <c r="O175" t="s">
        <v>28</v>
      </c>
      <c r="P175" t="s">
        <v>29</v>
      </c>
      <c r="Q175" t="s">
        <v>58</v>
      </c>
      <c r="R175" t="str">
        <f>IF(Table14[[#This Row],[Resolution_Time]]&gt;Table14[[#This Row],[SLA_Target]],"No", "Yes")</f>
        <v>Yes</v>
      </c>
      <c r="S175" t="str">
        <f>IF(Table14[[#This Row],[Calculated_SLA]]=Table14[[#This Row],[SLA_Met]],"Match","Mismatch")</f>
        <v>Match</v>
      </c>
      <c r="T175">
        <f>IF(Table14[[#This Row],[Calculated_SLA]]="Yes",1,0)</f>
        <v>1</v>
      </c>
      <c r="U175" t="str">
        <f>IF(COUNTIFS(Reference_data!A:A,Table14[[#This Row],[Category]],Reference_data!B:B,Table14[[#This Row],[Subcategory]])&gt;0,"Valid","Invalid")</f>
        <v>Valid</v>
      </c>
    </row>
    <row r="176" spans="1:21">
      <c r="A176" t="s">
        <v>595</v>
      </c>
      <c r="B176" t="s">
        <v>50</v>
      </c>
      <c r="C176" s="31" t="s">
        <v>1837</v>
      </c>
      <c r="D176" s="32" t="s">
        <v>2155</v>
      </c>
      <c r="E176" t="s">
        <v>21</v>
      </c>
      <c r="F176" t="s">
        <v>69</v>
      </c>
      <c r="G176" t="s">
        <v>46</v>
      </c>
      <c r="H176" t="s">
        <v>37</v>
      </c>
      <c r="I176" t="s">
        <v>25</v>
      </c>
      <c r="J176">
        <v>8.8000000000000007</v>
      </c>
      <c r="K176">
        <v>8</v>
      </c>
      <c r="L176" t="s">
        <v>27</v>
      </c>
      <c r="M176">
        <v>3</v>
      </c>
      <c r="N176" t="s">
        <v>27</v>
      </c>
      <c r="O176" t="s">
        <v>28</v>
      </c>
      <c r="P176" t="s">
        <v>1670</v>
      </c>
      <c r="Q176" t="s">
        <v>30</v>
      </c>
      <c r="R176" t="str">
        <f>IF(Table14[[#This Row],[Resolution_Time]]&gt;Table14[[#This Row],[SLA_Target]],"No", "Yes")</f>
        <v>No</v>
      </c>
      <c r="S176" t="str">
        <f>IF(Table14[[#This Row],[Calculated_SLA]]=Table14[[#This Row],[SLA_Met]],"Match","Mismatch")</f>
        <v>Match</v>
      </c>
      <c r="T176">
        <f>IF(Table14[[#This Row],[Calculated_SLA]]="Yes",1,0)</f>
        <v>0</v>
      </c>
      <c r="U176" t="str">
        <f>IF(COUNTIFS(Reference_data!A:A,Table14[[#This Row],[Category]],Reference_data!B:B,Table14[[#This Row],[Subcategory]])&gt;0,"Valid","Invalid")</f>
        <v>Valid</v>
      </c>
    </row>
    <row r="177" spans="1:21">
      <c r="A177" t="s">
        <v>598</v>
      </c>
      <c r="B177" t="s">
        <v>106</v>
      </c>
      <c r="C177" s="31" t="s">
        <v>1838</v>
      </c>
      <c r="D177" s="32" t="s">
        <v>2209</v>
      </c>
      <c r="E177" t="s">
        <v>21</v>
      </c>
      <c r="F177" t="s">
        <v>22</v>
      </c>
      <c r="G177" t="s">
        <v>46</v>
      </c>
      <c r="H177" t="s">
        <v>234</v>
      </c>
      <c r="I177" t="s">
        <v>25</v>
      </c>
      <c r="J177">
        <v>11.5</v>
      </c>
      <c r="K177">
        <v>8</v>
      </c>
      <c r="L177" t="s">
        <v>27</v>
      </c>
      <c r="M177">
        <v>2</v>
      </c>
      <c r="N177" t="s">
        <v>27</v>
      </c>
      <c r="O177" t="s">
        <v>28</v>
      </c>
      <c r="P177" t="s">
        <v>1670</v>
      </c>
      <c r="Q177" t="s">
        <v>39</v>
      </c>
      <c r="R177" t="str">
        <f>IF(Table14[[#This Row],[Resolution_Time]]&gt;Table14[[#This Row],[SLA_Target]],"No", "Yes")</f>
        <v>No</v>
      </c>
      <c r="S177" t="str">
        <f>IF(Table14[[#This Row],[Calculated_SLA]]=Table14[[#This Row],[SLA_Met]],"Match","Mismatch")</f>
        <v>Match</v>
      </c>
      <c r="T177">
        <f>IF(Table14[[#This Row],[Calculated_SLA]]="Yes",1,0)</f>
        <v>0</v>
      </c>
      <c r="U177" t="str">
        <f>IF(COUNTIFS(Reference_data!A:A,Table14[[#This Row],[Category]],Reference_data!B:B,Table14[[#This Row],[Subcategory]])&gt;0,"Valid","Invalid")</f>
        <v>Valid</v>
      </c>
    </row>
    <row r="178" spans="1:21">
      <c r="A178" t="s">
        <v>601</v>
      </c>
      <c r="B178" t="s">
        <v>66</v>
      </c>
      <c r="C178" s="31" t="s">
        <v>1839</v>
      </c>
      <c r="D178" s="32" t="s">
        <v>2210</v>
      </c>
      <c r="E178" t="s">
        <v>21</v>
      </c>
      <c r="F178" t="s">
        <v>63</v>
      </c>
      <c r="G178" t="s">
        <v>54</v>
      </c>
      <c r="H178" t="s">
        <v>47</v>
      </c>
      <c r="I178" t="s">
        <v>25</v>
      </c>
      <c r="J178">
        <v>5.5</v>
      </c>
      <c r="K178">
        <v>4</v>
      </c>
      <c r="L178" t="s">
        <v>27</v>
      </c>
      <c r="M178">
        <v>1</v>
      </c>
      <c r="N178" t="s">
        <v>26</v>
      </c>
      <c r="O178" t="s">
        <v>28</v>
      </c>
      <c r="P178" t="s">
        <v>1670</v>
      </c>
      <c r="Q178" t="s">
        <v>58</v>
      </c>
      <c r="R178" t="str">
        <f>IF(Table14[[#This Row],[Resolution_Time]]&gt;Table14[[#This Row],[SLA_Target]],"No", "Yes")</f>
        <v>No</v>
      </c>
      <c r="S178" t="str">
        <f>IF(Table14[[#This Row],[Calculated_SLA]]=Table14[[#This Row],[SLA_Met]],"Match","Mismatch")</f>
        <v>Match</v>
      </c>
      <c r="T178">
        <f>IF(Table14[[#This Row],[Calculated_SLA]]="Yes",1,0)</f>
        <v>0</v>
      </c>
      <c r="U178" t="str">
        <f>IF(COUNTIFS(Reference_data!A:A,Table14[[#This Row],[Category]],Reference_data!B:B,Table14[[#This Row],[Subcategory]])&gt;0,"Valid","Invalid")</f>
        <v>Valid</v>
      </c>
    </row>
    <row r="179" spans="1:21">
      <c r="A179" t="s">
        <v>604</v>
      </c>
      <c r="B179" t="s">
        <v>135</v>
      </c>
      <c r="C179" s="31" t="s">
        <v>1840</v>
      </c>
      <c r="D179" s="32" t="s">
        <v>2176</v>
      </c>
      <c r="E179" t="s">
        <v>35</v>
      </c>
      <c r="F179" t="s">
        <v>53</v>
      </c>
      <c r="G179" t="s">
        <v>46</v>
      </c>
      <c r="H179" t="s">
        <v>86</v>
      </c>
      <c r="I179" t="s">
        <v>56</v>
      </c>
      <c r="J179">
        <v>12</v>
      </c>
      <c r="K179">
        <v>8</v>
      </c>
      <c r="L179" t="s">
        <v>27</v>
      </c>
      <c r="M179">
        <v>3</v>
      </c>
      <c r="N179" t="s">
        <v>26</v>
      </c>
      <c r="O179" t="s">
        <v>28</v>
      </c>
      <c r="P179" t="s">
        <v>57</v>
      </c>
      <c r="Q179" t="s">
        <v>101</v>
      </c>
      <c r="R179" t="str">
        <f>IF(Table14[[#This Row],[Resolution_Time]]&gt;Table14[[#This Row],[SLA_Target]],"No", "Yes")</f>
        <v>No</v>
      </c>
      <c r="S179" t="str">
        <f>IF(Table14[[#This Row],[Calculated_SLA]]=Table14[[#This Row],[SLA_Met]],"Match","Mismatch")</f>
        <v>Match</v>
      </c>
      <c r="T179">
        <f>IF(Table14[[#This Row],[Calculated_SLA]]="Yes",1,0)</f>
        <v>0</v>
      </c>
      <c r="U179" t="str">
        <f>IF(COUNTIFS(Reference_data!A:A,Table14[[#This Row],[Category]],Reference_data!B:B,Table14[[#This Row],[Subcategory]])&gt;0,"Valid","Invalid")</f>
        <v>Valid</v>
      </c>
    </row>
    <row r="180" spans="1:21">
      <c r="A180" t="s">
        <v>607</v>
      </c>
      <c r="B180" t="s">
        <v>121</v>
      </c>
      <c r="C180" s="31" t="s">
        <v>1835</v>
      </c>
      <c r="D180" s="32" t="s">
        <v>2211</v>
      </c>
      <c r="E180" t="s">
        <v>84</v>
      </c>
      <c r="F180" t="s">
        <v>85</v>
      </c>
      <c r="G180" t="s">
        <v>46</v>
      </c>
      <c r="H180" t="s">
        <v>64</v>
      </c>
      <c r="I180" t="s">
        <v>87</v>
      </c>
      <c r="J180">
        <v>3.3</v>
      </c>
      <c r="K180">
        <v>8</v>
      </c>
      <c r="L180" t="s">
        <v>26</v>
      </c>
      <c r="M180">
        <v>4</v>
      </c>
      <c r="N180" t="s">
        <v>27</v>
      </c>
      <c r="O180" t="s">
        <v>28</v>
      </c>
      <c r="P180" t="s">
        <v>29</v>
      </c>
      <c r="Q180" t="s">
        <v>101</v>
      </c>
      <c r="R180" t="str">
        <f>IF(Table14[[#This Row],[Resolution_Time]]&gt;Table14[[#This Row],[SLA_Target]],"No", "Yes")</f>
        <v>Yes</v>
      </c>
      <c r="S180" t="str">
        <f>IF(Table14[[#This Row],[Calculated_SLA]]=Table14[[#This Row],[SLA_Met]],"Match","Mismatch")</f>
        <v>Match</v>
      </c>
      <c r="T180">
        <f>IF(Table14[[#This Row],[Calculated_SLA]]="Yes",1,0)</f>
        <v>1</v>
      </c>
      <c r="U180" t="str">
        <f>IF(COUNTIFS(Reference_data!A:A,Table14[[#This Row],[Category]],Reference_data!B:B,Table14[[#This Row],[Subcategory]])&gt;0,"Valid","Invalid")</f>
        <v>Valid</v>
      </c>
    </row>
    <row r="181" spans="1:21">
      <c r="A181" t="s">
        <v>610</v>
      </c>
      <c r="B181" t="s">
        <v>32</v>
      </c>
      <c r="C181" s="31" t="s">
        <v>1841</v>
      </c>
      <c r="D181" s="32" t="s">
        <v>2212</v>
      </c>
      <c r="E181" t="s">
        <v>21</v>
      </c>
      <c r="F181" t="s">
        <v>22</v>
      </c>
      <c r="G181" t="s">
        <v>23</v>
      </c>
      <c r="H181" t="s">
        <v>24</v>
      </c>
      <c r="I181" t="s">
        <v>25</v>
      </c>
      <c r="J181">
        <v>15.1</v>
      </c>
      <c r="K181">
        <v>24</v>
      </c>
      <c r="L181" t="s">
        <v>26</v>
      </c>
      <c r="M181">
        <v>4</v>
      </c>
      <c r="N181" t="s">
        <v>27</v>
      </c>
      <c r="O181" t="s">
        <v>28</v>
      </c>
      <c r="P181" t="s">
        <v>29</v>
      </c>
      <c r="Q181" t="s">
        <v>30</v>
      </c>
      <c r="R181" t="str">
        <f>IF(Table14[[#This Row],[Resolution_Time]]&gt;Table14[[#This Row],[SLA_Target]],"No", "Yes")</f>
        <v>Yes</v>
      </c>
      <c r="S181" t="str">
        <f>IF(Table14[[#This Row],[Calculated_SLA]]=Table14[[#This Row],[SLA_Met]],"Match","Mismatch")</f>
        <v>Match</v>
      </c>
      <c r="T181">
        <f>IF(Table14[[#This Row],[Calculated_SLA]]="Yes",1,0)</f>
        <v>1</v>
      </c>
      <c r="U181" t="str">
        <f>IF(COUNTIFS(Reference_data!A:A,Table14[[#This Row],[Category]],Reference_data!B:B,Table14[[#This Row],[Subcategory]])&gt;0,"Valid","Invalid")</f>
        <v>Valid</v>
      </c>
    </row>
    <row r="182" spans="1:21">
      <c r="A182" t="s">
        <v>613</v>
      </c>
      <c r="B182" t="s">
        <v>18</v>
      </c>
      <c r="C182" s="31" t="s">
        <v>1842</v>
      </c>
      <c r="D182" s="32" t="s">
        <v>2213</v>
      </c>
      <c r="E182" t="s">
        <v>21</v>
      </c>
      <c r="F182" t="s">
        <v>69</v>
      </c>
      <c r="G182" t="s">
        <v>23</v>
      </c>
      <c r="H182" t="s">
        <v>70</v>
      </c>
      <c r="I182" t="s">
        <v>25</v>
      </c>
      <c r="J182">
        <v>7.9</v>
      </c>
      <c r="K182">
        <v>24</v>
      </c>
      <c r="L182" t="s">
        <v>26</v>
      </c>
      <c r="M182">
        <v>4</v>
      </c>
      <c r="N182" t="s">
        <v>27</v>
      </c>
      <c r="O182" t="s">
        <v>28</v>
      </c>
      <c r="P182" t="s">
        <v>29</v>
      </c>
      <c r="Q182" t="s">
        <v>30</v>
      </c>
      <c r="R182" t="str">
        <f>IF(Table14[[#This Row],[Resolution_Time]]&gt;Table14[[#This Row],[SLA_Target]],"No", "Yes")</f>
        <v>Yes</v>
      </c>
      <c r="S182" t="str">
        <f>IF(Table14[[#This Row],[Calculated_SLA]]=Table14[[#This Row],[SLA_Met]],"Match","Mismatch")</f>
        <v>Match</v>
      </c>
      <c r="T182">
        <f>IF(Table14[[#This Row],[Calculated_SLA]]="Yes",1,0)</f>
        <v>1</v>
      </c>
      <c r="U182" t="str">
        <f>IF(COUNTIFS(Reference_data!A:A,Table14[[#This Row],[Category]],Reference_data!B:B,Table14[[#This Row],[Subcategory]])&gt;0,"Valid","Invalid")</f>
        <v>Valid</v>
      </c>
    </row>
    <row r="183" spans="1:21">
      <c r="A183" t="s">
        <v>616</v>
      </c>
      <c r="B183" t="s">
        <v>75</v>
      </c>
      <c r="C183" s="31" t="s">
        <v>1843</v>
      </c>
      <c r="D183" s="32" t="s">
        <v>2140</v>
      </c>
      <c r="E183" t="s">
        <v>21</v>
      </c>
      <c r="F183" t="s">
        <v>63</v>
      </c>
      <c r="G183" t="s">
        <v>46</v>
      </c>
      <c r="H183" t="s">
        <v>64</v>
      </c>
      <c r="I183" t="s">
        <v>25</v>
      </c>
      <c r="J183">
        <v>9</v>
      </c>
      <c r="K183">
        <v>8</v>
      </c>
      <c r="L183" t="s">
        <v>27</v>
      </c>
      <c r="M183">
        <v>3</v>
      </c>
      <c r="N183" t="s">
        <v>26</v>
      </c>
      <c r="O183" t="s">
        <v>28</v>
      </c>
      <c r="P183" t="s">
        <v>57</v>
      </c>
      <c r="Q183" t="s">
        <v>58</v>
      </c>
      <c r="R183" t="str">
        <f>IF(Table14[[#This Row],[Resolution_Time]]&gt;Table14[[#This Row],[SLA_Target]],"No", "Yes")</f>
        <v>No</v>
      </c>
      <c r="S183" t="str">
        <f>IF(Table14[[#This Row],[Calculated_SLA]]=Table14[[#This Row],[SLA_Met]],"Match","Mismatch")</f>
        <v>Match</v>
      </c>
      <c r="T183">
        <f>IF(Table14[[#This Row],[Calculated_SLA]]="Yes",1,0)</f>
        <v>0</v>
      </c>
      <c r="U183" t="str">
        <f>IF(COUNTIFS(Reference_data!A:A,Table14[[#This Row],[Category]],Reference_data!B:B,Table14[[#This Row],[Subcategory]])&gt;0,"Valid","Invalid")</f>
        <v>Valid</v>
      </c>
    </row>
    <row r="184" spans="1:21">
      <c r="A184" t="s">
        <v>619</v>
      </c>
      <c r="B184" t="s">
        <v>75</v>
      </c>
      <c r="C184" s="31" t="s">
        <v>1844</v>
      </c>
      <c r="D184" s="32" t="s">
        <v>2214</v>
      </c>
      <c r="E184" t="s">
        <v>21</v>
      </c>
      <c r="F184" t="s">
        <v>63</v>
      </c>
      <c r="G184" t="s">
        <v>46</v>
      </c>
      <c r="H184" t="s">
        <v>91</v>
      </c>
      <c r="I184" t="s">
        <v>25</v>
      </c>
      <c r="J184">
        <v>6.7</v>
      </c>
      <c r="K184">
        <v>8</v>
      </c>
      <c r="L184" t="s">
        <v>27</v>
      </c>
      <c r="M184">
        <v>1</v>
      </c>
      <c r="N184" t="s">
        <v>27</v>
      </c>
      <c r="O184" t="s">
        <v>28</v>
      </c>
      <c r="P184" t="s">
        <v>1670</v>
      </c>
      <c r="Q184" t="s">
        <v>39</v>
      </c>
      <c r="R184" t="str">
        <f>IF(Table14[[#This Row],[Resolution_Time]]&gt;Table14[[#This Row],[SLA_Target]],"No", "Yes")</f>
        <v>Yes</v>
      </c>
      <c r="S184" t="str">
        <f>IF(Table14[[#This Row],[Calculated_SLA]]=Table14[[#This Row],[SLA_Met]],"Match","Mismatch")</f>
        <v>Mismatch</v>
      </c>
      <c r="T184">
        <f>IF(Table14[[#This Row],[Calculated_SLA]]="Yes",1,0)</f>
        <v>1</v>
      </c>
      <c r="U184" t="str">
        <f>IF(COUNTIFS(Reference_data!A:A,Table14[[#This Row],[Category]],Reference_data!B:B,Table14[[#This Row],[Subcategory]])&gt;0,"Valid","Invalid")</f>
        <v>Valid</v>
      </c>
    </row>
    <row r="185" spans="1:21">
      <c r="A185" t="s">
        <v>622</v>
      </c>
      <c r="B185" t="s">
        <v>106</v>
      </c>
      <c r="C185" s="31" t="s">
        <v>1834</v>
      </c>
      <c r="D185" s="32" t="s">
        <v>1796</v>
      </c>
      <c r="E185" t="s">
        <v>21</v>
      </c>
      <c r="F185" t="s">
        <v>69</v>
      </c>
      <c r="G185" t="s">
        <v>46</v>
      </c>
      <c r="H185" t="s">
        <v>64</v>
      </c>
      <c r="I185" t="s">
        <v>25</v>
      </c>
      <c r="J185">
        <v>4.7</v>
      </c>
      <c r="K185">
        <v>8</v>
      </c>
      <c r="L185" t="s">
        <v>26</v>
      </c>
      <c r="M185">
        <v>4</v>
      </c>
      <c r="N185" t="s">
        <v>27</v>
      </c>
      <c r="O185" t="s">
        <v>28</v>
      </c>
      <c r="P185" t="s">
        <v>29</v>
      </c>
      <c r="Q185" t="s">
        <v>39</v>
      </c>
      <c r="R185" t="str">
        <f>IF(Table14[[#This Row],[Resolution_Time]]&gt;Table14[[#This Row],[SLA_Target]],"No", "Yes")</f>
        <v>Yes</v>
      </c>
      <c r="S185" t="str">
        <f>IF(Table14[[#This Row],[Calculated_SLA]]=Table14[[#This Row],[SLA_Met]],"Match","Mismatch")</f>
        <v>Match</v>
      </c>
      <c r="T185">
        <f>IF(Table14[[#This Row],[Calculated_SLA]]="Yes",1,0)</f>
        <v>1</v>
      </c>
      <c r="U185" t="str">
        <f>IF(COUNTIFS(Reference_data!A:A,Table14[[#This Row],[Category]],Reference_data!B:B,Table14[[#This Row],[Subcategory]])&gt;0,"Valid","Invalid")</f>
        <v>Valid</v>
      </c>
    </row>
    <row r="186" spans="1:21">
      <c r="A186" t="s">
        <v>624</v>
      </c>
      <c r="B186" t="s">
        <v>18</v>
      </c>
      <c r="C186" s="31" t="s">
        <v>1695</v>
      </c>
      <c r="D186" s="32" t="s">
        <v>1948</v>
      </c>
      <c r="E186" t="s">
        <v>44</v>
      </c>
      <c r="F186" t="s">
        <v>109</v>
      </c>
      <c r="G186" t="s">
        <v>46</v>
      </c>
      <c r="H186" t="s">
        <v>55</v>
      </c>
      <c r="I186" t="s">
        <v>48</v>
      </c>
      <c r="J186">
        <v>2.8</v>
      </c>
      <c r="K186">
        <v>8</v>
      </c>
      <c r="L186" t="s">
        <v>26</v>
      </c>
      <c r="M186">
        <v>4</v>
      </c>
      <c r="N186" t="s">
        <v>27</v>
      </c>
      <c r="O186" t="s">
        <v>28</v>
      </c>
      <c r="P186" t="s">
        <v>29</v>
      </c>
      <c r="Q186" t="s">
        <v>101</v>
      </c>
      <c r="R186" t="str">
        <f>IF(Table14[[#This Row],[Resolution_Time]]&gt;Table14[[#This Row],[SLA_Target]],"No", "Yes")</f>
        <v>Yes</v>
      </c>
      <c r="S186" t="str">
        <f>IF(Table14[[#This Row],[Calculated_SLA]]=Table14[[#This Row],[SLA_Met]],"Match","Mismatch")</f>
        <v>Match</v>
      </c>
      <c r="T186">
        <f>IF(Table14[[#This Row],[Calculated_SLA]]="Yes",1,0)</f>
        <v>1</v>
      </c>
      <c r="U186" t="str">
        <f>IF(COUNTIFS(Reference_data!A:A,Table14[[#This Row],[Category]],Reference_data!B:B,Table14[[#This Row],[Subcategory]])&gt;0,"Valid","Invalid")</f>
        <v>Valid</v>
      </c>
    </row>
    <row r="187" spans="1:21">
      <c r="A187" t="s">
        <v>627</v>
      </c>
      <c r="B187" t="s">
        <v>18</v>
      </c>
      <c r="C187" s="31" t="s">
        <v>1845</v>
      </c>
      <c r="D187" s="32" t="s">
        <v>2064</v>
      </c>
      <c r="E187" t="s">
        <v>21</v>
      </c>
      <c r="F187" t="s">
        <v>69</v>
      </c>
      <c r="G187" t="s">
        <v>46</v>
      </c>
      <c r="H187" t="s">
        <v>234</v>
      </c>
      <c r="I187" t="s">
        <v>25</v>
      </c>
      <c r="J187">
        <v>9.3000000000000007</v>
      </c>
      <c r="K187">
        <v>8</v>
      </c>
      <c r="L187" t="s">
        <v>27</v>
      </c>
      <c r="M187">
        <v>3</v>
      </c>
      <c r="N187" t="s">
        <v>26</v>
      </c>
      <c r="O187" t="s">
        <v>28</v>
      </c>
      <c r="P187" t="s">
        <v>57</v>
      </c>
      <c r="Q187" t="s">
        <v>30</v>
      </c>
      <c r="R187" t="str">
        <f>IF(Table14[[#This Row],[Resolution_Time]]&gt;Table14[[#This Row],[SLA_Target]],"No", "Yes")</f>
        <v>No</v>
      </c>
      <c r="S187" t="str">
        <f>IF(Table14[[#This Row],[Calculated_SLA]]=Table14[[#This Row],[SLA_Met]],"Match","Mismatch")</f>
        <v>Match</v>
      </c>
      <c r="T187">
        <f>IF(Table14[[#This Row],[Calculated_SLA]]="Yes",1,0)</f>
        <v>0</v>
      </c>
      <c r="U187" t="str">
        <f>IF(COUNTIFS(Reference_data!A:A,Table14[[#This Row],[Category]],Reference_data!B:B,Table14[[#This Row],[Subcategory]])&gt;0,"Valid","Invalid")</f>
        <v>Valid</v>
      </c>
    </row>
    <row r="188" spans="1:21">
      <c r="A188" t="s">
        <v>630</v>
      </c>
      <c r="B188" t="s">
        <v>121</v>
      </c>
      <c r="C188" s="31" t="s">
        <v>1846</v>
      </c>
      <c r="D188" s="32" t="s">
        <v>2215</v>
      </c>
      <c r="E188" t="s">
        <v>78</v>
      </c>
      <c r="F188" t="s">
        <v>191</v>
      </c>
      <c r="G188" t="s">
        <v>54</v>
      </c>
      <c r="H188" t="s">
        <v>37</v>
      </c>
      <c r="I188" t="s">
        <v>38</v>
      </c>
      <c r="J188">
        <v>11.7</v>
      </c>
      <c r="K188">
        <v>4</v>
      </c>
      <c r="L188" t="s">
        <v>27</v>
      </c>
      <c r="M188">
        <v>3</v>
      </c>
      <c r="N188" t="s">
        <v>27</v>
      </c>
      <c r="O188" t="s">
        <v>28</v>
      </c>
      <c r="P188" t="s">
        <v>1670</v>
      </c>
      <c r="Q188" t="s">
        <v>30</v>
      </c>
      <c r="R188" t="str">
        <f>IF(Table14[[#This Row],[Resolution_Time]]&gt;Table14[[#This Row],[SLA_Target]],"No", "Yes")</f>
        <v>No</v>
      </c>
      <c r="S188" t="str">
        <f>IF(Table14[[#This Row],[Calculated_SLA]]=Table14[[#This Row],[SLA_Met]],"Match","Mismatch")</f>
        <v>Match</v>
      </c>
      <c r="T188">
        <f>IF(Table14[[#This Row],[Calculated_SLA]]="Yes",1,0)</f>
        <v>0</v>
      </c>
      <c r="U188" t="str">
        <f>IF(COUNTIFS(Reference_data!A:A,Table14[[#This Row],[Category]],Reference_data!B:B,Table14[[#This Row],[Subcategory]])&gt;0,"Valid","Invalid")</f>
        <v>Valid</v>
      </c>
    </row>
    <row r="189" spans="1:21">
      <c r="A189" t="s">
        <v>633</v>
      </c>
      <c r="B189" t="s">
        <v>41</v>
      </c>
      <c r="C189" s="31" t="s">
        <v>1847</v>
      </c>
      <c r="D189" s="32" t="s">
        <v>2216</v>
      </c>
      <c r="E189" t="s">
        <v>78</v>
      </c>
      <c r="F189" t="s">
        <v>79</v>
      </c>
      <c r="G189" t="s">
        <v>54</v>
      </c>
      <c r="H189" t="s">
        <v>91</v>
      </c>
      <c r="I189" t="s">
        <v>80</v>
      </c>
      <c r="J189">
        <v>19.100000000000001</v>
      </c>
      <c r="K189">
        <v>4</v>
      </c>
      <c r="L189" t="s">
        <v>27</v>
      </c>
      <c r="M189">
        <v>3</v>
      </c>
      <c r="N189" t="s">
        <v>27</v>
      </c>
      <c r="O189" t="s">
        <v>28</v>
      </c>
      <c r="P189" t="s">
        <v>1670</v>
      </c>
      <c r="Q189" t="s">
        <v>101</v>
      </c>
      <c r="R189" t="str">
        <f>IF(Table14[[#This Row],[Resolution_Time]]&gt;Table14[[#This Row],[SLA_Target]],"No", "Yes")</f>
        <v>No</v>
      </c>
      <c r="S189" t="str">
        <f>IF(Table14[[#This Row],[Calculated_SLA]]=Table14[[#This Row],[SLA_Met]],"Match","Mismatch")</f>
        <v>Match</v>
      </c>
      <c r="T189">
        <f>IF(Table14[[#This Row],[Calculated_SLA]]="Yes",1,0)</f>
        <v>0</v>
      </c>
      <c r="U189" t="str">
        <f>IF(COUNTIFS(Reference_data!A:A,Table14[[#This Row],[Category]],Reference_data!B:B,Table14[[#This Row],[Subcategory]])&gt;0,"Valid","Invalid")</f>
        <v>Valid</v>
      </c>
    </row>
    <row r="190" spans="1:21">
      <c r="A190" t="s">
        <v>636</v>
      </c>
      <c r="B190" t="s">
        <v>50</v>
      </c>
      <c r="C190" s="31" t="s">
        <v>1696</v>
      </c>
      <c r="D190" s="32" t="s">
        <v>2217</v>
      </c>
      <c r="E190" t="s">
        <v>78</v>
      </c>
      <c r="F190" t="s">
        <v>191</v>
      </c>
      <c r="G190" t="s">
        <v>54</v>
      </c>
      <c r="H190" t="s">
        <v>47</v>
      </c>
      <c r="I190" t="s">
        <v>38</v>
      </c>
      <c r="J190">
        <v>15.5</v>
      </c>
      <c r="K190">
        <v>4</v>
      </c>
      <c r="L190" t="s">
        <v>27</v>
      </c>
      <c r="M190" t="s">
        <v>2448</v>
      </c>
      <c r="N190" t="s">
        <v>27</v>
      </c>
      <c r="O190" t="s">
        <v>28</v>
      </c>
      <c r="P190" t="s">
        <v>57</v>
      </c>
      <c r="Q190" t="s">
        <v>101</v>
      </c>
      <c r="R190" t="str">
        <f>IF(Table14[[#This Row],[Resolution_Time]]&gt;Table14[[#This Row],[SLA_Target]],"No", "Yes")</f>
        <v>No</v>
      </c>
      <c r="S190" t="str">
        <f>IF(Table14[[#This Row],[Calculated_SLA]]=Table14[[#This Row],[SLA_Met]],"Match","Mismatch")</f>
        <v>Match</v>
      </c>
      <c r="T190">
        <f>IF(Table14[[#This Row],[Calculated_SLA]]="Yes",1,0)</f>
        <v>0</v>
      </c>
      <c r="U190" t="str">
        <f>IF(COUNTIFS(Reference_data!A:A,Table14[[#This Row],[Category]],Reference_data!B:B,Table14[[#This Row],[Subcategory]])&gt;0,"Valid","Invalid")</f>
        <v>Valid</v>
      </c>
    </row>
    <row r="191" spans="1:21">
      <c r="A191" t="s">
        <v>639</v>
      </c>
      <c r="B191" t="s">
        <v>32</v>
      </c>
      <c r="C191" s="31" t="s">
        <v>1848</v>
      </c>
      <c r="D191" s="32" t="s">
        <v>2128</v>
      </c>
      <c r="E191" t="s">
        <v>84</v>
      </c>
      <c r="F191" t="s">
        <v>85</v>
      </c>
      <c r="G191" t="s">
        <v>46</v>
      </c>
      <c r="H191" t="s">
        <v>24</v>
      </c>
      <c r="I191" t="s">
        <v>87</v>
      </c>
      <c r="J191">
        <v>13</v>
      </c>
      <c r="K191">
        <v>8</v>
      </c>
      <c r="L191" t="s">
        <v>27</v>
      </c>
      <c r="M191">
        <v>3</v>
      </c>
      <c r="N191" t="s">
        <v>27</v>
      </c>
      <c r="O191" t="s">
        <v>28</v>
      </c>
      <c r="P191" t="s">
        <v>1670</v>
      </c>
      <c r="Q191" t="s">
        <v>39</v>
      </c>
      <c r="R191" t="str">
        <f>IF(Table14[[#This Row],[Resolution_Time]]&gt;Table14[[#This Row],[SLA_Target]],"No", "Yes")</f>
        <v>No</v>
      </c>
      <c r="S191" t="str">
        <f>IF(Table14[[#This Row],[Calculated_SLA]]=Table14[[#This Row],[SLA_Met]],"Match","Mismatch")</f>
        <v>Match</v>
      </c>
      <c r="T191">
        <f>IF(Table14[[#This Row],[Calculated_SLA]]="Yes",1,0)</f>
        <v>0</v>
      </c>
      <c r="U191" t="str">
        <f>IF(COUNTIFS(Reference_data!A:A,Table14[[#This Row],[Category]],Reference_data!B:B,Table14[[#This Row],[Subcategory]])&gt;0,"Valid","Invalid")</f>
        <v>Valid</v>
      </c>
    </row>
    <row r="192" spans="1:21">
      <c r="A192" t="s">
        <v>642</v>
      </c>
      <c r="B192" t="s">
        <v>75</v>
      </c>
      <c r="C192" s="31" t="s">
        <v>1849</v>
      </c>
      <c r="D192" s="32" t="s">
        <v>2218</v>
      </c>
      <c r="E192" t="s">
        <v>21</v>
      </c>
      <c r="F192" t="s">
        <v>69</v>
      </c>
      <c r="G192" t="s">
        <v>46</v>
      </c>
      <c r="H192" t="s">
        <v>86</v>
      </c>
      <c r="I192" t="s">
        <v>25</v>
      </c>
      <c r="J192">
        <v>11.3</v>
      </c>
      <c r="K192">
        <v>8</v>
      </c>
      <c r="L192" t="s">
        <v>27</v>
      </c>
      <c r="M192">
        <v>2</v>
      </c>
      <c r="N192" t="s">
        <v>27</v>
      </c>
      <c r="O192" t="s">
        <v>28</v>
      </c>
      <c r="P192" t="s">
        <v>1670</v>
      </c>
      <c r="Q192" t="s">
        <v>58</v>
      </c>
      <c r="R192" t="str">
        <f>IF(Table14[[#This Row],[Resolution_Time]]&gt;Table14[[#This Row],[SLA_Target]],"No", "Yes")</f>
        <v>No</v>
      </c>
      <c r="S192" t="str">
        <f>IF(Table14[[#This Row],[Calculated_SLA]]=Table14[[#This Row],[SLA_Met]],"Match","Mismatch")</f>
        <v>Match</v>
      </c>
      <c r="T192">
        <f>IF(Table14[[#This Row],[Calculated_SLA]]="Yes",1,0)</f>
        <v>0</v>
      </c>
      <c r="U192" t="str">
        <f>IF(COUNTIFS(Reference_data!A:A,Table14[[#This Row],[Category]],Reference_data!B:B,Table14[[#This Row],[Subcategory]])&gt;0,"Valid","Invalid")</f>
        <v>Valid</v>
      </c>
    </row>
    <row r="193" spans="1:21">
      <c r="A193" t="s">
        <v>645</v>
      </c>
      <c r="B193" t="s">
        <v>135</v>
      </c>
      <c r="C193" s="31" t="s">
        <v>1703</v>
      </c>
      <c r="D193" s="32" t="s">
        <v>2219</v>
      </c>
      <c r="E193" t="s">
        <v>21</v>
      </c>
      <c r="F193" t="s">
        <v>22</v>
      </c>
      <c r="G193" t="s">
        <v>54</v>
      </c>
      <c r="H193" t="s">
        <v>55</v>
      </c>
      <c r="I193" t="s">
        <v>25</v>
      </c>
      <c r="J193">
        <v>7.1</v>
      </c>
      <c r="K193">
        <v>4</v>
      </c>
      <c r="L193" t="s">
        <v>27</v>
      </c>
      <c r="M193">
        <v>3</v>
      </c>
      <c r="N193" t="s">
        <v>27</v>
      </c>
      <c r="O193" t="s">
        <v>28</v>
      </c>
      <c r="P193" t="s">
        <v>1670</v>
      </c>
      <c r="Q193" t="s">
        <v>30</v>
      </c>
      <c r="R193" t="str">
        <f>IF(Table14[[#This Row],[Resolution_Time]]&gt;Table14[[#This Row],[SLA_Target]],"No", "Yes")</f>
        <v>No</v>
      </c>
      <c r="S193" t="str">
        <f>IF(Table14[[#This Row],[Calculated_SLA]]=Table14[[#This Row],[SLA_Met]],"Match","Mismatch")</f>
        <v>Match</v>
      </c>
      <c r="T193">
        <f>IF(Table14[[#This Row],[Calculated_SLA]]="Yes",1,0)</f>
        <v>0</v>
      </c>
      <c r="U193" t="str">
        <f>IF(COUNTIFS(Reference_data!A:A,Table14[[#This Row],[Category]],Reference_data!B:B,Table14[[#This Row],[Subcategory]])&gt;0,"Valid","Invalid")</f>
        <v>Valid</v>
      </c>
    </row>
    <row r="194" spans="1:21">
      <c r="A194" t="s">
        <v>648</v>
      </c>
      <c r="B194" t="s">
        <v>121</v>
      </c>
      <c r="C194" s="31" t="s">
        <v>1850</v>
      </c>
      <c r="D194" s="32" t="s">
        <v>2220</v>
      </c>
      <c r="E194" t="s">
        <v>84</v>
      </c>
      <c r="F194" t="s">
        <v>116</v>
      </c>
      <c r="G194" t="s">
        <v>23</v>
      </c>
      <c r="H194" t="s">
        <v>86</v>
      </c>
      <c r="I194" t="s">
        <v>87</v>
      </c>
      <c r="J194">
        <v>8.4</v>
      </c>
      <c r="K194">
        <v>24</v>
      </c>
      <c r="L194" t="s">
        <v>26</v>
      </c>
      <c r="M194">
        <v>5</v>
      </c>
      <c r="N194" t="s">
        <v>27</v>
      </c>
      <c r="O194" t="s">
        <v>28</v>
      </c>
      <c r="P194" t="s">
        <v>29</v>
      </c>
      <c r="Q194" t="s">
        <v>39</v>
      </c>
      <c r="R194" t="str">
        <f>IF(Table14[[#This Row],[Resolution_Time]]&gt;Table14[[#This Row],[SLA_Target]],"No", "Yes")</f>
        <v>Yes</v>
      </c>
      <c r="S194" t="str">
        <f>IF(Table14[[#This Row],[Calculated_SLA]]=Table14[[#This Row],[SLA_Met]],"Match","Mismatch")</f>
        <v>Match</v>
      </c>
      <c r="T194">
        <f>IF(Table14[[#This Row],[Calculated_SLA]]="Yes",1,0)</f>
        <v>1</v>
      </c>
      <c r="U194" t="str">
        <f>IF(COUNTIFS(Reference_data!A:A,Table14[[#This Row],[Category]],Reference_data!B:B,Table14[[#This Row],[Subcategory]])&gt;0,"Valid","Invalid")</f>
        <v>Valid</v>
      </c>
    </row>
    <row r="195" spans="1:21">
      <c r="A195" t="s">
        <v>651</v>
      </c>
      <c r="B195" t="s">
        <v>50</v>
      </c>
      <c r="C195" s="31" t="s">
        <v>1851</v>
      </c>
      <c r="D195" s="32" t="s">
        <v>1863</v>
      </c>
      <c r="E195" t="s">
        <v>84</v>
      </c>
      <c r="F195" t="s">
        <v>85</v>
      </c>
      <c r="G195" t="s">
        <v>46</v>
      </c>
      <c r="H195" t="s">
        <v>47</v>
      </c>
      <c r="I195" t="s">
        <v>87</v>
      </c>
      <c r="J195">
        <v>3.9</v>
      </c>
      <c r="K195">
        <v>8</v>
      </c>
      <c r="L195" t="s">
        <v>26</v>
      </c>
      <c r="M195">
        <v>4</v>
      </c>
      <c r="N195" t="s">
        <v>27</v>
      </c>
      <c r="O195" t="s">
        <v>28</v>
      </c>
      <c r="P195" t="s">
        <v>29</v>
      </c>
      <c r="Q195" t="s">
        <v>30</v>
      </c>
      <c r="R195" t="str">
        <f>IF(Table14[[#This Row],[Resolution_Time]]&gt;Table14[[#This Row],[SLA_Target]],"No", "Yes")</f>
        <v>Yes</v>
      </c>
      <c r="S195" t="str">
        <f>IF(Table14[[#This Row],[Calculated_SLA]]=Table14[[#This Row],[SLA_Met]],"Match","Mismatch")</f>
        <v>Match</v>
      </c>
      <c r="T195">
        <f>IF(Table14[[#This Row],[Calculated_SLA]]="Yes",1,0)</f>
        <v>1</v>
      </c>
      <c r="U195" t="str">
        <f>IF(COUNTIFS(Reference_data!A:A,Table14[[#This Row],[Category]],Reference_data!B:B,Table14[[#This Row],[Subcategory]])&gt;0,"Valid","Invalid")</f>
        <v>Valid</v>
      </c>
    </row>
    <row r="196" spans="1:21">
      <c r="A196" t="s">
        <v>654</v>
      </c>
      <c r="B196" t="s">
        <v>75</v>
      </c>
      <c r="C196" s="31" t="s">
        <v>1852</v>
      </c>
      <c r="D196" s="32" t="s">
        <v>2221</v>
      </c>
      <c r="E196" t="s">
        <v>21</v>
      </c>
      <c r="F196" t="s">
        <v>22</v>
      </c>
      <c r="G196" t="s">
        <v>23</v>
      </c>
      <c r="H196" t="s">
        <v>64</v>
      </c>
      <c r="I196" t="s">
        <v>25</v>
      </c>
      <c r="J196">
        <v>9.6999999999999993</v>
      </c>
      <c r="K196">
        <v>24</v>
      </c>
      <c r="L196" t="s">
        <v>26</v>
      </c>
      <c r="M196">
        <v>5</v>
      </c>
      <c r="N196" t="s">
        <v>27</v>
      </c>
      <c r="O196" t="s">
        <v>28</v>
      </c>
      <c r="P196" t="s">
        <v>29</v>
      </c>
      <c r="Q196" t="s">
        <v>30</v>
      </c>
      <c r="R196" t="str">
        <f>IF(Table14[[#This Row],[Resolution_Time]]&gt;Table14[[#This Row],[SLA_Target]],"No", "Yes")</f>
        <v>Yes</v>
      </c>
      <c r="S196" t="str">
        <f>IF(Table14[[#This Row],[Calculated_SLA]]=Table14[[#This Row],[SLA_Met]],"Match","Mismatch")</f>
        <v>Match</v>
      </c>
      <c r="T196">
        <f>IF(Table14[[#This Row],[Calculated_SLA]]="Yes",1,0)</f>
        <v>1</v>
      </c>
      <c r="U196" t="str">
        <f>IF(COUNTIFS(Reference_data!A:A,Table14[[#This Row],[Category]],Reference_data!B:B,Table14[[#This Row],[Subcategory]])&gt;0,"Valid","Invalid")</f>
        <v>Valid</v>
      </c>
    </row>
    <row r="197" spans="1:21">
      <c r="A197" t="s">
        <v>657</v>
      </c>
      <c r="B197" t="s">
        <v>75</v>
      </c>
      <c r="C197" s="31" t="s">
        <v>1853</v>
      </c>
      <c r="D197" s="32" t="s">
        <v>2002</v>
      </c>
      <c r="E197" t="s">
        <v>84</v>
      </c>
      <c r="F197" t="s">
        <v>116</v>
      </c>
      <c r="G197" t="s">
        <v>46</v>
      </c>
      <c r="H197" t="s">
        <v>91</v>
      </c>
      <c r="I197" t="s">
        <v>87</v>
      </c>
      <c r="J197">
        <v>3.9</v>
      </c>
      <c r="K197">
        <v>8</v>
      </c>
      <c r="L197" t="s">
        <v>26</v>
      </c>
      <c r="M197">
        <v>5</v>
      </c>
      <c r="N197" t="s">
        <v>27</v>
      </c>
      <c r="O197" t="s">
        <v>28</v>
      </c>
      <c r="P197" t="s">
        <v>29</v>
      </c>
      <c r="Q197" t="s">
        <v>30</v>
      </c>
      <c r="R197" t="str">
        <f>IF(Table14[[#This Row],[Resolution_Time]]&gt;Table14[[#This Row],[SLA_Target]],"No", "Yes")</f>
        <v>Yes</v>
      </c>
      <c r="S197" t="str">
        <f>IF(Table14[[#This Row],[Calculated_SLA]]=Table14[[#This Row],[SLA_Met]],"Match","Mismatch")</f>
        <v>Match</v>
      </c>
      <c r="T197">
        <f>IF(Table14[[#This Row],[Calculated_SLA]]="Yes",1,0)</f>
        <v>1</v>
      </c>
      <c r="U197" t="str">
        <f>IF(COUNTIFS(Reference_data!A:A,Table14[[#This Row],[Category]],Reference_data!B:B,Table14[[#This Row],[Subcategory]])&gt;0,"Valid","Invalid")</f>
        <v>Valid</v>
      </c>
    </row>
    <row r="198" spans="1:21">
      <c r="A198" t="s">
        <v>660</v>
      </c>
      <c r="B198" t="s">
        <v>60</v>
      </c>
      <c r="C198" s="31" t="s">
        <v>1854</v>
      </c>
      <c r="D198" s="32" t="s">
        <v>2222</v>
      </c>
      <c r="E198" t="s">
        <v>21</v>
      </c>
      <c r="F198" t="s">
        <v>22</v>
      </c>
      <c r="G198" t="s">
        <v>46</v>
      </c>
      <c r="H198" t="s">
        <v>55</v>
      </c>
      <c r="I198" t="s">
        <v>25</v>
      </c>
      <c r="J198">
        <v>9</v>
      </c>
      <c r="K198">
        <v>8</v>
      </c>
      <c r="L198" t="s">
        <v>27</v>
      </c>
      <c r="M198">
        <v>2</v>
      </c>
      <c r="N198" t="s">
        <v>27</v>
      </c>
      <c r="O198" t="s">
        <v>28</v>
      </c>
      <c r="P198" t="s">
        <v>57</v>
      </c>
      <c r="Q198" t="s">
        <v>101</v>
      </c>
      <c r="R198" t="str">
        <f>IF(Table14[[#This Row],[Resolution_Time]]&gt;Table14[[#This Row],[SLA_Target]],"No", "Yes")</f>
        <v>No</v>
      </c>
      <c r="S198" t="str">
        <f>IF(Table14[[#This Row],[Calculated_SLA]]=Table14[[#This Row],[SLA_Met]],"Match","Mismatch")</f>
        <v>Match</v>
      </c>
      <c r="T198">
        <f>IF(Table14[[#This Row],[Calculated_SLA]]="Yes",1,0)</f>
        <v>0</v>
      </c>
      <c r="U198" t="str">
        <f>IF(COUNTIFS(Reference_data!A:A,Table14[[#This Row],[Category]],Reference_data!B:B,Table14[[#This Row],[Subcategory]])&gt;0,"Valid","Invalid")</f>
        <v>Valid</v>
      </c>
    </row>
    <row r="199" spans="1:21">
      <c r="A199" t="s">
        <v>663</v>
      </c>
      <c r="B199" t="s">
        <v>66</v>
      </c>
      <c r="C199" s="31" t="s">
        <v>1855</v>
      </c>
      <c r="D199" s="32" t="s">
        <v>2068</v>
      </c>
      <c r="E199" t="s">
        <v>35</v>
      </c>
      <c r="F199" t="s">
        <v>127</v>
      </c>
      <c r="G199" t="s">
        <v>46</v>
      </c>
      <c r="H199" t="s">
        <v>24</v>
      </c>
      <c r="I199" t="s">
        <v>56</v>
      </c>
      <c r="J199">
        <v>12.3</v>
      </c>
      <c r="K199">
        <v>8</v>
      </c>
      <c r="L199" t="s">
        <v>27</v>
      </c>
      <c r="M199">
        <v>2</v>
      </c>
      <c r="N199" t="s">
        <v>27</v>
      </c>
      <c r="O199" t="s">
        <v>28</v>
      </c>
      <c r="P199" t="s">
        <v>57</v>
      </c>
      <c r="Q199" t="s">
        <v>30</v>
      </c>
      <c r="R199" t="str">
        <f>IF(Table14[[#This Row],[Resolution_Time]]&gt;Table14[[#This Row],[SLA_Target]],"No", "Yes")</f>
        <v>No</v>
      </c>
      <c r="S199" t="str">
        <f>IF(Table14[[#This Row],[Calculated_SLA]]=Table14[[#This Row],[SLA_Met]],"Match","Mismatch")</f>
        <v>Match</v>
      </c>
      <c r="T199">
        <f>IF(Table14[[#This Row],[Calculated_SLA]]="Yes",1,0)</f>
        <v>0</v>
      </c>
      <c r="U199" t="str">
        <f>IF(COUNTIFS(Reference_data!A:A,Table14[[#This Row],[Category]],Reference_data!B:B,Table14[[#This Row],[Subcategory]])&gt;0,"Valid","Invalid")</f>
        <v>Valid</v>
      </c>
    </row>
    <row r="200" spans="1:21">
      <c r="A200" t="s">
        <v>666</v>
      </c>
      <c r="B200" t="s">
        <v>135</v>
      </c>
      <c r="C200" s="31" t="s">
        <v>1856</v>
      </c>
      <c r="D200" s="32" t="s">
        <v>2223</v>
      </c>
      <c r="E200" t="s">
        <v>44</v>
      </c>
      <c r="F200" t="s">
        <v>109</v>
      </c>
      <c r="G200" t="s">
        <v>46</v>
      </c>
      <c r="H200" t="s">
        <v>37</v>
      </c>
      <c r="I200" t="s">
        <v>48</v>
      </c>
      <c r="J200">
        <v>3.2</v>
      </c>
      <c r="K200">
        <v>8</v>
      </c>
      <c r="L200" t="s">
        <v>26</v>
      </c>
      <c r="M200">
        <v>4</v>
      </c>
      <c r="N200" t="s">
        <v>27</v>
      </c>
      <c r="O200" t="s">
        <v>28</v>
      </c>
      <c r="P200" t="s">
        <v>29</v>
      </c>
      <c r="Q200" t="s">
        <v>30</v>
      </c>
      <c r="R200" t="str">
        <f>IF(Table14[[#This Row],[Resolution_Time]]&gt;Table14[[#This Row],[SLA_Target]],"No", "Yes")</f>
        <v>Yes</v>
      </c>
      <c r="S200" t="str">
        <f>IF(Table14[[#This Row],[Calculated_SLA]]=Table14[[#This Row],[SLA_Met]],"Match","Mismatch")</f>
        <v>Match</v>
      </c>
      <c r="T200">
        <f>IF(Table14[[#This Row],[Calculated_SLA]]="Yes",1,0)</f>
        <v>1</v>
      </c>
      <c r="U200" t="str">
        <f>IF(COUNTIFS(Reference_data!A:A,Table14[[#This Row],[Category]],Reference_data!B:B,Table14[[#This Row],[Subcategory]])&gt;0,"Valid","Invalid")</f>
        <v>Valid</v>
      </c>
    </row>
    <row r="201" spans="1:21">
      <c r="A201" t="s">
        <v>669</v>
      </c>
      <c r="B201" t="s">
        <v>121</v>
      </c>
      <c r="C201" s="31" t="s">
        <v>1857</v>
      </c>
      <c r="D201" s="32" t="s">
        <v>2224</v>
      </c>
      <c r="E201" t="s">
        <v>78</v>
      </c>
      <c r="F201" t="s">
        <v>191</v>
      </c>
      <c r="G201" t="s">
        <v>46</v>
      </c>
      <c r="H201" t="s">
        <v>47</v>
      </c>
      <c r="I201" t="s">
        <v>38</v>
      </c>
      <c r="J201">
        <v>12.3</v>
      </c>
      <c r="K201">
        <v>8</v>
      </c>
      <c r="L201" t="s">
        <v>27</v>
      </c>
      <c r="M201">
        <v>3</v>
      </c>
      <c r="N201" t="s">
        <v>26</v>
      </c>
      <c r="O201" t="s">
        <v>28</v>
      </c>
      <c r="P201" t="s">
        <v>1670</v>
      </c>
      <c r="Q201" t="s">
        <v>39</v>
      </c>
      <c r="R201" t="str">
        <f>IF(Table14[[#This Row],[Resolution_Time]]&gt;Table14[[#This Row],[SLA_Target]],"No", "Yes")</f>
        <v>No</v>
      </c>
      <c r="S201" t="str">
        <f>IF(Table14[[#This Row],[Calculated_SLA]]=Table14[[#This Row],[SLA_Met]],"Match","Mismatch")</f>
        <v>Match</v>
      </c>
      <c r="T201">
        <f>IF(Table14[[#This Row],[Calculated_SLA]]="Yes",1,0)</f>
        <v>0</v>
      </c>
      <c r="U201" t="str">
        <f>IF(COUNTIFS(Reference_data!A:A,Table14[[#This Row],[Category]],Reference_data!B:B,Table14[[#This Row],[Subcategory]])&gt;0,"Valid","Invalid")</f>
        <v>Valid</v>
      </c>
    </row>
    <row r="202" spans="1:21">
      <c r="A202" t="s">
        <v>672</v>
      </c>
      <c r="B202" t="s">
        <v>106</v>
      </c>
      <c r="C202" s="31" t="s">
        <v>1858</v>
      </c>
      <c r="D202" s="32" t="s">
        <v>1942</v>
      </c>
      <c r="E202" t="s">
        <v>35</v>
      </c>
      <c r="F202" t="s">
        <v>36</v>
      </c>
      <c r="G202" t="s">
        <v>46</v>
      </c>
      <c r="H202" t="s">
        <v>47</v>
      </c>
      <c r="I202" t="s">
        <v>38</v>
      </c>
      <c r="J202">
        <v>4.3</v>
      </c>
      <c r="K202">
        <v>8</v>
      </c>
      <c r="L202" t="s">
        <v>26</v>
      </c>
      <c r="M202">
        <v>4</v>
      </c>
      <c r="N202" t="s">
        <v>27</v>
      </c>
      <c r="O202" t="s">
        <v>28</v>
      </c>
      <c r="P202" t="s">
        <v>29</v>
      </c>
      <c r="Q202" t="s">
        <v>30</v>
      </c>
      <c r="R202" t="str">
        <f>IF(Table14[[#This Row],[Resolution_Time]]&gt;Table14[[#This Row],[SLA_Target]],"No", "Yes")</f>
        <v>Yes</v>
      </c>
      <c r="S202" t="str">
        <f>IF(Table14[[#This Row],[Calculated_SLA]]=Table14[[#This Row],[SLA_Met]],"Match","Mismatch")</f>
        <v>Match</v>
      </c>
      <c r="T202">
        <f>IF(Table14[[#This Row],[Calculated_SLA]]="Yes",1,0)</f>
        <v>1</v>
      </c>
      <c r="U202" t="str">
        <f>IF(COUNTIFS(Reference_data!A:A,Table14[[#This Row],[Category]],Reference_data!B:B,Table14[[#This Row],[Subcategory]])&gt;0,"Valid","Invalid")</f>
        <v>Valid</v>
      </c>
    </row>
    <row r="203" spans="1:21">
      <c r="A203" t="s">
        <v>675</v>
      </c>
      <c r="B203" t="s">
        <v>32</v>
      </c>
      <c r="C203" s="31" t="s">
        <v>1722</v>
      </c>
      <c r="D203" s="32" t="s">
        <v>1978</v>
      </c>
      <c r="E203" t="s">
        <v>35</v>
      </c>
      <c r="F203" t="s">
        <v>53</v>
      </c>
      <c r="G203" t="s">
        <v>46</v>
      </c>
      <c r="H203" t="s">
        <v>234</v>
      </c>
      <c r="I203" t="s">
        <v>56</v>
      </c>
      <c r="J203">
        <v>6.1</v>
      </c>
      <c r="K203">
        <v>8</v>
      </c>
      <c r="L203" t="s">
        <v>26</v>
      </c>
      <c r="M203">
        <v>4</v>
      </c>
      <c r="N203" t="s">
        <v>27</v>
      </c>
      <c r="O203" t="s">
        <v>28</v>
      </c>
      <c r="P203" t="s">
        <v>29</v>
      </c>
      <c r="Q203" t="s">
        <v>30</v>
      </c>
      <c r="R203" t="str">
        <f>IF(Table14[[#This Row],[Resolution_Time]]&gt;Table14[[#This Row],[SLA_Target]],"No", "Yes")</f>
        <v>Yes</v>
      </c>
      <c r="S203" t="str">
        <f>IF(Table14[[#This Row],[Calculated_SLA]]=Table14[[#This Row],[SLA_Met]],"Match","Mismatch")</f>
        <v>Match</v>
      </c>
      <c r="T203">
        <f>IF(Table14[[#This Row],[Calculated_SLA]]="Yes",1,0)</f>
        <v>1</v>
      </c>
      <c r="U203" t="str">
        <f>IF(COUNTIFS(Reference_data!A:A,Table14[[#This Row],[Category]],Reference_data!B:B,Table14[[#This Row],[Subcategory]])&gt;0,"Valid","Invalid")</f>
        <v>Valid</v>
      </c>
    </row>
    <row r="204" spans="1:21">
      <c r="A204" t="s">
        <v>678</v>
      </c>
      <c r="B204" t="s">
        <v>32</v>
      </c>
      <c r="C204" s="31" t="s">
        <v>1859</v>
      </c>
      <c r="D204" s="32" t="s">
        <v>2225</v>
      </c>
      <c r="E204" t="s">
        <v>78</v>
      </c>
      <c r="F204" t="s">
        <v>79</v>
      </c>
      <c r="G204" t="s">
        <v>46</v>
      </c>
      <c r="H204" t="s">
        <v>37</v>
      </c>
      <c r="I204" t="s">
        <v>80</v>
      </c>
      <c r="J204">
        <v>11.4</v>
      </c>
      <c r="K204">
        <v>8</v>
      </c>
      <c r="L204" t="s">
        <v>27</v>
      </c>
      <c r="M204">
        <v>3</v>
      </c>
      <c r="N204" t="s">
        <v>26</v>
      </c>
      <c r="O204" t="s">
        <v>28</v>
      </c>
      <c r="P204" t="s">
        <v>1670</v>
      </c>
      <c r="Q204" t="s">
        <v>39</v>
      </c>
      <c r="R204" t="str">
        <f>IF(Table14[[#This Row],[Resolution_Time]]&gt;Table14[[#This Row],[SLA_Target]],"No", "Yes")</f>
        <v>No</v>
      </c>
      <c r="S204" t="str">
        <f>IF(Table14[[#This Row],[Calculated_SLA]]=Table14[[#This Row],[SLA_Met]],"Match","Mismatch")</f>
        <v>Match</v>
      </c>
      <c r="T204">
        <f>IF(Table14[[#This Row],[Calculated_SLA]]="Yes",1,0)</f>
        <v>0</v>
      </c>
      <c r="U204" t="str">
        <f>IF(COUNTIFS(Reference_data!A:A,Table14[[#This Row],[Category]],Reference_data!B:B,Table14[[#This Row],[Subcategory]])&gt;0,"Valid","Invalid")</f>
        <v>Valid</v>
      </c>
    </row>
    <row r="205" spans="1:21">
      <c r="A205" t="s">
        <v>681</v>
      </c>
      <c r="B205" t="s">
        <v>18</v>
      </c>
      <c r="C205" s="31" t="s">
        <v>1860</v>
      </c>
      <c r="D205" s="32" t="s">
        <v>2226</v>
      </c>
      <c r="E205" t="s">
        <v>21</v>
      </c>
      <c r="F205" t="s">
        <v>22</v>
      </c>
      <c r="G205" t="s">
        <v>54</v>
      </c>
      <c r="H205" t="s">
        <v>234</v>
      </c>
      <c r="I205" t="s">
        <v>25</v>
      </c>
      <c r="J205">
        <v>7.5</v>
      </c>
      <c r="K205">
        <v>4</v>
      </c>
      <c r="L205" t="s">
        <v>27</v>
      </c>
      <c r="M205">
        <v>1</v>
      </c>
      <c r="N205" t="s">
        <v>27</v>
      </c>
      <c r="O205" t="s">
        <v>28</v>
      </c>
      <c r="P205" t="s">
        <v>1670</v>
      </c>
      <c r="Q205" t="s">
        <v>39</v>
      </c>
      <c r="R205" t="str">
        <f>IF(Table14[[#This Row],[Resolution_Time]]&gt;Table14[[#This Row],[SLA_Target]],"No", "Yes")</f>
        <v>No</v>
      </c>
      <c r="S205" t="str">
        <f>IF(Table14[[#This Row],[Calculated_SLA]]=Table14[[#This Row],[SLA_Met]],"Match","Mismatch")</f>
        <v>Match</v>
      </c>
      <c r="T205">
        <f>IF(Table14[[#This Row],[Calculated_SLA]]="Yes",1,0)</f>
        <v>0</v>
      </c>
      <c r="U205" t="str">
        <f>IF(COUNTIFS(Reference_data!A:A,Table14[[#This Row],[Category]],Reference_data!B:B,Table14[[#This Row],[Subcategory]])&gt;0,"Valid","Invalid")</f>
        <v>Valid</v>
      </c>
    </row>
    <row r="206" spans="1:21">
      <c r="A206" t="s">
        <v>684</v>
      </c>
      <c r="B206" t="s">
        <v>32</v>
      </c>
      <c r="C206" s="31" t="s">
        <v>1861</v>
      </c>
      <c r="D206" s="32" t="s">
        <v>2227</v>
      </c>
      <c r="E206" t="s">
        <v>21</v>
      </c>
      <c r="F206" t="s">
        <v>22</v>
      </c>
      <c r="G206" t="s">
        <v>46</v>
      </c>
      <c r="H206" t="s">
        <v>64</v>
      </c>
      <c r="I206" t="s">
        <v>25</v>
      </c>
      <c r="J206">
        <v>5.2</v>
      </c>
      <c r="K206">
        <v>8</v>
      </c>
      <c r="L206" t="s">
        <v>26</v>
      </c>
      <c r="M206">
        <v>4</v>
      </c>
      <c r="N206" t="s">
        <v>27</v>
      </c>
      <c r="O206" t="s">
        <v>28</v>
      </c>
      <c r="P206" t="s">
        <v>29</v>
      </c>
      <c r="Q206" t="s">
        <v>101</v>
      </c>
      <c r="R206" t="str">
        <f>IF(Table14[[#This Row],[Resolution_Time]]&gt;Table14[[#This Row],[SLA_Target]],"No", "Yes")</f>
        <v>Yes</v>
      </c>
      <c r="S206" t="str">
        <f>IF(Table14[[#This Row],[Calculated_SLA]]=Table14[[#This Row],[SLA_Met]],"Match","Mismatch")</f>
        <v>Match</v>
      </c>
      <c r="T206">
        <f>IF(Table14[[#This Row],[Calculated_SLA]]="Yes",1,0)</f>
        <v>1</v>
      </c>
      <c r="U206" t="str">
        <f>IF(COUNTIFS(Reference_data!A:A,Table14[[#This Row],[Category]],Reference_data!B:B,Table14[[#This Row],[Subcategory]])&gt;0,"Valid","Invalid")</f>
        <v>Valid</v>
      </c>
    </row>
    <row r="207" spans="1:21">
      <c r="A207" t="s">
        <v>687</v>
      </c>
      <c r="B207" t="s">
        <v>60</v>
      </c>
      <c r="C207" s="31" t="s">
        <v>1862</v>
      </c>
      <c r="D207" s="32" t="s">
        <v>2228</v>
      </c>
      <c r="E207" t="s">
        <v>78</v>
      </c>
      <c r="F207" t="s">
        <v>191</v>
      </c>
      <c r="G207" t="s">
        <v>54</v>
      </c>
      <c r="H207" t="s">
        <v>91</v>
      </c>
      <c r="I207" t="s">
        <v>38</v>
      </c>
      <c r="J207">
        <v>13.3</v>
      </c>
      <c r="K207">
        <v>4</v>
      </c>
      <c r="L207" t="s">
        <v>27</v>
      </c>
      <c r="M207">
        <v>2</v>
      </c>
      <c r="N207" t="s">
        <v>26</v>
      </c>
      <c r="O207" t="s">
        <v>28</v>
      </c>
      <c r="P207" t="s">
        <v>1670</v>
      </c>
      <c r="Q207" t="s">
        <v>30</v>
      </c>
      <c r="R207" t="str">
        <f>IF(Table14[[#This Row],[Resolution_Time]]&gt;Table14[[#This Row],[SLA_Target]],"No", "Yes")</f>
        <v>No</v>
      </c>
      <c r="S207" t="str">
        <f>IF(Table14[[#This Row],[Calculated_SLA]]=Table14[[#This Row],[SLA_Met]],"Match","Mismatch")</f>
        <v>Match</v>
      </c>
      <c r="T207">
        <f>IF(Table14[[#This Row],[Calculated_SLA]]="Yes",1,0)</f>
        <v>0</v>
      </c>
      <c r="U207" t="str">
        <f>IF(COUNTIFS(Reference_data!A:A,Table14[[#This Row],[Category]],Reference_data!B:B,Table14[[#This Row],[Subcategory]])&gt;0,"Valid","Invalid")</f>
        <v>Valid</v>
      </c>
    </row>
    <row r="208" spans="1:21">
      <c r="A208" t="s">
        <v>690</v>
      </c>
      <c r="B208" t="s">
        <v>41</v>
      </c>
      <c r="C208" s="31" t="s">
        <v>1863</v>
      </c>
      <c r="D208" s="32" t="s">
        <v>1691</v>
      </c>
      <c r="E208" t="s">
        <v>78</v>
      </c>
      <c r="F208" t="s">
        <v>191</v>
      </c>
      <c r="G208" t="s">
        <v>46</v>
      </c>
      <c r="H208" t="s">
        <v>24</v>
      </c>
      <c r="I208" t="s">
        <v>38</v>
      </c>
      <c r="J208">
        <v>21.6</v>
      </c>
      <c r="K208">
        <v>8</v>
      </c>
      <c r="L208" t="s">
        <v>27</v>
      </c>
      <c r="M208">
        <v>3</v>
      </c>
      <c r="N208" t="s">
        <v>27</v>
      </c>
      <c r="O208" t="s">
        <v>28</v>
      </c>
      <c r="P208" t="s">
        <v>57</v>
      </c>
      <c r="Q208" t="s">
        <v>39</v>
      </c>
      <c r="R208" t="str">
        <f>IF(Table14[[#This Row],[Resolution_Time]]&gt;Table14[[#This Row],[SLA_Target]],"No", "Yes")</f>
        <v>No</v>
      </c>
      <c r="S208" t="str">
        <f>IF(Table14[[#This Row],[Calculated_SLA]]=Table14[[#This Row],[SLA_Met]],"Match","Mismatch")</f>
        <v>Match</v>
      </c>
      <c r="T208">
        <f>IF(Table14[[#This Row],[Calculated_SLA]]="Yes",1,0)</f>
        <v>0</v>
      </c>
      <c r="U208" t="str">
        <f>IF(COUNTIFS(Reference_data!A:A,Table14[[#This Row],[Category]],Reference_data!B:B,Table14[[#This Row],[Subcategory]])&gt;0,"Valid","Invalid")</f>
        <v>Valid</v>
      </c>
    </row>
    <row r="209" spans="1:21">
      <c r="A209" t="s">
        <v>692</v>
      </c>
      <c r="B209" t="s">
        <v>66</v>
      </c>
      <c r="C209" s="31" t="s">
        <v>1864</v>
      </c>
      <c r="D209" s="32" t="s">
        <v>2229</v>
      </c>
      <c r="E209" t="s">
        <v>21</v>
      </c>
      <c r="F209" t="s">
        <v>63</v>
      </c>
      <c r="G209" t="s">
        <v>46</v>
      </c>
      <c r="H209" t="s">
        <v>37</v>
      </c>
      <c r="I209" t="s">
        <v>25</v>
      </c>
      <c r="J209">
        <v>12.4</v>
      </c>
      <c r="K209">
        <v>8</v>
      </c>
      <c r="L209" t="s">
        <v>27</v>
      </c>
      <c r="M209">
        <v>3</v>
      </c>
      <c r="N209" t="s">
        <v>26</v>
      </c>
      <c r="O209" t="s">
        <v>28</v>
      </c>
      <c r="P209" t="s">
        <v>57</v>
      </c>
      <c r="Q209" t="s">
        <v>30</v>
      </c>
      <c r="R209" t="str">
        <f>IF(Table14[[#This Row],[Resolution_Time]]&gt;Table14[[#This Row],[SLA_Target]],"No", "Yes")</f>
        <v>No</v>
      </c>
      <c r="S209" t="str">
        <f>IF(Table14[[#This Row],[Calculated_SLA]]=Table14[[#This Row],[SLA_Met]],"Match","Mismatch")</f>
        <v>Match</v>
      </c>
      <c r="T209">
        <f>IF(Table14[[#This Row],[Calculated_SLA]]="Yes",1,0)</f>
        <v>0</v>
      </c>
      <c r="U209" t="str">
        <f>IF(COUNTIFS(Reference_data!A:A,Table14[[#This Row],[Category]],Reference_data!B:B,Table14[[#This Row],[Subcategory]])&gt;0,"Valid","Invalid")</f>
        <v>Valid</v>
      </c>
    </row>
    <row r="210" spans="1:21">
      <c r="A210" t="s">
        <v>695</v>
      </c>
      <c r="B210" t="s">
        <v>41</v>
      </c>
      <c r="C210" s="31" t="s">
        <v>1701</v>
      </c>
      <c r="D210" s="32" t="s">
        <v>2230</v>
      </c>
      <c r="E210" t="s">
        <v>78</v>
      </c>
      <c r="F210" t="s">
        <v>166</v>
      </c>
      <c r="G210" t="s">
        <v>23</v>
      </c>
      <c r="H210" t="s">
        <v>234</v>
      </c>
      <c r="I210" t="s">
        <v>80</v>
      </c>
      <c r="J210">
        <v>11.8</v>
      </c>
      <c r="K210">
        <v>24</v>
      </c>
      <c r="L210" t="s">
        <v>26</v>
      </c>
      <c r="M210">
        <v>5</v>
      </c>
      <c r="N210" t="s">
        <v>27</v>
      </c>
      <c r="O210" t="s">
        <v>28</v>
      </c>
      <c r="P210" t="s">
        <v>29</v>
      </c>
      <c r="Q210" t="s">
        <v>30</v>
      </c>
      <c r="R210" t="str">
        <f>IF(Table14[[#This Row],[Resolution_Time]]&gt;Table14[[#This Row],[SLA_Target]],"No", "Yes")</f>
        <v>Yes</v>
      </c>
      <c r="S210" t="str">
        <f>IF(Table14[[#This Row],[Calculated_SLA]]=Table14[[#This Row],[SLA_Met]],"Match","Mismatch")</f>
        <v>Match</v>
      </c>
      <c r="T210">
        <f>IF(Table14[[#This Row],[Calculated_SLA]]="Yes",1,0)</f>
        <v>1</v>
      </c>
      <c r="U210" t="str">
        <f>IF(COUNTIFS(Reference_data!A:A,Table14[[#This Row],[Category]],Reference_data!B:B,Table14[[#This Row],[Subcategory]])&gt;0,"Valid","Invalid")</f>
        <v>Valid</v>
      </c>
    </row>
    <row r="211" spans="1:21">
      <c r="A211" t="s">
        <v>697</v>
      </c>
      <c r="B211" t="s">
        <v>135</v>
      </c>
      <c r="C211" s="31" t="s">
        <v>1865</v>
      </c>
      <c r="D211" s="32" t="s">
        <v>2231</v>
      </c>
      <c r="E211" t="s">
        <v>78</v>
      </c>
      <c r="F211" t="s">
        <v>166</v>
      </c>
      <c r="G211" t="s">
        <v>23</v>
      </c>
      <c r="H211" t="s">
        <v>70</v>
      </c>
      <c r="I211" t="s">
        <v>80</v>
      </c>
      <c r="J211">
        <v>14.4</v>
      </c>
      <c r="K211">
        <v>24</v>
      </c>
      <c r="L211" t="s">
        <v>26</v>
      </c>
      <c r="M211">
        <v>4</v>
      </c>
      <c r="N211" t="s">
        <v>27</v>
      </c>
      <c r="O211" t="s">
        <v>28</v>
      </c>
      <c r="P211" t="s">
        <v>29</v>
      </c>
      <c r="Q211" t="s">
        <v>58</v>
      </c>
      <c r="R211" t="str">
        <f>IF(Table14[[#This Row],[Resolution_Time]]&gt;Table14[[#This Row],[SLA_Target]],"No", "Yes")</f>
        <v>Yes</v>
      </c>
      <c r="S211" t="str">
        <f>IF(Table14[[#This Row],[Calculated_SLA]]=Table14[[#This Row],[SLA_Met]],"Match","Mismatch")</f>
        <v>Match</v>
      </c>
      <c r="T211">
        <f>IF(Table14[[#This Row],[Calculated_SLA]]="Yes",1,0)</f>
        <v>1</v>
      </c>
      <c r="U211" t="str">
        <f>IF(COUNTIFS(Reference_data!A:A,Table14[[#This Row],[Category]],Reference_data!B:B,Table14[[#This Row],[Subcategory]])&gt;0,"Valid","Invalid")</f>
        <v>Valid</v>
      </c>
    </row>
    <row r="212" spans="1:21">
      <c r="A212" t="s">
        <v>700</v>
      </c>
      <c r="B212" t="s">
        <v>121</v>
      </c>
      <c r="C212" s="31" t="s">
        <v>1866</v>
      </c>
      <c r="D212" s="32" t="s">
        <v>2100</v>
      </c>
      <c r="E212" t="s">
        <v>44</v>
      </c>
      <c r="F212" t="s">
        <v>45</v>
      </c>
      <c r="G212" t="s">
        <v>54</v>
      </c>
      <c r="H212" t="s">
        <v>24</v>
      </c>
      <c r="I212" t="s">
        <v>48</v>
      </c>
      <c r="J212">
        <v>5.2</v>
      </c>
      <c r="K212">
        <v>4</v>
      </c>
      <c r="L212" t="s">
        <v>27</v>
      </c>
      <c r="M212">
        <v>3</v>
      </c>
      <c r="N212" t="s">
        <v>27</v>
      </c>
      <c r="O212" t="s">
        <v>28</v>
      </c>
      <c r="P212" t="s">
        <v>57</v>
      </c>
      <c r="Q212" t="s">
        <v>39</v>
      </c>
      <c r="R212" t="str">
        <f>IF(Table14[[#This Row],[Resolution_Time]]&gt;Table14[[#This Row],[SLA_Target]],"No", "Yes")</f>
        <v>No</v>
      </c>
      <c r="S212" t="str">
        <f>IF(Table14[[#This Row],[Calculated_SLA]]=Table14[[#This Row],[SLA_Met]],"Match","Mismatch")</f>
        <v>Match</v>
      </c>
      <c r="T212">
        <f>IF(Table14[[#This Row],[Calculated_SLA]]="Yes",1,0)</f>
        <v>0</v>
      </c>
      <c r="U212" t="str">
        <f>IF(COUNTIFS(Reference_data!A:A,Table14[[#This Row],[Category]],Reference_data!B:B,Table14[[#This Row],[Subcategory]])&gt;0,"Valid","Invalid")</f>
        <v>Valid</v>
      </c>
    </row>
    <row r="213" spans="1:21">
      <c r="A213" t="s">
        <v>703</v>
      </c>
      <c r="B213" t="s">
        <v>121</v>
      </c>
      <c r="C213" s="31" t="s">
        <v>1867</v>
      </c>
      <c r="D213" s="32" t="s">
        <v>2232</v>
      </c>
      <c r="E213" t="s">
        <v>35</v>
      </c>
      <c r="F213" t="s">
        <v>36</v>
      </c>
      <c r="G213" t="s">
        <v>46</v>
      </c>
      <c r="H213" t="s">
        <v>86</v>
      </c>
      <c r="I213" t="s">
        <v>38</v>
      </c>
      <c r="J213">
        <v>7.9</v>
      </c>
      <c r="K213">
        <v>8</v>
      </c>
      <c r="L213" t="s">
        <v>26</v>
      </c>
      <c r="M213">
        <v>4</v>
      </c>
      <c r="N213" t="s">
        <v>27</v>
      </c>
      <c r="O213" t="s">
        <v>28</v>
      </c>
      <c r="P213" t="s">
        <v>29</v>
      </c>
      <c r="Q213" t="s">
        <v>30</v>
      </c>
      <c r="R213" t="str">
        <f>IF(Table14[[#This Row],[Resolution_Time]]&gt;Table14[[#This Row],[SLA_Target]],"No", "Yes")</f>
        <v>Yes</v>
      </c>
      <c r="S213" t="str">
        <f>IF(Table14[[#This Row],[Calculated_SLA]]=Table14[[#This Row],[SLA_Met]],"Match","Mismatch")</f>
        <v>Match</v>
      </c>
      <c r="T213">
        <f>IF(Table14[[#This Row],[Calculated_SLA]]="Yes",1,0)</f>
        <v>1</v>
      </c>
      <c r="U213" t="str">
        <f>IF(COUNTIFS(Reference_data!A:A,Table14[[#This Row],[Category]],Reference_data!B:B,Table14[[#This Row],[Subcategory]])&gt;0,"Valid","Invalid")</f>
        <v>Valid</v>
      </c>
    </row>
    <row r="214" spans="1:21">
      <c r="A214" t="s">
        <v>706</v>
      </c>
      <c r="B214" t="s">
        <v>75</v>
      </c>
      <c r="C214" s="31" t="s">
        <v>1868</v>
      </c>
      <c r="D214" s="32" t="s">
        <v>2233</v>
      </c>
      <c r="E214" t="s">
        <v>35</v>
      </c>
      <c r="F214" t="s">
        <v>36</v>
      </c>
      <c r="G214" t="s">
        <v>46</v>
      </c>
      <c r="H214" t="s">
        <v>37</v>
      </c>
      <c r="I214" t="s">
        <v>38</v>
      </c>
      <c r="J214">
        <v>9.5</v>
      </c>
      <c r="K214">
        <v>8</v>
      </c>
      <c r="L214" t="s">
        <v>27</v>
      </c>
      <c r="M214">
        <v>3</v>
      </c>
      <c r="N214" t="s">
        <v>26</v>
      </c>
      <c r="O214" t="s">
        <v>28</v>
      </c>
      <c r="P214" t="s">
        <v>57</v>
      </c>
      <c r="Q214" t="s">
        <v>39</v>
      </c>
      <c r="R214" t="str">
        <f>IF(Table14[[#This Row],[Resolution_Time]]&gt;Table14[[#This Row],[SLA_Target]],"No", "Yes")</f>
        <v>No</v>
      </c>
      <c r="S214" t="str">
        <f>IF(Table14[[#This Row],[Calculated_SLA]]=Table14[[#This Row],[SLA_Met]],"Match","Mismatch")</f>
        <v>Match</v>
      </c>
      <c r="T214">
        <f>IF(Table14[[#This Row],[Calculated_SLA]]="Yes",1,0)</f>
        <v>0</v>
      </c>
      <c r="U214" t="str">
        <f>IF(COUNTIFS(Reference_data!A:A,Table14[[#This Row],[Category]],Reference_data!B:B,Table14[[#This Row],[Subcategory]])&gt;0,"Valid","Invalid")</f>
        <v>Valid</v>
      </c>
    </row>
    <row r="215" spans="1:21">
      <c r="A215" t="s">
        <v>709</v>
      </c>
      <c r="B215" t="s">
        <v>135</v>
      </c>
      <c r="C215" s="31" t="s">
        <v>1869</v>
      </c>
      <c r="D215" s="32" t="s">
        <v>2234</v>
      </c>
      <c r="E215" t="s">
        <v>35</v>
      </c>
      <c r="F215" t="s">
        <v>127</v>
      </c>
      <c r="G215" t="s">
        <v>46</v>
      </c>
      <c r="H215" t="s">
        <v>55</v>
      </c>
      <c r="I215" t="s">
        <v>56</v>
      </c>
      <c r="J215">
        <v>10.9</v>
      </c>
      <c r="K215">
        <v>8</v>
      </c>
      <c r="L215" t="s">
        <v>27</v>
      </c>
      <c r="M215">
        <v>3</v>
      </c>
      <c r="N215" t="s">
        <v>27</v>
      </c>
      <c r="O215" t="s">
        <v>28</v>
      </c>
      <c r="P215" t="s">
        <v>57</v>
      </c>
      <c r="Q215" t="s">
        <v>30</v>
      </c>
      <c r="R215" t="str">
        <f>IF(Table14[[#This Row],[Resolution_Time]]&gt;Table14[[#This Row],[SLA_Target]],"No", "Yes")</f>
        <v>No</v>
      </c>
      <c r="S215" t="str">
        <f>IF(Table14[[#This Row],[Calculated_SLA]]=Table14[[#This Row],[SLA_Met]],"Match","Mismatch")</f>
        <v>Match</v>
      </c>
      <c r="T215">
        <f>IF(Table14[[#This Row],[Calculated_SLA]]="Yes",1,0)</f>
        <v>0</v>
      </c>
      <c r="U215" t="str">
        <f>IF(COUNTIFS(Reference_data!A:A,Table14[[#This Row],[Category]],Reference_data!B:B,Table14[[#This Row],[Subcategory]])&gt;0,"Valid","Invalid")</f>
        <v>Valid</v>
      </c>
    </row>
    <row r="216" spans="1:21">
      <c r="A216" t="s">
        <v>712</v>
      </c>
      <c r="B216" t="s">
        <v>135</v>
      </c>
      <c r="C216" s="31" t="s">
        <v>1753</v>
      </c>
      <c r="D216" s="32" t="s">
        <v>2235</v>
      </c>
      <c r="E216" t="s">
        <v>21</v>
      </c>
      <c r="F216" t="s">
        <v>63</v>
      </c>
      <c r="G216" t="s">
        <v>54</v>
      </c>
      <c r="H216" t="s">
        <v>86</v>
      </c>
      <c r="I216" t="s">
        <v>25</v>
      </c>
      <c r="J216">
        <v>11.7</v>
      </c>
      <c r="K216">
        <v>4</v>
      </c>
      <c r="L216" t="s">
        <v>27</v>
      </c>
      <c r="M216">
        <v>3</v>
      </c>
      <c r="N216" t="s">
        <v>27</v>
      </c>
      <c r="O216" t="s">
        <v>28</v>
      </c>
      <c r="P216" t="s">
        <v>57</v>
      </c>
      <c r="Q216" t="s">
        <v>101</v>
      </c>
      <c r="R216" t="str">
        <f>IF(Table14[[#This Row],[Resolution_Time]]&gt;Table14[[#This Row],[SLA_Target]],"No", "Yes")</f>
        <v>No</v>
      </c>
      <c r="S216" t="str">
        <f>IF(Table14[[#This Row],[Calculated_SLA]]=Table14[[#This Row],[SLA_Met]],"Match","Mismatch")</f>
        <v>Match</v>
      </c>
      <c r="T216">
        <f>IF(Table14[[#This Row],[Calculated_SLA]]="Yes",1,0)</f>
        <v>0</v>
      </c>
      <c r="U216" t="str">
        <f>IF(COUNTIFS(Reference_data!A:A,Table14[[#This Row],[Category]],Reference_data!B:B,Table14[[#This Row],[Subcategory]])&gt;0,"Valid","Invalid")</f>
        <v>Valid</v>
      </c>
    </row>
    <row r="217" spans="1:21">
      <c r="A217" t="s">
        <v>715</v>
      </c>
      <c r="B217" t="s">
        <v>60</v>
      </c>
      <c r="C217" s="31" t="s">
        <v>1870</v>
      </c>
      <c r="D217" s="32" t="s">
        <v>2236</v>
      </c>
      <c r="E217" t="s">
        <v>84</v>
      </c>
      <c r="F217" t="s">
        <v>116</v>
      </c>
      <c r="G217" t="s">
        <v>46</v>
      </c>
      <c r="H217" t="s">
        <v>91</v>
      </c>
      <c r="I217" t="s">
        <v>87</v>
      </c>
      <c r="J217">
        <v>5.8</v>
      </c>
      <c r="K217">
        <v>8</v>
      </c>
      <c r="L217" t="s">
        <v>26</v>
      </c>
      <c r="M217">
        <v>5</v>
      </c>
      <c r="N217" t="s">
        <v>27</v>
      </c>
      <c r="O217" t="s">
        <v>28</v>
      </c>
      <c r="P217" t="s">
        <v>29</v>
      </c>
      <c r="Q217" t="s">
        <v>39</v>
      </c>
      <c r="R217" t="str">
        <f>IF(Table14[[#This Row],[Resolution_Time]]&gt;Table14[[#This Row],[SLA_Target]],"No", "Yes")</f>
        <v>Yes</v>
      </c>
      <c r="S217" t="str">
        <f>IF(Table14[[#This Row],[Calculated_SLA]]=Table14[[#This Row],[SLA_Met]],"Match","Mismatch")</f>
        <v>Match</v>
      </c>
      <c r="T217">
        <f>IF(Table14[[#This Row],[Calculated_SLA]]="Yes",1,0)</f>
        <v>1</v>
      </c>
      <c r="U217" t="str">
        <f>IF(COUNTIFS(Reference_data!A:A,Table14[[#This Row],[Category]],Reference_data!B:B,Table14[[#This Row],[Subcategory]])&gt;0,"Valid","Invalid")</f>
        <v>Valid</v>
      </c>
    </row>
    <row r="218" spans="1:21">
      <c r="A218" t="s">
        <v>718</v>
      </c>
      <c r="B218" t="s">
        <v>75</v>
      </c>
      <c r="C218" s="31" t="s">
        <v>1871</v>
      </c>
      <c r="D218" s="32" t="s">
        <v>2237</v>
      </c>
      <c r="E218" t="s">
        <v>78</v>
      </c>
      <c r="F218" t="s">
        <v>79</v>
      </c>
      <c r="G218" t="s">
        <v>23</v>
      </c>
      <c r="H218" t="s">
        <v>86</v>
      </c>
      <c r="I218" t="s">
        <v>80</v>
      </c>
      <c r="J218">
        <v>12.8</v>
      </c>
      <c r="K218">
        <v>24</v>
      </c>
      <c r="L218" t="s">
        <v>26</v>
      </c>
      <c r="M218">
        <v>4</v>
      </c>
      <c r="N218" t="s">
        <v>27</v>
      </c>
      <c r="O218" t="s">
        <v>28</v>
      </c>
      <c r="P218" t="s">
        <v>29</v>
      </c>
      <c r="Q218" t="s">
        <v>101</v>
      </c>
      <c r="R218" t="str">
        <f>IF(Table14[[#This Row],[Resolution_Time]]&gt;Table14[[#This Row],[SLA_Target]],"No", "Yes")</f>
        <v>Yes</v>
      </c>
      <c r="S218" t="str">
        <f>IF(Table14[[#This Row],[Calculated_SLA]]=Table14[[#This Row],[SLA_Met]],"Match","Mismatch")</f>
        <v>Match</v>
      </c>
      <c r="T218">
        <f>IF(Table14[[#This Row],[Calculated_SLA]]="Yes",1,0)</f>
        <v>1</v>
      </c>
      <c r="U218" t="str">
        <f>IF(COUNTIFS(Reference_data!A:A,Table14[[#This Row],[Category]],Reference_data!B:B,Table14[[#This Row],[Subcategory]])&gt;0,"Valid","Invalid")</f>
        <v>Valid</v>
      </c>
    </row>
    <row r="219" spans="1:21">
      <c r="A219" t="s">
        <v>721</v>
      </c>
      <c r="B219" t="s">
        <v>60</v>
      </c>
      <c r="C219" s="31" t="s">
        <v>1872</v>
      </c>
      <c r="D219" s="32" t="s">
        <v>2238</v>
      </c>
      <c r="E219" t="s">
        <v>21</v>
      </c>
      <c r="F219" t="s">
        <v>63</v>
      </c>
      <c r="G219" t="s">
        <v>54</v>
      </c>
      <c r="H219" t="s">
        <v>55</v>
      </c>
      <c r="I219" t="s">
        <v>25</v>
      </c>
      <c r="J219">
        <v>13.4</v>
      </c>
      <c r="K219">
        <v>4</v>
      </c>
      <c r="L219" t="s">
        <v>27</v>
      </c>
      <c r="M219">
        <v>3</v>
      </c>
      <c r="N219" t="s">
        <v>26</v>
      </c>
      <c r="O219" t="s">
        <v>28</v>
      </c>
      <c r="P219" t="s">
        <v>1670</v>
      </c>
      <c r="Q219" t="s">
        <v>39</v>
      </c>
      <c r="R219" t="str">
        <f>IF(Table14[[#This Row],[Resolution_Time]]&gt;Table14[[#This Row],[SLA_Target]],"No", "Yes")</f>
        <v>No</v>
      </c>
      <c r="S219" t="str">
        <f>IF(Table14[[#This Row],[Calculated_SLA]]=Table14[[#This Row],[SLA_Met]],"Match","Mismatch")</f>
        <v>Match</v>
      </c>
      <c r="T219">
        <f>IF(Table14[[#This Row],[Calculated_SLA]]="Yes",1,0)</f>
        <v>0</v>
      </c>
      <c r="U219" t="str">
        <f>IF(COUNTIFS(Reference_data!A:A,Table14[[#This Row],[Category]],Reference_data!B:B,Table14[[#This Row],[Subcategory]])&gt;0,"Valid","Invalid")</f>
        <v>Valid</v>
      </c>
    </row>
    <row r="220" spans="1:21">
      <c r="A220" t="s">
        <v>724</v>
      </c>
      <c r="B220" t="s">
        <v>75</v>
      </c>
      <c r="C220" s="31" t="s">
        <v>1873</v>
      </c>
      <c r="D220" s="32" t="s">
        <v>2239</v>
      </c>
      <c r="E220" t="s">
        <v>78</v>
      </c>
      <c r="F220" t="s">
        <v>166</v>
      </c>
      <c r="G220" t="s">
        <v>46</v>
      </c>
      <c r="H220" t="s">
        <v>47</v>
      </c>
      <c r="I220" t="s">
        <v>80</v>
      </c>
      <c r="J220">
        <v>13.5</v>
      </c>
      <c r="K220">
        <v>8</v>
      </c>
      <c r="L220" t="s">
        <v>27</v>
      </c>
      <c r="M220">
        <v>2</v>
      </c>
      <c r="N220" t="s">
        <v>27</v>
      </c>
      <c r="O220" t="s">
        <v>28</v>
      </c>
      <c r="P220" t="s">
        <v>1670</v>
      </c>
      <c r="Q220" t="s">
        <v>101</v>
      </c>
      <c r="R220" t="str">
        <f>IF(Table14[[#This Row],[Resolution_Time]]&gt;Table14[[#This Row],[SLA_Target]],"No", "Yes")</f>
        <v>No</v>
      </c>
      <c r="S220" t="str">
        <f>IF(Table14[[#This Row],[Calculated_SLA]]=Table14[[#This Row],[SLA_Met]],"Match","Mismatch")</f>
        <v>Match</v>
      </c>
      <c r="T220">
        <f>IF(Table14[[#This Row],[Calculated_SLA]]="Yes",1,0)</f>
        <v>0</v>
      </c>
      <c r="U220" t="str">
        <f>IF(COUNTIFS(Reference_data!A:A,Table14[[#This Row],[Category]],Reference_data!B:B,Table14[[#This Row],[Subcategory]])&gt;0,"Valid","Invalid")</f>
        <v>Valid</v>
      </c>
    </row>
    <row r="221" spans="1:21">
      <c r="A221" t="s">
        <v>727</v>
      </c>
      <c r="B221" t="s">
        <v>32</v>
      </c>
      <c r="C221" s="31" t="s">
        <v>1802</v>
      </c>
      <c r="D221" s="32" t="s">
        <v>2240</v>
      </c>
      <c r="E221" t="s">
        <v>21</v>
      </c>
      <c r="F221" t="s">
        <v>69</v>
      </c>
      <c r="G221" t="s">
        <v>23</v>
      </c>
      <c r="H221" t="s">
        <v>70</v>
      </c>
      <c r="I221" t="s">
        <v>25</v>
      </c>
      <c r="J221">
        <v>15.4</v>
      </c>
      <c r="K221">
        <v>24</v>
      </c>
      <c r="L221" t="s">
        <v>26</v>
      </c>
      <c r="M221">
        <v>5</v>
      </c>
      <c r="N221" t="s">
        <v>27</v>
      </c>
      <c r="O221" t="s">
        <v>28</v>
      </c>
      <c r="P221" t="s">
        <v>29</v>
      </c>
      <c r="Q221" t="s">
        <v>101</v>
      </c>
      <c r="R221" t="str">
        <f>IF(Table14[[#This Row],[Resolution_Time]]&gt;Table14[[#This Row],[SLA_Target]],"No", "Yes")</f>
        <v>Yes</v>
      </c>
      <c r="S221" t="str">
        <f>IF(Table14[[#This Row],[Calculated_SLA]]=Table14[[#This Row],[SLA_Met]],"Match","Mismatch")</f>
        <v>Match</v>
      </c>
      <c r="T221">
        <f>IF(Table14[[#This Row],[Calculated_SLA]]="Yes",1,0)</f>
        <v>1</v>
      </c>
      <c r="U221" t="str">
        <f>IF(COUNTIFS(Reference_data!A:A,Table14[[#This Row],[Category]],Reference_data!B:B,Table14[[#This Row],[Subcategory]])&gt;0,"Valid","Invalid")</f>
        <v>Valid</v>
      </c>
    </row>
    <row r="222" spans="1:21">
      <c r="A222" t="s">
        <v>730</v>
      </c>
      <c r="B222" t="s">
        <v>60</v>
      </c>
      <c r="C222" s="31" t="s">
        <v>1874</v>
      </c>
      <c r="D222" s="32" t="s">
        <v>2241</v>
      </c>
      <c r="E222" t="s">
        <v>44</v>
      </c>
      <c r="F222" t="s">
        <v>45</v>
      </c>
      <c r="G222" t="s">
        <v>46</v>
      </c>
      <c r="H222" t="s">
        <v>64</v>
      </c>
      <c r="I222" t="s">
        <v>48</v>
      </c>
      <c r="J222">
        <v>2.5</v>
      </c>
      <c r="K222">
        <v>8</v>
      </c>
      <c r="L222" t="s">
        <v>26</v>
      </c>
      <c r="M222">
        <v>4</v>
      </c>
      <c r="N222" t="s">
        <v>27</v>
      </c>
      <c r="O222" t="s">
        <v>28</v>
      </c>
      <c r="P222" t="s">
        <v>29</v>
      </c>
      <c r="Q222" t="s">
        <v>30</v>
      </c>
      <c r="R222" t="str">
        <f>IF(Table14[[#This Row],[Resolution_Time]]&gt;Table14[[#This Row],[SLA_Target]],"No", "Yes")</f>
        <v>Yes</v>
      </c>
      <c r="S222" t="str">
        <f>IF(Table14[[#This Row],[Calculated_SLA]]=Table14[[#This Row],[SLA_Met]],"Match","Mismatch")</f>
        <v>Match</v>
      </c>
      <c r="T222">
        <f>IF(Table14[[#This Row],[Calculated_SLA]]="Yes",1,0)</f>
        <v>1</v>
      </c>
      <c r="U222" t="str">
        <f>IF(COUNTIFS(Reference_data!A:A,Table14[[#This Row],[Category]],Reference_data!B:B,Table14[[#This Row],[Subcategory]])&gt;0,"Valid","Invalid")</f>
        <v>Valid</v>
      </c>
    </row>
    <row r="223" spans="1:21">
      <c r="A223" t="s">
        <v>733</v>
      </c>
      <c r="B223" t="s">
        <v>75</v>
      </c>
      <c r="C223" s="31" t="s">
        <v>1875</v>
      </c>
      <c r="D223" s="32" t="s">
        <v>2242</v>
      </c>
      <c r="E223" t="s">
        <v>21</v>
      </c>
      <c r="F223" t="s">
        <v>63</v>
      </c>
      <c r="G223" t="s">
        <v>23</v>
      </c>
      <c r="H223" t="s">
        <v>55</v>
      </c>
      <c r="I223" t="s">
        <v>25</v>
      </c>
      <c r="J223">
        <v>11.2</v>
      </c>
      <c r="K223">
        <v>24</v>
      </c>
      <c r="L223" t="s">
        <v>26</v>
      </c>
      <c r="M223" t="s">
        <v>2448</v>
      </c>
      <c r="N223" t="s">
        <v>27</v>
      </c>
      <c r="O223" t="s">
        <v>28</v>
      </c>
      <c r="P223" t="s">
        <v>29</v>
      </c>
      <c r="Q223" t="s">
        <v>39</v>
      </c>
      <c r="R223" t="str">
        <f>IF(Table14[[#This Row],[Resolution_Time]]&gt;Table14[[#This Row],[SLA_Target]],"No", "Yes")</f>
        <v>Yes</v>
      </c>
      <c r="S223" t="str">
        <f>IF(Table14[[#This Row],[Calculated_SLA]]=Table14[[#This Row],[SLA_Met]],"Match","Mismatch")</f>
        <v>Match</v>
      </c>
      <c r="T223">
        <f>IF(Table14[[#This Row],[Calculated_SLA]]="Yes",1,0)</f>
        <v>1</v>
      </c>
      <c r="U223" t="str">
        <f>IF(COUNTIFS(Reference_data!A:A,Table14[[#This Row],[Category]],Reference_data!B:B,Table14[[#This Row],[Subcategory]])&gt;0,"Valid","Invalid")</f>
        <v>Valid</v>
      </c>
    </row>
    <row r="224" spans="1:21">
      <c r="A224" t="s">
        <v>736</v>
      </c>
      <c r="B224" t="s">
        <v>75</v>
      </c>
      <c r="C224" s="31" t="s">
        <v>1876</v>
      </c>
      <c r="D224" s="32" t="s">
        <v>2210</v>
      </c>
      <c r="E224" t="s">
        <v>84</v>
      </c>
      <c r="F224" t="s">
        <v>85</v>
      </c>
      <c r="G224" t="s">
        <v>46</v>
      </c>
      <c r="H224" t="s">
        <v>55</v>
      </c>
      <c r="I224" t="s">
        <v>87</v>
      </c>
      <c r="J224">
        <v>4.8</v>
      </c>
      <c r="K224">
        <v>8</v>
      </c>
      <c r="L224" t="s">
        <v>26</v>
      </c>
      <c r="M224">
        <v>4</v>
      </c>
      <c r="N224" t="s">
        <v>27</v>
      </c>
      <c r="O224" t="s">
        <v>28</v>
      </c>
      <c r="P224" t="s">
        <v>29</v>
      </c>
      <c r="Q224" t="s">
        <v>58</v>
      </c>
      <c r="R224" t="str">
        <f>IF(Table14[[#This Row],[Resolution_Time]]&gt;Table14[[#This Row],[SLA_Target]],"No", "Yes")</f>
        <v>Yes</v>
      </c>
      <c r="S224" t="str">
        <f>IF(Table14[[#This Row],[Calculated_SLA]]=Table14[[#This Row],[SLA_Met]],"Match","Mismatch")</f>
        <v>Match</v>
      </c>
      <c r="T224">
        <f>IF(Table14[[#This Row],[Calculated_SLA]]="Yes",1,0)</f>
        <v>1</v>
      </c>
      <c r="U224" t="str">
        <f>IF(COUNTIFS(Reference_data!A:A,Table14[[#This Row],[Category]],Reference_data!B:B,Table14[[#This Row],[Subcategory]])&gt;0,"Valid","Invalid")</f>
        <v>Valid</v>
      </c>
    </row>
    <row r="225" spans="1:21">
      <c r="A225" t="s">
        <v>739</v>
      </c>
      <c r="B225" t="s">
        <v>50</v>
      </c>
      <c r="C225" s="31" t="s">
        <v>1815</v>
      </c>
      <c r="D225" s="32" t="s">
        <v>2243</v>
      </c>
      <c r="E225" t="s">
        <v>84</v>
      </c>
      <c r="F225" t="s">
        <v>116</v>
      </c>
      <c r="G225" t="s">
        <v>46</v>
      </c>
      <c r="H225" t="s">
        <v>24</v>
      </c>
      <c r="I225" t="s">
        <v>87</v>
      </c>
      <c r="J225">
        <v>7.9</v>
      </c>
      <c r="K225">
        <v>8</v>
      </c>
      <c r="L225" t="s">
        <v>26</v>
      </c>
      <c r="M225">
        <v>4</v>
      </c>
      <c r="N225" t="s">
        <v>27</v>
      </c>
      <c r="O225" t="s">
        <v>28</v>
      </c>
      <c r="P225" t="s">
        <v>29</v>
      </c>
      <c r="Q225" t="s">
        <v>58</v>
      </c>
      <c r="R225" t="str">
        <f>IF(Table14[[#This Row],[Resolution_Time]]&gt;Table14[[#This Row],[SLA_Target]],"No", "Yes")</f>
        <v>Yes</v>
      </c>
      <c r="S225" t="str">
        <f>IF(Table14[[#This Row],[Calculated_SLA]]=Table14[[#This Row],[SLA_Met]],"Match","Mismatch")</f>
        <v>Match</v>
      </c>
      <c r="T225">
        <f>IF(Table14[[#This Row],[Calculated_SLA]]="Yes",1,0)</f>
        <v>1</v>
      </c>
      <c r="U225" t="str">
        <f>IF(COUNTIFS(Reference_data!A:A,Table14[[#This Row],[Category]],Reference_data!B:B,Table14[[#This Row],[Subcategory]])&gt;0,"Valid","Invalid")</f>
        <v>Valid</v>
      </c>
    </row>
    <row r="226" spans="1:21">
      <c r="A226" t="s">
        <v>742</v>
      </c>
      <c r="B226" t="s">
        <v>18</v>
      </c>
      <c r="C226" s="31" t="s">
        <v>1877</v>
      </c>
      <c r="D226" s="32" t="s">
        <v>2244</v>
      </c>
      <c r="E226" t="s">
        <v>21</v>
      </c>
      <c r="F226" t="s">
        <v>22</v>
      </c>
      <c r="G226" t="s">
        <v>46</v>
      </c>
      <c r="H226" t="s">
        <v>138</v>
      </c>
      <c r="I226" t="s">
        <v>25</v>
      </c>
      <c r="J226">
        <v>9.1999999999999993</v>
      </c>
      <c r="K226">
        <v>8</v>
      </c>
      <c r="L226" t="s">
        <v>27</v>
      </c>
      <c r="M226">
        <v>2</v>
      </c>
      <c r="N226" t="s">
        <v>27</v>
      </c>
      <c r="O226" t="s">
        <v>28</v>
      </c>
      <c r="P226" t="s">
        <v>1670</v>
      </c>
      <c r="Q226" t="s">
        <v>39</v>
      </c>
      <c r="R226" t="str">
        <f>IF(Table14[[#This Row],[Resolution_Time]]&gt;Table14[[#This Row],[SLA_Target]],"No", "Yes")</f>
        <v>No</v>
      </c>
      <c r="S226" t="str">
        <f>IF(Table14[[#This Row],[Calculated_SLA]]=Table14[[#This Row],[SLA_Met]],"Match","Mismatch")</f>
        <v>Match</v>
      </c>
      <c r="T226">
        <f>IF(Table14[[#This Row],[Calculated_SLA]]="Yes",1,0)</f>
        <v>0</v>
      </c>
      <c r="U226" t="str">
        <f>IF(COUNTIFS(Reference_data!A:A,Table14[[#This Row],[Category]],Reference_data!B:B,Table14[[#This Row],[Subcategory]])&gt;0,"Valid","Invalid")</f>
        <v>Valid</v>
      </c>
    </row>
    <row r="227" spans="1:21">
      <c r="A227" t="s">
        <v>745</v>
      </c>
      <c r="B227" t="s">
        <v>18</v>
      </c>
      <c r="C227" s="31" t="s">
        <v>1878</v>
      </c>
      <c r="D227" s="32" t="s">
        <v>2245</v>
      </c>
      <c r="E227" t="s">
        <v>84</v>
      </c>
      <c r="F227" t="s">
        <v>85</v>
      </c>
      <c r="G227" t="s">
        <v>54</v>
      </c>
      <c r="H227" t="s">
        <v>70</v>
      </c>
      <c r="I227" t="s">
        <v>87</v>
      </c>
      <c r="J227">
        <v>5.2</v>
      </c>
      <c r="K227">
        <v>4</v>
      </c>
      <c r="L227" t="s">
        <v>27</v>
      </c>
      <c r="M227">
        <v>2</v>
      </c>
      <c r="N227" t="s">
        <v>27</v>
      </c>
      <c r="O227" t="s">
        <v>28</v>
      </c>
      <c r="P227" t="s">
        <v>1670</v>
      </c>
      <c r="Q227" t="s">
        <v>58</v>
      </c>
      <c r="R227" t="str">
        <f>IF(Table14[[#This Row],[Resolution_Time]]&gt;Table14[[#This Row],[SLA_Target]],"No", "Yes")</f>
        <v>No</v>
      </c>
      <c r="S227" t="str">
        <f>IF(Table14[[#This Row],[Calculated_SLA]]=Table14[[#This Row],[SLA_Met]],"Match","Mismatch")</f>
        <v>Match</v>
      </c>
      <c r="T227">
        <f>IF(Table14[[#This Row],[Calculated_SLA]]="Yes",1,0)</f>
        <v>0</v>
      </c>
      <c r="U227" t="str">
        <f>IF(COUNTIFS(Reference_data!A:A,Table14[[#This Row],[Category]],Reference_data!B:B,Table14[[#This Row],[Subcategory]])&gt;0,"Valid","Invalid")</f>
        <v>Valid</v>
      </c>
    </row>
    <row r="228" spans="1:21">
      <c r="A228" t="s">
        <v>748</v>
      </c>
      <c r="B228" t="s">
        <v>60</v>
      </c>
      <c r="C228" s="31" t="s">
        <v>1879</v>
      </c>
      <c r="D228" s="32" t="s">
        <v>2246</v>
      </c>
      <c r="E228" t="s">
        <v>44</v>
      </c>
      <c r="F228" t="s">
        <v>45</v>
      </c>
      <c r="G228" t="s">
        <v>46</v>
      </c>
      <c r="H228" t="s">
        <v>138</v>
      </c>
      <c r="I228" t="s">
        <v>48</v>
      </c>
      <c r="J228">
        <v>1.9</v>
      </c>
      <c r="K228">
        <v>8</v>
      </c>
      <c r="L228" t="s">
        <v>26</v>
      </c>
      <c r="M228">
        <v>5</v>
      </c>
      <c r="N228" t="s">
        <v>27</v>
      </c>
      <c r="O228" t="s">
        <v>28</v>
      </c>
      <c r="P228" t="s">
        <v>29</v>
      </c>
      <c r="Q228" t="s">
        <v>30</v>
      </c>
      <c r="R228" t="str">
        <f>IF(Table14[[#This Row],[Resolution_Time]]&gt;Table14[[#This Row],[SLA_Target]],"No", "Yes")</f>
        <v>Yes</v>
      </c>
      <c r="S228" t="str">
        <f>IF(Table14[[#This Row],[Calculated_SLA]]=Table14[[#This Row],[SLA_Met]],"Match","Mismatch")</f>
        <v>Match</v>
      </c>
      <c r="T228">
        <f>IF(Table14[[#This Row],[Calculated_SLA]]="Yes",1,0)</f>
        <v>1</v>
      </c>
      <c r="U228" t="str">
        <f>IF(COUNTIFS(Reference_data!A:A,Table14[[#This Row],[Category]],Reference_data!B:B,Table14[[#This Row],[Subcategory]])&gt;0,"Valid","Invalid")</f>
        <v>Valid</v>
      </c>
    </row>
    <row r="229" spans="1:21">
      <c r="A229" t="s">
        <v>751</v>
      </c>
      <c r="B229" t="s">
        <v>75</v>
      </c>
      <c r="C229" s="31" t="s">
        <v>1693</v>
      </c>
      <c r="D229" s="32" t="s">
        <v>2247</v>
      </c>
      <c r="E229" t="s">
        <v>78</v>
      </c>
      <c r="F229" t="s">
        <v>191</v>
      </c>
      <c r="G229" t="s">
        <v>46</v>
      </c>
      <c r="H229" t="s">
        <v>24</v>
      </c>
      <c r="I229" t="s">
        <v>38</v>
      </c>
      <c r="J229">
        <v>14.5</v>
      </c>
      <c r="K229">
        <v>8</v>
      </c>
      <c r="L229" t="s">
        <v>27</v>
      </c>
      <c r="M229">
        <v>3</v>
      </c>
      <c r="N229" t="s">
        <v>27</v>
      </c>
      <c r="O229" t="s">
        <v>28</v>
      </c>
      <c r="P229" t="s">
        <v>57</v>
      </c>
      <c r="Q229" t="s">
        <v>58</v>
      </c>
      <c r="R229" t="str">
        <f>IF(Table14[[#This Row],[Resolution_Time]]&gt;Table14[[#This Row],[SLA_Target]],"No", "Yes")</f>
        <v>No</v>
      </c>
      <c r="S229" t="str">
        <f>IF(Table14[[#This Row],[Calculated_SLA]]=Table14[[#This Row],[SLA_Met]],"Match","Mismatch")</f>
        <v>Match</v>
      </c>
      <c r="T229">
        <f>IF(Table14[[#This Row],[Calculated_SLA]]="Yes",1,0)</f>
        <v>0</v>
      </c>
      <c r="U229" t="str">
        <f>IF(COUNTIFS(Reference_data!A:A,Table14[[#This Row],[Category]],Reference_data!B:B,Table14[[#This Row],[Subcategory]])&gt;0,"Valid","Invalid")</f>
        <v>Valid</v>
      </c>
    </row>
    <row r="230" spans="1:21">
      <c r="A230" t="s">
        <v>754</v>
      </c>
      <c r="B230" t="s">
        <v>121</v>
      </c>
      <c r="C230" s="31" t="s">
        <v>1880</v>
      </c>
      <c r="D230" s="32" t="s">
        <v>2248</v>
      </c>
      <c r="E230" t="s">
        <v>35</v>
      </c>
      <c r="F230" t="s">
        <v>53</v>
      </c>
      <c r="G230" t="s">
        <v>23</v>
      </c>
      <c r="H230" t="s">
        <v>47</v>
      </c>
      <c r="I230" t="s">
        <v>56</v>
      </c>
      <c r="J230">
        <v>7.4</v>
      </c>
      <c r="K230">
        <v>24</v>
      </c>
      <c r="L230" t="s">
        <v>26</v>
      </c>
      <c r="M230">
        <v>4</v>
      </c>
      <c r="N230" t="s">
        <v>27</v>
      </c>
      <c r="O230" t="s">
        <v>28</v>
      </c>
      <c r="P230" t="s">
        <v>29</v>
      </c>
      <c r="Q230" t="s">
        <v>101</v>
      </c>
      <c r="R230" t="str">
        <f>IF(Table14[[#This Row],[Resolution_Time]]&gt;Table14[[#This Row],[SLA_Target]],"No", "Yes")</f>
        <v>Yes</v>
      </c>
      <c r="S230" t="str">
        <f>IF(Table14[[#This Row],[Calculated_SLA]]=Table14[[#This Row],[SLA_Met]],"Match","Mismatch")</f>
        <v>Match</v>
      </c>
      <c r="T230">
        <f>IF(Table14[[#This Row],[Calculated_SLA]]="Yes",1,0)</f>
        <v>1</v>
      </c>
      <c r="U230" t="str">
        <f>IF(COUNTIFS(Reference_data!A:A,Table14[[#This Row],[Category]],Reference_data!B:B,Table14[[#This Row],[Subcategory]])&gt;0,"Valid","Invalid")</f>
        <v>Valid</v>
      </c>
    </row>
    <row r="231" spans="1:21">
      <c r="A231" t="s">
        <v>757</v>
      </c>
      <c r="B231" t="s">
        <v>32</v>
      </c>
      <c r="C231" s="31" t="s">
        <v>1881</v>
      </c>
      <c r="D231" s="32" t="s">
        <v>2249</v>
      </c>
      <c r="E231" t="s">
        <v>21</v>
      </c>
      <c r="F231" t="s">
        <v>63</v>
      </c>
      <c r="G231" t="s">
        <v>46</v>
      </c>
      <c r="H231" t="s">
        <v>138</v>
      </c>
      <c r="I231" t="s">
        <v>25</v>
      </c>
      <c r="J231">
        <v>13</v>
      </c>
      <c r="K231">
        <v>8</v>
      </c>
      <c r="L231" t="s">
        <v>27</v>
      </c>
      <c r="M231">
        <v>3</v>
      </c>
      <c r="N231" t="s">
        <v>27</v>
      </c>
      <c r="O231" t="s">
        <v>28</v>
      </c>
      <c r="P231" t="s">
        <v>1670</v>
      </c>
      <c r="Q231" t="s">
        <v>101</v>
      </c>
      <c r="R231" t="str">
        <f>IF(Table14[[#This Row],[Resolution_Time]]&gt;Table14[[#This Row],[SLA_Target]],"No", "Yes")</f>
        <v>No</v>
      </c>
      <c r="S231" t="str">
        <f>IF(Table14[[#This Row],[Calculated_SLA]]=Table14[[#This Row],[SLA_Met]],"Match","Mismatch")</f>
        <v>Match</v>
      </c>
      <c r="T231">
        <f>IF(Table14[[#This Row],[Calculated_SLA]]="Yes",1,0)</f>
        <v>0</v>
      </c>
      <c r="U231" t="str">
        <f>IF(COUNTIFS(Reference_data!A:A,Table14[[#This Row],[Category]],Reference_data!B:B,Table14[[#This Row],[Subcategory]])&gt;0,"Valid","Invalid")</f>
        <v>Valid</v>
      </c>
    </row>
    <row r="232" spans="1:21">
      <c r="A232" t="s">
        <v>760</v>
      </c>
      <c r="B232" t="s">
        <v>135</v>
      </c>
      <c r="C232" s="31" t="s">
        <v>1754</v>
      </c>
      <c r="D232" s="32" t="s">
        <v>2250</v>
      </c>
      <c r="E232" t="s">
        <v>21</v>
      </c>
      <c r="F232" t="s">
        <v>22</v>
      </c>
      <c r="G232" t="s">
        <v>23</v>
      </c>
      <c r="H232" t="s">
        <v>91</v>
      </c>
      <c r="I232" t="s">
        <v>25</v>
      </c>
      <c r="J232">
        <v>14.4</v>
      </c>
      <c r="K232">
        <v>24</v>
      </c>
      <c r="L232" t="s">
        <v>26</v>
      </c>
      <c r="M232" t="s">
        <v>2448</v>
      </c>
      <c r="N232" t="s">
        <v>27</v>
      </c>
      <c r="O232" t="s">
        <v>28</v>
      </c>
      <c r="P232" t="s">
        <v>29</v>
      </c>
      <c r="Q232" t="s">
        <v>39</v>
      </c>
      <c r="R232" t="str">
        <f>IF(Table14[[#This Row],[Resolution_Time]]&gt;Table14[[#This Row],[SLA_Target]],"No", "Yes")</f>
        <v>Yes</v>
      </c>
      <c r="S232" t="str">
        <f>IF(Table14[[#This Row],[Calculated_SLA]]=Table14[[#This Row],[SLA_Met]],"Match","Mismatch")</f>
        <v>Match</v>
      </c>
      <c r="T232">
        <f>IF(Table14[[#This Row],[Calculated_SLA]]="Yes",1,0)</f>
        <v>1</v>
      </c>
      <c r="U232" t="str">
        <f>IF(COUNTIFS(Reference_data!A:A,Table14[[#This Row],[Category]],Reference_data!B:B,Table14[[#This Row],[Subcategory]])&gt;0,"Valid","Invalid")</f>
        <v>Valid</v>
      </c>
    </row>
    <row r="233" spans="1:21">
      <c r="A233" t="s">
        <v>763</v>
      </c>
      <c r="B233" t="s">
        <v>75</v>
      </c>
      <c r="C233" s="31" t="s">
        <v>1869</v>
      </c>
      <c r="D233" s="32" t="s">
        <v>2251</v>
      </c>
      <c r="E233" t="s">
        <v>21</v>
      </c>
      <c r="F233" t="s">
        <v>22</v>
      </c>
      <c r="G233" t="s">
        <v>23</v>
      </c>
      <c r="H233" t="s">
        <v>234</v>
      </c>
      <c r="I233" t="s">
        <v>25</v>
      </c>
      <c r="J233">
        <v>10.199999999999999</v>
      </c>
      <c r="K233">
        <v>24</v>
      </c>
      <c r="L233" t="s">
        <v>26</v>
      </c>
      <c r="M233">
        <v>5</v>
      </c>
      <c r="N233" t="s">
        <v>27</v>
      </c>
      <c r="O233" t="s">
        <v>28</v>
      </c>
      <c r="P233" t="s">
        <v>29</v>
      </c>
      <c r="Q233" t="s">
        <v>30</v>
      </c>
      <c r="R233" t="str">
        <f>IF(Table14[[#This Row],[Resolution_Time]]&gt;Table14[[#This Row],[SLA_Target]],"No", "Yes")</f>
        <v>Yes</v>
      </c>
      <c r="S233" t="str">
        <f>IF(Table14[[#This Row],[Calculated_SLA]]=Table14[[#This Row],[SLA_Met]],"Match","Mismatch")</f>
        <v>Match</v>
      </c>
      <c r="T233">
        <f>IF(Table14[[#This Row],[Calculated_SLA]]="Yes",1,0)</f>
        <v>1</v>
      </c>
      <c r="U233" t="str">
        <f>IF(COUNTIFS(Reference_data!A:A,Table14[[#This Row],[Category]],Reference_data!B:B,Table14[[#This Row],[Subcategory]])&gt;0,"Valid","Invalid")</f>
        <v>Valid</v>
      </c>
    </row>
    <row r="234" spans="1:21">
      <c r="A234" t="s">
        <v>766</v>
      </c>
      <c r="B234" t="s">
        <v>121</v>
      </c>
      <c r="C234" s="31" t="s">
        <v>1882</v>
      </c>
      <c r="D234" s="32" t="s">
        <v>2252</v>
      </c>
      <c r="E234" t="s">
        <v>21</v>
      </c>
      <c r="F234" t="s">
        <v>22</v>
      </c>
      <c r="G234" t="s">
        <v>23</v>
      </c>
      <c r="H234" t="s">
        <v>24</v>
      </c>
      <c r="I234" t="s">
        <v>25</v>
      </c>
      <c r="J234">
        <v>13.7</v>
      </c>
      <c r="K234">
        <v>24</v>
      </c>
      <c r="L234" t="s">
        <v>26</v>
      </c>
      <c r="M234">
        <v>4</v>
      </c>
      <c r="N234" t="s">
        <v>27</v>
      </c>
      <c r="O234" t="s">
        <v>28</v>
      </c>
      <c r="P234" t="s">
        <v>29</v>
      </c>
      <c r="Q234" t="s">
        <v>58</v>
      </c>
      <c r="R234" t="str">
        <f>IF(Table14[[#This Row],[Resolution_Time]]&gt;Table14[[#This Row],[SLA_Target]],"No", "Yes")</f>
        <v>Yes</v>
      </c>
      <c r="S234" t="str">
        <f>IF(Table14[[#This Row],[Calculated_SLA]]=Table14[[#This Row],[SLA_Met]],"Match","Mismatch")</f>
        <v>Match</v>
      </c>
      <c r="T234">
        <f>IF(Table14[[#This Row],[Calculated_SLA]]="Yes",1,0)</f>
        <v>1</v>
      </c>
      <c r="U234" t="str">
        <f>IF(COUNTIFS(Reference_data!A:A,Table14[[#This Row],[Category]],Reference_data!B:B,Table14[[#This Row],[Subcategory]])&gt;0,"Valid","Invalid")</f>
        <v>Valid</v>
      </c>
    </row>
    <row r="235" spans="1:21">
      <c r="A235" t="s">
        <v>769</v>
      </c>
      <c r="B235" t="s">
        <v>32</v>
      </c>
      <c r="C235" s="31" t="s">
        <v>1833</v>
      </c>
      <c r="D235" s="32" t="s">
        <v>1740</v>
      </c>
      <c r="E235" t="s">
        <v>78</v>
      </c>
      <c r="F235" t="s">
        <v>191</v>
      </c>
      <c r="G235" t="s">
        <v>23</v>
      </c>
      <c r="H235" t="s">
        <v>138</v>
      </c>
      <c r="I235" t="s">
        <v>38</v>
      </c>
      <c r="J235">
        <v>18.100000000000001</v>
      </c>
      <c r="K235">
        <v>24</v>
      </c>
      <c r="L235" t="s">
        <v>26</v>
      </c>
      <c r="M235">
        <v>4</v>
      </c>
      <c r="N235" t="s">
        <v>27</v>
      </c>
      <c r="O235" t="s">
        <v>28</v>
      </c>
      <c r="P235" t="s">
        <v>29</v>
      </c>
      <c r="Q235" t="s">
        <v>39</v>
      </c>
      <c r="R235" t="str">
        <f>IF(Table14[[#This Row],[Resolution_Time]]&gt;Table14[[#This Row],[SLA_Target]],"No", "Yes")</f>
        <v>Yes</v>
      </c>
      <c r="S235" t="str">
        <f>IF(Table14[[#This Row],[Calculated_SLA]]=Table14[[#This Row],[SLA_Met]],"Match","Mismatch")</f>
        <v>Match</v>
      </c>
      <c r="T235">
        <f>IF(Table14[[#This Row],[Calculated_SLA]]="Yes",1,0)</f>
        <v>1</v>
      </c>
      <c r="U235" t="str">
        <f>IF(COUNTIFS(Reference_data!A:A,Table14[[#This Row],[Category]],Reference_data!B:B,Table14[[#This Row],[Subcategory]])&gt;0,"Valid","Invalid")</f>
        <v>Valid</v>
      </c>
    </row>
    <row r="236" spans="1:21">
      <c r="A236" t="s">
        <v>772</v>
      </c>
      <c r="B236" t="s">
        <v>18</v>
      </c>
      <c r="C236" s="31" t="s">
        <v>1798</v>
      </c>
      <c r="D236" s="32" t="s">
        <v>1776</v>
      </c>
      <c r="E236" t="s">
        <v>44</v>
      </c>
      <c r="F236" t="s">
        <v>45</v>
      </c>
      <c r="G236" t="s">
        <v>46</v>
      </c>
      <c r="H236" t="s">
        <v>47</v>
      </c>
      <c r="I236" t="s">
        <v>48</v>
      </c>
      <c r="J236">
        <v>3.3</v>
      </c>
      <c r="K236">
        <v>8</v>
      </c>
      <c r="L236" t="s">
        <v>27</v>
      </c>
      <c r="M236">
        <v>3</v>
      </c>
      <c r="N236" t="s">
        <v>26</v>
      </c>
      <c r="O236" t="s">
        <v>28</v>
      </c>
      <c r="P236" t="s">
        <v>57</v>
      </c>
      <c r="Q236" t="s">
        <v>39</v>
      </c>
      <c r="R236" t="str">
        <f>IF(Table14[[#This Row],[Resolution_Time]]&gt;Table14[[#This Row],[SLA_Target]],"No", "Yes")</f>
        <v>Yes</v>
      </c>
      <c r="S236" t="str">
        <f>IF(Table14[[#This Row],[Calculated_SLA]]=Table14[[#This Row],[SLA_Met]],"Match","Mismatch")</f>
        <v>Mismatch</v>
      </c>
      <c r="T236">
        <f>IF(Table14[[#This Row],[Calculated_SLA]]="Yes",1,0)</f>
        <v>1</v>
      </c>
      <c r="U236" t="str">
        <f>IF(COUNTIFS(Reference_data!A:A,Table14[[#This Row],[Category]],Reference_data!B:B,Table14[[#This Row],[Subcategory]])&gt;0,"Valid","Invalid")</f>
        <v>Valid</v>
      </c>
    </row>
    <row r="237" spans="1:21">
      <c r="A237" t="s">
        <v>775</v>
      </c>
      <c r="B237" t="s">
        <v>121</v>
      </c>
      <c r="C237" s="31" t="s">
        <v>1777</v>
      </c>
      <c r="D237" s="32" t="s">
        <v>2253</v>
      </c>
      <c r="E237" t="s">
        <v>21</v>
      </c>
      <c r="F237" t="s">
        <v>22</v>
      </c>
      <c r="G237" t="s">
        <v>23</v>
      </c>
      <c r="H237" t="s">
        <v>91</v>
      </c>
      <c r="I237" t="s">
        <v>25</v>
      </c>
      <c r="J237">
        <v>10.1</v>
      </c>
      <c r="K237">
        <v>24</v>
      </c>
      <c r="L237" t="s">
        <v>26</v>
      </c>
      <c r="M237" t="s">
        <v>2448</v>
      </c>
      <c r="N237" t="s">
        <v>27</v>
      </c>
      <c r="O237" t="s">
        <v>28</v>
      </c>
      <c r="P237" t="s">
        <v>29</v>
      </c>
      <c r="Q237" t="s">
        <v>101</v>
      </c>
      <c r="R237" t="str">
        <f>IF(Table14[[#This Row],[Resolution_Time]]&gt;Table14[[#This Row],[SLA_Target]],"No", "Yes")</f>
        <v>Yes</v>
      </c>
      <c r="S237" t="str">
        <f>IF(Table14[[#This Row],[Calculated_SLA]]=Table14[[#This Row],[SLA_Met]],"Match","Mismatch")</f>
        <v>Match</v>
      </c>
      <c r="T237">
        <f>IF(Table14[[#This Row],[Calculated_SLA]]="Yes",1,0)</f>
        <v>1</v>
      </c>
      <c r="U237" t="str">
        <f>IF(COUNTIFS(Reference_data!A:A,Table14[[#This Row],[Category]],Reference_data!B:B,Table14[[#This Row],[Subcategory]])&gt;0,"Valid","Invalid")</f>
        <v>Valid</v>
      </c>
    </row>
    <row r="238" spans="1:21">
      <c r="A238" t="s">
        <v>778</v>
      </c>
      <c r="B238" t="s">
        <v>41</v>
      </c>
      <c r="C238" s="31" t="s">
        <v>1883</v>
      </c>
      <c r="D238" s="32" t="s">
        <v>2254</v>
      </c>
      <c r="E238" t="s">
        <v>84</v>
      </c>
      <c r="F238" t="s">
        <v>116</v>
      </c>
      <c r="G238" t="s">
        <v>54</v>
      </c>
      <c r="H238" t="s">
        <v>24</v>
      </c>
      <c r="I238" t="s">
        <v>87</v>
      </c>
      <c r="J238">
        <v>9.4</v>
      </c>
      <c r="K238">
        <v>4</v>
      </c>
      <c r="L238" t="s">
        <v>27</v>
      </c>
      <c r="M238">
        <v>2</v>
      </c>
      <c r="N238" t="s">
        <v>27</v>
      </c>
      <c r="O238" t="s">
        <v>28</v>
      </c>
      <c r="P238" t="s">
        <v>57</v>
      </c>
      <c r="Q238" t="s">
        <v>39</v>
      </c>
      <c r="R238" t="str">
        <f>IF(Table14[[#This Row],[Resolution_Time]]&gt;Table14[[#This Row],[SLA_Target]],"No", "Yes")</f>
        <v>No</v>
      </c>
      <c r="S238" t="str">
        <f>IF(Table14[[#This Row],[Calculated_SLA]]=Table14[[#This Row],[SLA_Met]],"Match","Mismatch")</f>
        <v>Match</v>
      </c>
      <c r="T238">
        <f>IF(Table14[[#This Row],[Calculated_SLA]]="Yes",1,0)</f>
        <v>0</v>
      </c>
      <c r="U238" t="str">
        <f>IF(COUNTIFS(Reference_data!A:A,Table14[[#This Row],[Category]],Reference_data!B:B,Table14[[#This Row],[Subcategory]])&gt;0,"Valid","Invalid")</f>
        <v>Valid</v>
      </c>
    </row>
    <row r="239" spans="1:21">
      <c r="A239" t="s">
        <v>781</v>
      </c>
      <c r="B239" t="s">
        <v>60</v>
      </c>
      <c r="C239" s="31" t="s">
        <v>1721</v>
      </c>
      <c r="D239" s="32" t="s">
        <v>2255</v>
      </c>
      <c r="E239" t="s">
        <v>21</v>
      </c>
      <c r="F239" t="s">
        <v>63</v>
      </c>
      <c r="G239" t="s">
        <v>46</v>
      </c>
      <c r="H239" t="s">
        <v>70</v>
      </c>
      <c r="I239" t="s">
        <v>25</v>
      </c>
      <c r="J239">
        <v>9.5</v>
      </c>
      <c r="K239">
        <v>8</v>
      </c>
      <c r="L239" t="s">
        <v>27</v>
      </c>
      <c r="M239">
        <v>2</v>
      </c>
      <c r="N239" t="s">
        <v>26</v>
      </c>
      <c r="O239" t="s">
        <v>28</v>
      </c>
      <c r="P239" t="s">
        <v>57</v>
      </c>
      <c r="Q239" t="s">
        <v>101</v>
      </c>
      <c r="R239" t="str">
        <f>IF(Table14[[#This Row],[Resolution_Time]]&gt;Table14[[#This Row],[SLA_Target]],"No", "Yes")</f>
        <v>No</v>
      </c>
      <c r="S239" t="str">
        <f>IF(Table14[[#This Row],[Calculated_SLA]]=Table14[[#This Row],[SLA_Met]],"Match","Mismatch")</f>
        <v>Match</v>
      </c>
      <c r="T239">
        <f>IF(Table14[[#This Row],[Calculated_SLA]]="Yes",1,0)</f>
        <v>0</v>
      </c>
      <c r="U239" t="str">
        <f>IF(COUNTIFS(Reference_data!A:A,Table14[[#This Row],[Category]],Reference_data!B:B,Table14[[#This Row],[Subcategory]])&gt;0,"Valid","Invalid")</f>
        <v>Valid</v>
      </c>
    </row>
    <row r="240" spans="1:21">
      <c r="A240" t="s">
        <v>784</v>
      </c>
      <c r="B240" t="s">
        <v>106</v>
      </c>
      <c r="C240" s="31" t="s">
        <v>1712</v>
      </c>
      <c r="D240" s="32" t="s">
        <v>2256</v>
      </c>
      <c r="E240" t="s">
        <v>21</v>
      </c>
      <c r="F240" t="s">
        <v>22</v>
      </c>
      <c r="G240" t="s">
        <v>46</v>
      </c>
      <c r="H240" t="s">
        <v>55</v>
      </c>
      <c r="I240" t="s">
        <v>25</v>
      </c>
      <c r="J240">
        <v>14.5</v>
      </c>
      <c r="K240">
        <v>8</v>
      </c>
      <c r="L240" t="s">
        <v>27</v>
      </c>
      <c r="M240">
        <v>2</v>
      </c>
      <c r="N240" t="s">
        <v>27</v>
      </c>
      <c r="O240" t="s">
        <v>28</v>
      </c>
      <c r="P240" t="s">
        <v>1670</v>
      </c>
      <c r="Q240" t="s">
        <v>58</v>
      </c>
      <c r="R240" t="str">
        <f>IF(Table14[[#This Row],[Resolution_Time]]&gt;Table14[[#This Row],[SLA_Target]],"No", "Yes")</f>
        <v>No</v>
      </c>
      <c r="S240" t="str">
        <f>IF(Table14[[#This Row],[Calculated_SLA]]=Table14[[#This Row],[SLA_Met]],"Match","Mismatch")</f>
        <v>Match</v>
      </c>
      <c r="T240">
        <f>IF(Table14[[#This Row],[Calculated_SLA]]="Yes",1,0)</f>
        <v>0</v>
      </c>
      <c r="U240" t="str">
        <f>IF(COUNTIFS(Reference_data!A:A,Table14[[#This Row],[Category]],Reference_data!B:B,Table14[[#This Row],[Subcategory]])&gt;0,"Valid","Invalid")</f>
        <v>Valid</v>
      </c>
    </row>
    <row r="241" spans="1:21">
      <c r="A241" t="s">
        <v>787</v>
      </c>
      <c r="B241" t="s">
        <v>135</v>
      </c>
      <c r="C241" s="31" t="s">
        <v>1884</v>
      </c>
      <c r="D241" s="32" t="s">
        <v>1811</v>
      </c>
      <c r="E241" t="s">
        <v>84</v>
      </c>
      <c r="F241" t="s">
        <v>116</v>
      </c>
      <c r="G241" t="s">
        <v>46</v>
      </c>
      <c r="H241" t="s">
        <v>91</v>
      </c>
      <c r="I241" t="s">
        <v>87</v>
      </c>
      <c r="J241">
        <v>4</v>
      </c>
      <c r="K241">
        <v>8</v>
      </c>
      <c r="L241" t="s">
        <v>26</v>
      </c>
      <c r="M241">
        <v>5</v>
      </c>
      <c r="N241" t="s">
        <v>27</v>
      </c>
      <c r="O241" t="s">
        <v>28</v>
      </c>
      <c r="P241" t="s">
        <v>29</v>
      </c>
      <c r="Q241" t="s">
        <v>58</v>
      </c>
      <c r="R241" t="str">
        <f>IF(Table14[[#This Row],[Resolution_Time]]&gt;Table14[[#This Row],[SLA_Target]],"No", "Yes")</f>
        <v>Yes</v>
      </c>
      <c r="S241" t="str">
        <f>IF(Table14[[#This Row],[Calculated_SLA]]=Table14[[#This Row],[SLA_Met]],"Match","Mismatch")</f>
        <v>Match</v>
      </c>
      <c r="T241">
        <f>IF(Table14[[#This Row],[Calculated_SLA]]="Yes",1,0)</f>
        <v>1</v>
      </c>
      <c r="U241" t="str">
        <f>IF(COUNTIFS(Reference_data!A:A,Table14[[#This Row],[Category]],Reference_data!B:B,Table14[[#This Row],[Subcategory]])&gt;0,"Valid","Invalid")</f>
        <v>Valid</v>
      </c>
    </row>
    <row r="242" spans="1:21">
      <c r="A242" t="s">
        <v>790</v>
      </c>
      <c r="B242" t="s">
        <v>41</v>
      </c>
      <c r="C242" s="31" t="s">
        <v>1885</v>
      </c>
      <c r="D242" s="32" t="s">
        <v>2257</v>
      </c>
      <c r="E242" t="s">
        <v>21</v>
      </c>
      <c r="F242" t="s">
        <v>22</v>
      </c>
      <c r="G242" t="s">
        <v>54</v>
      </c>
      <c r="H242" t="s">
        <v>86</v>
      </c>
      <c r="I242" t="s">
        <v>25</v>
      </c>
      <c r="J242">
        <v>12.3</v>
      </c>
      <c r="K242">
        <v>4</v>
      </c>
      <c r="L242" t="s">
        <v>27</v>
      </c>
      <c r="M242">
        <v>3</v>
      </c>
      <c r="N242" t="s">
        <v>26</v>
      </c>
      <c r="O242" t="s">
        <v>28</v>
      </c>
      <c r="P242" t="s">
        <v>57</v>
      </c>
      <c r="Q242" t="s">
        <v>58</v>
      </c>
      <c r="R242" t="str">
        <f>IF(Table14[[#This Row],[Resolution_Time]]&gt;Table14[[#This Row],[SLA_Target]],"No", "Yes")</f>
        <v>No</v>
      </c>
      <c r="S242" t="str">
        <f>IF(Table14[[#This Row],[Calculated_SLA]]=Table14[[#This Row],[SLA_Met]],"Match","Mismatch")</f>
        <v>Match</v>
      </c>
      <c r="T242">
        <f>IF(Table14[[#This Row],[Calculated_SLA]]="Yes",1,0)</f>
        <v>0</v>
      </c>
      <c r="U242" t="str">
        <f>IF(COUNTIFS(Reference_data!A:A,Table14[[#This Row],[Category]],Reference_data!B:B,Table14[[#This Row],[Subcategory]])&gt;0,"Valid","Invalid")</f>
        <v>Valid</v>
      </c>
    </row>
    <row r="243" spans="1:21">
      <c r="A243" t="s">
        <v>793</v>
      </c>
      <c r="B243" t="s">
        <v>66</v>
      </c>
      <c r="C243" s="31" t="s">
        <v>1842</v>
      </c>
      <c r="D243" s="32" t="s">
        <v>2258</v>
      </c>
      <c r="E243" t="s">
        <v>21</v>
      </c>
      <c r="F243" t="s">
        <v>69</v>
      </c>
      <c r="G243" t="s">
        <v>23</v>
      </c>
      <c r="H243" t="s">
        <v>37</v>
      </c>
      <c r="I243" t="s">
        <v>25</v>
      </c>
      <c r="J243">
        <v>9.9</v>
      </c>
      <c r="K243">
        <v>24</v>
      </c>
      <c r="L243" t="s">
        <v>26</v>
      </c>
      <c r="M243">
        <v>4</v>
      </c>
      <c r="N243" t="s">
        <v>27</v>
      </c>
      <c r="O243" t="s">
        <v>28</v>
      </c>
      <c r="P243" t="s">
        <v>29</v>
      </c>
      <c r="Q243" t="s">
        <v>58</v>
      </c>
      <c r="R243" t="str">
        <f>IF(Table14[[#This Row],[Resolution_Time]]&gt;Table14[[#This Row],[SLA_Target]],"No", "Yes")</f>
        <v>Yes</v>
      </c>
      <c r="S243" t="str">
        <f>IF(Table14[[#This Row],[Calculated_SLA]]=Table14[[#This Row],[SLA_Met]],"Match","Mismatch")</f>
        <v>Match</v>
      </c>
      <c r="T243">
        <f>IF(Table14[[#This Row],[Calculated_SLA]]="Yes",1,0)</f>
        <v>1</v>
      </c>
      <c r="U243" t="str">
        <f>IF(COUNTIFS(Reference_data!A:A,Table14[[#This Row],[Category]],Reference_data!B:B,Table14[[#This Row],[Subcategory]])&gt;0,"Valid","Invalid")</f>
        <v>Valid</v>
      </c>
    </row>
    <row r="244" spans="1:21">
      <c r="A244" t="s">
        <v>795</v>
      </c>
      <c r="B244" t="s">
        <v>135</v>
      </c>
      <c r="C244" s="31" t="s">
        <v>1770</v>
      </c>
      <c r="D244" s="32" t="s">
        <v>2259</v>
      </c>
      <c r="E244" t="s">
        <v>21</v>
      </c>
      <c r="F244" t="s">
        <v>63</v>
      </c>
      <c r="G244" t="s">
        <v>54</v>
      </c>
      <c r="H244" t="s">
        <v>55</v>
      </c>
      <c r="I244" t="s">
        <v>25</v>
      </c>
      <c r="J244">
        <v>14.3</v>
      </c>
      <c r="K244">
        <v>4</v>
      </c>
      <c r="L244" t="s">
        <v>27</v>
      </c>
      <c r="M244">
        <v>1</v>
      </c>
      <c r="N244" t="s">
        <v>27</v>
      </c>
      <c r="O244" t="s">
        <v>28</v>
      </c>
      <c r="P244" t="s">
        <v>1670</v>
      </c>
      <c r="Q244" t="s">
        <v>101</v>
      </c>
      <c r="R244" t="str">
        <f>IF(Table14[[#This Row],[Resolution_Time]]&gt;Table14[[#This Row],[SLA_Target]],"No", "Yes")</f>
        <v>No</v>
      </c>
      <c r="S244" t="str">
        <f>IF(Table14[[#This Row],[Calculated_SLA]]=Table14[[#This Row],[SLA_Met]],"Match","Mismatch")</f>
        <v>Match</v>
      </c>
      <c r="T244">
        <f>IF(Table14[[#This Row],[Calculated_SLA]]="Yes",1,0)</f>
        <v>0</v>
      </c>
      <c r="U244" t="str">
        <f>IF(COUNTIFS(Reference_data!A:A,Table14[[#This Row],[Category]],Reference_data!B:B,Table14[[#This Row],[Subcategory]])&gt;0,"Valid","Invalid")</f>
        <v>Valid</v>
      </c>
    </row>
    <row r="245" spans="1:21">
      <c r="A245" t="s">
        <v>798</v>
      </c>
      <c r="B245" t="s">
        <v>50</v>
      </c>
      <c r="C245" s="31" t="s">
        <v>1886</v>
      </c>
      <c r="D245" s="32" t="s">
        <v>2260</v>
      </c>
      <c r="E245" t="s">
        <v>78</v>
      </c>
      <c r="F245" t="s">
        <v>191</v>
      </c>
      <c r="G245" t="s">
        <v>46</v>
      </c>
      <c r="H245" t="s">
        <v>234</v>
      </c>
      <c r="I245" t="s">
        <v>38</v>
      </c>
      <c r="J245">
        <v>13.6</v>
      </c>
      <c r="K245">
        <v>8</v>
      </c>
      <c r="L245" t="s">
        <v>27</v>
      </c>
      <c r="M245">
        <v>2</v>
      </c>
      <c r="N245" t="s">
        <v>27</v>
      </c>
      <c r="O245" t="s">
        <v>28</v>
      </c>
      <c r="P245" t="s">
        <v>57</v>
      </c>
      <c r="Q245" t="s">
        <v>39</v>
      </c>
      <c r="R245" t="str">
        <f>IF(Table14[[#This Row],[Resolution_Time]]&gt;Table14[[#This Row],[SLA_Target]],"No", "Yes")</f>
        <v>No</v>
      </c>
      <c r="S245" t="str">
        <f>IF(Table14[[#This Row],[Calculated_SLA]]=Table14[[#This Row],[SLA_Met]],"Match","Mismatch")</f>
        <v>Match</v>
      </c>
      <c r="T245">
        <f>IF(Table14[[#This Row],[Calculated_SLA]]="Yes",1,0)</f>
        <v>0</v>
      </c>
      <c r="U245" t="str">
        <f>IF(COUNTIFS(Reference_data!A:A,Table14[[#This Row],[Category]],Reference_data!B:B,Table14[[#This Row],[Subcategory]])&gt;0,"Valid","Invalid")</f>
        <v>Valid</v>
      </c>
    </row>
    <row r="246" spans="1:21">
      <c r="A246" t="s">
        <v>801</v>
      </c>
      <c r="B246" t="s">
        <v>32</v>
      </c>
      <c r="C246" s="31" t="s">
        <v>1887</v>
      </c>
      <c r="D246" s="32" t="s">
        <v>2261</v>
      </c>
      <c r="E246" t="s">
        <v>35</v>
      </c>
      <c r="F246" t="s">
        <v>127</v>
      </c>
      <c r="G246" t="s">
        <v>54</v>
      </c>
      <c r="H246" t="s">
        <v>24</v>
      </c>
      <c r="I246" t="s">
        <v>56</v>
      </c>
      <c r="J246">
        <v>15.4</v>
      </c>
      <c r="K246">
        <v>4</v>
      </c>
      <c r="L246" t="s">
        <v>27</v>
      </c>
      <c r="M246">
        <v>1</v>
      </c>
      <c r="N246" t="s">
        <v>26</v>
      </c>
      <c r="O246" t="s">
        <v>28</v>
      </c>
      <c r="P246" t="s">
        <v>1670</v>
      </c>
      <c r="Q246" t="s">
        <v>101</v>
      </c>
      <c r="R246" t="str">
        <f>IF(Table14[[#This Row],[Resolution_Time]]&gt;Table14[[#This Row],[SLA_Target]],"No", "Yes")</f>
        <v>No</v>
      </c>
      <c r="S246" t="str">
        <f>IF(Table14[[#This Row],[Calculated_SLA]]=Table14[[#This Row],[SLA_Met]],"Match","Mismatch")</f>
        <v>Match</v>
      </c>
      <c r="T246">
        <f>IF(Table14[[#This Row],[Calculated_SLA]]="Yes",1,0)</f>
        <v>0</v>
      </c>
      <c r="U246" t="str">
        <f>IF(COUNTIFS(Reference_data!A:A,Table14[[#This Row],[Category]],Reference_data!B:B,Table14[[#This Row],[Subcategory]])&gt;0,"Valid","Invalid")</f>
        <v>Valid</v>
      </c>
    </row>
    <row r="247" spans="1:21">
      <c r="A247" t="s">
        <v>804</v>
      </c>
      <c r="B247" t="s">
        <v>50</v>
      </c>
      <c r="C247" s="31" t="s">
        <v>1888</v>
      </c>
      <c r="D247" s="32" t="s">
        <v>2262</v>
      </c>
      <c r="E247" t="s">
        <v>35</v>
      </c>
      <c r="F247" t="s">
        <v>36</v>
      </c>
      <c r="G247" t="s">
        <v>46</v>
      </c>
      <c r="H247" t="s">
        <v>86</v>
      </c>
      <c r="I247" t="s">
        <v>38</v>
      </c>
      <c r="J247">
        <v>10</v>
      </c>
      <c r="K247">
        <v>8</v>
      </c>
      <c r="L247" t="s">
        <v>27</v>
      </c>
      <c r="M247">
        <v>1</v>
      </c>
      <c r="N247" t="s">
        <v>27</v>
      </c>
      <c r="O247" t="s">
        <v>28</v>
      </c>
      <c r="P247" t="s">
        <v>57</v>
      </c>
      <c r="Q247" t="s">
        <v>58</v>
      </c>
      <c r="R247" t="str">
        <f>IF(Table14[[#This Row],[Resolution_Time]]&gt;Table14[[#This Row],[SLA_Target]],"No", "Yes")</f>
        <v>No</v>
      </c>
      <c r="S247" t="str">
        <f>IF(Table14[[#This Row],[Calculated_SLA]]=Table14[[#This Row],[SLA_Met]],"Match","Mismatch")</f>
        <v>Match</v>
      </c>
      <c r="T247">
        <f>IF(Table14[[#This Row],[Calculated_SLA]]="Yes",1,0)</f>
        <v>0</v>
      </c>
      <c r="U247" t="str">
        <f>IF(COUNTIFS(Reference_data!A:A,Table14[[#This Row],[Category]],Reference_data!B:B,Table14[[#This Row],[Subcategory]])&gt;0,"Valid","Invalid")</f>
        <v>Valid</v>
      </c>
    </row>
    <row r="248" spans="1:21">
      <c r="A248" t="s">
        <v>807</v>
      </c>
      <c r="B248" t="s">
        <v>135</v>
      </c>
      <c r="C248" s="31" t="s">
        <v>1889</v>
      </c>
      <c r="D248" s="32" t="s">
        <v>2263</v>
      </c>
      <c r="E248" t="s">
        <v>21</v>
      </c>
      <c r="F248" t="s">
        <v>63</v>
      </c>
      <c r="G248" t="s">
        <v>23</v>
      </c>
      <c r="H248" t="s">
        <v>86</v>
      </c>
      <c r="I248" t="s">
        <v>25</v>
      </c>
      <c r="J248">
        <v>12.6</v>
      </c>
      <c r="K248">
        <v>24</v>
      </c>
      <c r="L248" t="s">
        <v>26</v>
      </c>
      <c r="M248">
        <v>4</v>
      </c>
      <c r="N248" t="s">
        <v>27</v>
      </c>
      <c r="O248" t="s">
        <v>28</v>
      </c>
      <c r="P248" t="s">
        <v>29</v>
      </c>
      <c r="Q248" t="s">
        <v>101</v>
      </c>
      <c r="R248" t="str">
        <f>IF(Table14[[#This Row],[Resolution_Time]]&gt;Table14[[#This Row],[SLA_Target]],"No", "Yes")</f>
        <v>Yes</v>
      </c>
      <c r="S248" t="str">
        <f>IF(Table14[[#This Row],[Calculated_SLA]]=Table14[[#This Row],[SLA_Met]],"Match","Mismatch")</f>
        <v>Match</v>
      </c>
      <c r="T248">
        <f>IF(Table14[[#This Row],[Calculated_SLA]]="Yes",1,0)</f>
        <v>1</v>
      </c>
      <c r="U248" t="str">
        <f>IF(COUNTIFS(Reference_data!A:A,Table14[[#This Row],[Category]],Reference_data!B:B,Table14[[#This Row],[Subcategory]])&gt;0,"Valid","Invalid")</f>
        <v>Valid</v>
      </c>
    </row>
    <row r="249" spans="1:21">
      <c r="A249" t="s">
        <v>810</v>
      </c>
      <c r="B249" t="s">
        <v>60</v>
      </c>
      <c r="C249" s="31" t="s">
        <v>1890</v>
      </c>
      <c r="D249" s="32" t="s">
        <v>2264</v>
      </c>
      <c r="E249" t="s">
        <v>78</v>
      </c>
      <c r="F249" t="s">
        <v>191</v>
      </c>
      <c r="G249" t="s">
        <v>23</v>
      </c>
      <c r="H249" t="s">
        <v>70</v>
      </c>
      <c r="I249" t="s">
        <v>38</v>
      </c>
      <c r="J249">
        <v>14.2</v>
      </c>
      <c r="K249">
        <v>24</v>
      </c>
      <c r="L249" t="s">
        <v>27</v>
      </c>
      <c r="M249">
        <v>3</v>
      </c>
      <c r="N249" t="s">
        <v>27</v>
      </c>
      <c r="O249" t="s">
        <v>28</v>
      </c>
      <c r="P249" t="s">
        <v>1670</v>
      </c>
      <c r="Q249" t="s">
        <v>39</v>
      </c>
      <c r="R249" t="str">
        <f>IF(Table14[[#This Row],[Resolution_Time]]&gt;Table14[[#This Row],[SLA_Target]],"No", "Yes")</f>
        <v>Yes</v>
      </c>
      <c r="S249" t="str">
        <f>IF(Table14[[#This Row],[Calculated_SLA]]=Table14[[#This Row],[SLA_Met]],"Match","Mismatch")</f>
        <v>Mismatch</v>
      </c>
      <c r="T249">
        <f>IF(Table14[[#This Row],[Calculated_SLA]]="Yes",1,0)</f>
        <v>1</v>
      </c>
      <c r="U249" t="str">
        <f>IF(COUNTIFS(Reference_data!A:A,Table14[[#This Row],[Category]],Reference_data!B:B,Table14[[#This Row],[Subcategory]])&gt;0,"Valid","Invalid")</f>
        <v>Valid</v>
      </c>
    </row>
    <row r="250" spans="1:21">
      <c r="A250" t="s">
        <v>813</v>
      </c>
      <c r="B250" t="s">
        <v>32</v>
      </c>
      <c r="C250" s="31" t="s">
        <v>1891</v>
      </c>
      <c r="D250" s="32" t="s">
        <v>2265</v>
      </c>
      <c r="E250" t="s">
        <v>21</v>
      </c>
      <c r="F250" t="s">
        <v>22</v>
      </c>
      <c r="G250" t="s">
        <v>54</v>
      </c>
      <c r="H250" t="s">
        <v>234</v>
      </c>
      <c r="I250" t="s">
        <v>25</v>
      </c>
      <c r="J250">
        <v>14.5</v>
      </c>
      <c r="K250">
        <v>4</v>
      </c>
      <c r="L250" t="s">
        <v>27</v>
      </c>
      <c r="M250">
        <v>3</v>
      </c>
      <c r="N250" t="s">
        <v>26</v>
      </c>
      <c r="O250" t="s">
        <v>28</v>
      </c>
      <c r="P250" t="s">
        <v>1670</v>
      </c>
      <c r="Q250" t="s">
        <v>101</v>
      </c>
      <c r="R250" t="str">
        <f>IF(Table14[[#This Row],[Resolution_Time]]&gt;Table14[[#This Row],[SLA_Target]],"No", "Yes")</f>
        <v>No</v>
      </c>
      <c r="S250" t="str">
        <f>IF(Table14[[#This Row],[Calculated_SLA]]=Table14[[#This Row],[SLA_Met]],"Match","Mismatch")</f>
        <v>Match</v>
      </c>
      <c r="T250">
        <f>IF(Table14[[#This Row],[Calculated_SLA]]="Yes",1,0)</f>
        <v>0</v>
      </c>
      <c r="U250" t="str">
        <f>IF(COUNTIFS(Reference_data!A:A,Table14[[#This Row],[Category]],Reference_data!B:B,Table14[[#This Row],[Subcategory]])&gt;0,"Valid","Invalid")</f>
        <v>Valid</v>
      </c>
    </row>
    <row r="251" spans="1:21">
      <c r="A251" t="s">
        <v>1585</v>
      </c>
      <c r="B251" t="s">
        <v>66</v>
      </c>
      <c r="C251" s="31" t="s">
        <v>1892</v>
      </c>
      <c r="D251" s="32" t="s">
        <v>2266</v>
      </c>
      <c r="E251" t="s">
        <v>21</v>
      </c>
      <c r="F251" t="s">
        <v>22</v>
      </c>
      <c r="G251" t="s">
        <v>46</v>
      </c>
      <c r="H251" t="s">
        <v>70</v>
      </c>
      <c r="I251" t="s">
        <v>25</v>
      </c>
      <c r="J251">
        <v>15.9</v>
      </c>
      <c r="K251">
        <v>8</v>
      </c>
      <c r="L251" t="s">
        <v>27</v>
      </c>
      <c r="M251">
        <v>1</v>
      </c>
      <c r="N251" t="s">
        <v>27</v>
      </c>
      <c r="O251" t="s">
        <v>28</v>
      </c>
      <c r="P251" t="s">
        <v>1670</v>
      </c>
      <c r="Q251" t="s">
        <v>101</v>
      </c>
      <c r="R251" t="str">
        <f>IF(Table14[[#This Row],[Resolution_Time]]&gt;Table14[[#This Row],[SLA_Target]],"No", "Yes")</f>
        <v>No</v>
      </c>
      <c r="S251" t="str">
        <f>IF(Table14[[#This Row],[Calculated_SLA]]=Table14[[#This Row],[SLA_Met]],"Match","Mismatch")</f>
        <v>Match</v>
      </c>
      <c r="T251">
        <f>IF(Table14[[#This Row],[Calculated_SLA]]="Yes",1,0)</f>
        <v>0</v>
      </c>
      <c r="U251" t="str">
        <f>IF(COUNTIFS(Reference_data!A:A,Table14[[#This Row],[Category]],Reference_data!B:B,Table14[[#This Row],[Subcategory]])&gt;0,"Valid","Invalid")</f>
        <v>Valid</v>
      </c>
    </row>
    <row r="252" spans="1:21">
      <c r="A252" t="s">
        <v>818</v>
      </c>
      <c r="B252" t="s">
        <v>121</v>
      </c>
      <c r="C252" s="31" t="s">
        <v>1745</v>
      </c>
      <c r="D252" s="32" t="s">
        <v>2267</v>
      </c>
      <c r="E252" t="s">
        <v>21</v>
      </c>
      <c r="F252" t="s">
        <v>63</v>
      </c>
      <c r="G252" t="s">
        <v>23</v>
      </c>
      <c r="H252" t="s">
        <v>86</v>
      </c>
      <c r="I252" t="s">
        <v>25</v>
      </c>
      <c r="J252">
        <v>6.9</v>
      </c>
      <c r="K252">
        <v>24</v>
      </c>
      <c r="L252" t="s">
        <v>26</v>
      </c>
      <c r="M252">
        <v>4</v>
      </c>
      <c r="N252" t="s">
        <v>27</v>
      </c>
      <c r="O252" t="s">
        <v>28</v>
      </c>
      <c r="P252" t="s">
        <v>29</v>
      </c>
      <c r="Q252" t="s">
        <v>30</v>
      </c>
      <c r="R252" t="str">
        <f>IF(Table14[[#This Row],[Resolution_Time]]&gt;Table14[[#This Row],[SLA_Target]],"No", "Yes")</f>
        <v>Yes</v>
      </c>
      <c r="S252" t="str">
        <f>IF(Table14[[#This Row],[Calculated_SLA]]=Table14[[#This Row],[SLA_Met]],"Match","Mismatch")</f>
        <v>Match</v>
      </c>
      <c r="T252">
        <f>IF(Table14[[#This Row],[Calculated_SLA]]="Yes",1,0)</f>
        <v>1</v>
      </c>
      <c r="U252" t="str">
        <f>IF(COUNTIFS(Reference_data!A:A,Table14[[#This Row],[Category]],Reference_data!B:B,Table14[[#This Row],[Subcategory]])&gt;0,"Valid","Invalid")</f>
        <v>Valid</v>
      </c>
    </row>
    <row r="253" spans="1:21">
      <c r="A253" t="s">
        <v>821</v>
      </c>
      <c r="B253" t="s">
        <v>75</v>
      </c>
      <c r="C253" s="31" t="s">
        <v>1893</v>
      </c>
      <c r="D253" s="32" t="s">
        <v>2268</v>
      </c>
      <c r="E253" t="s">
        <v>78</v>
      </c>
      <c r="F253" t="s">
        <v>79</v>
      </c>
      <c r="G253" t="s">
        <v>46</v>
      </c>
      <c r="H253" t="s">
        <v>70</v>
      </c>
      <c r="I253" t="s">
        <v>80</v>
      </c>
      <c r="J253">
        <v>17</v>
      </c>
      <c r="K253">
        <v>8</v>
      </c>
      <c r="L253" t="s">
        <v>27</v>
      </c>
      <c r="M253">
        <v>1</v>
      </c>
      <c r="N253" t="s">
        <v>27</v>
      </c>
      <c r="O253" t="s">
        <v>28</v>
      </c>
      <c r="P253" t="s">
        <v>1670</v>
      </c>
      <c r="Q253" t="s">
        <v>101</v>
      </c>
      <c r="R253" t="str">
        <f>IF(Table14[[#This Row],[Resolution_Time]]&gt;Table14[[#This Row],[SLA_Target]],"No", "Yes")</f>
        <v>No</v>
      </c>
      <c r="S253" t="str">
        <f>IF(Table14[[#This Row],[Calculated_SLA]]=Table14[[#This Row],[SLA_Met]],"Match","Mismatch")</f>
        <v>Match</v>
      </c>
      <c r="T253">
        <f>IF(Table14[[#This Row],[Calculated_SLA]]="Yes",1,0)</f>
        <v>0</v>
      </c>
      <c r="U253" t="str">
        <f>IF(COUNTIFS(Reference_data!A:A,Table14[[#This Row],[Category]],Reference_data!B:B,Table14[[#This Row],[Subcategory]])&gt;0,"Valid","Invalid")</f>
        <v>Valid</v>
      </c>
    </row>
    <row r="254" spans="1:21">
      <c r="A254" t="s">
        <v>824</v>
      </c>
      <c r="B254" t="s">
        <v>32</v>
      </c>
      <c r="C254" s="31" t="s">
        <v>1894</v>
      </c>
      <c r="D254" s="32" t="s">
        <v>2269</v>
      </c>
      <c r="E254" t="s">
        <v>35</v>
      </c>
      <c r="F254" t="s">
        <v>53</v>
      </c>
      <c r="G254" t="s">
        <v>54</v>
      </c>
      <c r="H254" t="s">
        <v>91</v>
      </c>
      <c r="I254" t="s">
        <v>56</v>
      </c>
      <c r="J254">
        <v>9.9</v>
      </c>
      <c r="K254">
        <v>4</v>
      </c>
      <c r="L254" t="s">
        <v>27</v>
      </c>
      <c r="M254">
        <v>2</v>
      </c>
      <c r="N254" t="s">
        <v>26</v>
      </c>
      <c r="O254" t="s">
        <v>28</v>
      </c>
      <c r="P254" t="s">
        <v>57</v>
      </c>
      <c r="Q254" t="s">
        <v>101</v>
      </c>
      <c r="R254" t="str">
        <f>IF(Table14[[#This Row],[Resolution_Time]]&gt;Table14[[#This Row],[SLA_Target]],"No", "Yes")</f>
        <v>No</v>
      </c>
      <c r="S254" t="str">
        <f>IF(Table14[[#This Row],[Calculated_SLA]]=Table14[[#This Row],[SLA_Met]],"Match","Mismatch")</f>
        <v>Match</v>
      </c>
      <c r="T254">
        <f>IF(Table14[[#This Row],[Calculated_SLA]]="Yes",1,0)</f>
        <v>0</v>
      </c>
      <c r="U254" t="str">
        <f>IF(COUNTIFS(Reference_data!A:A,Table14[[#This Row],[Category]],Reference_data!B:B,Table14[[#This Row],[Subcategory]])&gt;0,"Valid","Invalid")</f>
        <v>Valid</v>
      </c>
    </row>
    <row r="255" spans="1:21">
      <c r="A255" t="s">
        <v>827</v>
      </c>
      <c r="B255" t="s">
        <v>135</v>
      </c>
      <c r="C255" s="31" t="s">
        <v>1890</v>
      </c>
      <c r="D255" s="32" t="s">
        <v>2270</v>
      </c>
      <c r="E255" t="s">
        <v>84</v>
      </c>
      <c r="F255" t="s">
        <v>116</v>
      </c>
      <c r="G255" t="s">
        <v>46</v>
      </c>
      <c r="H255" t="s">
        <v>37</v>
      </c>
      <c r="I255" t="s">
        <v>87</v>
      </c>
      <c r="J255">
        <v>7.7</v>
      </c>
      <c r="K255">
        <v>8</v>
      </c>
      <c r="L255" t="s">
        <v>26</v>
      </c>
      <c r="M255">
        <v>5</v>
      </c>
      <c r="N255" t="s">
        <v>27</v>
      </c>
      <c r="O255" t="s">
        <v>28</v>
      </c>
      <c r="P255" t="s">
        <v>29</v>
      </c>
      <c r="Q255" t="s">
        <v>58</v>
      </c>
      <c r="R255" t="str">
        <f>IF(Table14[[#This Row],[Resolution_Time]]&gt;Table14[[#This Row],[SLA_Target]],"No", "Yes")</f>
        <v>Yes</v>
      </c>
      <c r="S255" t="str">
        <f>IF(Table14[[#This Row],[Calculated_SLA]]=Table14[[#This Row],[SLA_Met]],"Match","Mismatch")</f>
        <v>Match</v>
      </c>
      <c r="T255">
        <f>IF(Table14[[#This Row],[Calculated_SLA]]="Yes",1,0)</f>
        <v>1</v>
      </c>
      <c r="U255" t="str">
        <f>IF(COUNTIFS(Reference_data!A:A,Table14[[#This Row],[Category]],Reference_data!B:B,Table14[[#This Row],[Subcategory]])&gt;0,"Valid","Invalid")</f>
        <v>Valid</v>
      </c>
    </row>
    <row r="256" spans="1:21">
      <c r="A256" t="s">
        <v>830</v>
      </c>
      <c r="B256" t="s">
        <v>75</v>
      </c>
      <c r="C256" s="31" t="s">
        <v>1895</v>
      </c>
      <c r="D256" s="32" t="s">
        <v>2271</v>
      </c>
      <c r="E256" t="s">
        <v>21</v>
      </c>
      <c r="F256" t="s">
        <v>63</v>
      </c>
      <c r="G256" t="s">
        <v>54</v>
      </c>
      <c r="H256" t="s">
        <v>138</v>
      </c>
      <c r="I256" t="s">
        <v>25</v>
      </c>
      <c r="J256">
        <v>14.3</v>
      </c>
      <c r="K256">
        <v>4</v>
      </c>
      <c r="L256" t="s">
        <v>27</v>
      </c>
      <c r="M256">
        <v>3</v>
      </c>
      <c r="N256" t="s">
        <v>26</v>
      </c>
      <c r="O256" t="s">
        <v>28</v>
      </c>
      <c r="P256" t="s">
        <v>57</v>
      </c>
      <c r="Q256" t="s">
        <v>30</v>
      </c>
      <c r="R256" t="str">
        <f>IF(Table14[[#This Row],[Resolution_Time]]&gt;Table14[[#This Row],[SLA_Target]],"No", "Yes")</f>
        <v>No</v>
      </c>
      <c r="S256" t="str">
        <f>IF(Table14[[#This Row],[Calculated_SLA]]=Table14[[#This Row],[SLA_Met]],"Match","Mismatch")</f>
        <v>Match</v>
      </c>
      <c r="T256">
        <f>IF(Table14[[#This Row],[Calculated_SLA]]="Yes",1,0)</f>
        <v>0</v>
      </c>
      <c r="U256" t="str">
        <f>IF(COUNTIFS(Reference_data!A:A,Table14[[#This Row],[Category]],Reference_data!B:B,Table14[[#This Row],[Subcategory]])&gt;0,"Valid","Invalid")</f>
        <v>Valid</v>
      </c>
    </row>
    <row r="257" spans="1:21">
      <c r="A257" t="s">
        <v>833</v>
      </c>
      <c r="B257" t="s">
        <v>41</v>
      </c>
      <c r="C257" s="31" t="s">
        <v>1896</v>
      </c>
      <c r="D257" s="32" t="s">
        <v>2116</v>
      </c>
      <c r="E257" t="s">
        <v>21</v>
      </c>
      <c r="F257" t="s">
        <v>69</v>
      </c>
      <c r="G257" t="s">
        <v>46</v>
      </c>
      <c r="H257" t="s">
        <v>138</v>
      </c>
      <c r="I257" t="s">
        <v>25</v>
      </c>
      <c r="J257">
        <v>13.2</v>
      </c>
      <c r="K257">
        <v>8</v>
      </c>
      <c r="L257" t="s">
        <v>27</v>
      </c>
      <c r="M257">
        <v>2</v>
      </c>
      <c r="N257" t="s">
        <v>26</v>
      </c>
      <c r="O257" t="s">
        <v>28</v>
      </c>
      <c r="P257" t="s">
        <v>1670</v>
      </c>
      <c r="Q257" t="s">
        <v>39</v>
      </c>
      <c r="R257" t="str">
        <f>IF(Table14[[#This Row],[Resolution_Time]]&gt;Table14[[#This Row],[SLA_Target]],"No", "Yes")</f>
        <v>No</v>
      </c>
      <c r="S257" t="str">
        <f>IF(Table14[[#This Row],[Calculated_SLA]]=Table14[[#This Row],[SLA_Met]],"Match","Mismatch")</f>
        <v>Match</v>
      </c>
      <c r="T257">
        <f>IF(Table14[[#This Row],[Calculated_SLA]]="Yes",1,0)</f>
        <v>0</v>
      </c>
      <c r="U257" t="str">
        <f>IF(COUNTIFS(Reference_data!A:A,Table14[[#This Row],[Category]],Reference_data!B:B,Table14[[#This Row],[Subcategory]])&gt;0,"Valid","Invalid")</f>
        <v>Valid</v>
      </c>
    </row>
    <row r="258" spans="1:21">
      <c r="A258" t="s">
        <v>836</v>
      </c>
      <c r="B258" t="s">
        <v>32</v>
      </c>
      <c r="C258" s="31" t="s">
        <v>1829</v>
      </c>
      <c r="D258" s="32" t="s">
        <v>2272</v>
      </c>
      <c r="E258" t="s">
        <v>21</v>
      </c>
      <c r="F258" t="s">
        <v>69</v>
      </c>
      <c r="G258" t="s">
        <v>54</v>
      </c>
      <c r="H258" t="s">
        <v>138</v>
      </c>
      <c r="I258" t="s">
        <v>25</v>
      </c>
      <c r="J258">
        <v>9.3000000000000007</v>
      </c>
      <c r="K258">
        <v>4</v>
      </c>
      <c r="L258" t="s">
        <v>27</v>
      </c>
      <c r="M258">
        <v>3</v>
      </c>
      <c r="N258" t="s">
        <v>27</v>
      </c>
      <c r="O258" t="s">
        <v>28</v>
      </c>
      <c r="P258" t="s">
        <v>1670</v>
      </c>
      <c r="Q258" t="s">
        <v>58</v>
      </c>
      <c r="R258" t="str">
        <f>IF(Table14[[#This Row],[Resolution_Time]]&gt;Table14[[#This Row],[SLA_Target]],"No", "Yes")</f>
        <v>No</v>
      </c>
      <c r="S258" t="str">
        <f>IF(Table14[[#This Row],[Calculated_SLA]]=Table14[[#This Row],[SLA_Met]],"Match","Mismatch")</f>
        <v>Match</v>
      </c>
      <c r="T258">
        <f>IF(Table14[[#This Row],[Calculated_SLA]]="Yes",1,0)</f>
        <v>0</v>
      </c>
      <c r="U258" t="str">
        <f>IF(COUNTIFS(Reference_data!A:A,Table14[[#This Row],[Category]],Reference_data!B:B,Table14[[#This Row],[Subcategory]])&gt;0,"Valid","Invalid")</f>
        <v>Valid</v>
      </c>
    </row>
    <row r="259" spans="1:21">
      <c r="A259" t="s">
        <v>839</v>
      </c>
      <c r="B259" t="s">
        <v>32</v>
      </c>
      <c r="C259" s="31" t="s">
        <v>1897</v>
      </c>
      <c r="D259" s="32" t="s">
        <v>2273</v>
      </c>
      <c r="E259" t="s">
        <v>35</v>
      </c>
      <c r="F259" t="s">
        <v>127</v>
      </c>
      <c r="G259" t="s">
        <v>46</v>
      </c>
      <c r="H259" t="s">
        <v>91</v>
      </c>
      <c r="I259" t="s">
        <v>56</v>
      </c>
      <c r="J259">
        <v>6.2</v>
      </c>
      <c r="K259">
        <v>8</v>
      </c>
      <c r="L259" t="s">
        <v>26</v>
      </c>
      <c r="M259">
        <v>5</v>
      </c>
      <c r="N259" t="s">
        <v>27</v>
      </c>
      <c r="O259" t="s">
        <v>28</v>
      </c>
      <c r="P259" t="s">
        <v>29</v>
      </c>
      <c r="Q259" t="s">
        <v>101</v>
      </c>
      <c r="R259" t="str">
        <f>IF(Table14[[#This Row],[Resolution_Time]]&gt;Table14[[#This Row],[SLA_Target]],"No", "Yes")</f>
        <v>Yes</v>
      </c>
      <c r="S259" t="str">
        <f>IF(Table14[[#This Row],[Calculated_SLA]]=Table14[[#This Row],[SLA_Met]],"Match","Mismatch")</f>
        <v>Match</v>
      </c>
      <c r="T259">
        <f>IF(Table14[[#This Row],[Calculated_SLA]]="Yes",1,0)</f>
        <v>1</v>
      </c>
      <c r="U259" t="str">
        <f>IF(COUNTIFS(Reference_data!A:A,Table14[[#This Row],[Category]],Reference_data!B:B,Table14[[#This Row],[Subcategory]])&gt;0,"Valid","Invalid")</f>
        <v>Valid</v>
      </c>
    </row>
    <row r="260" spans="1:21">
      <c r="A260" t="s">
        <v>842</v>
      </c>
      <c r="B260" t="s">
        <v>50</v>
      </c>
      <c r="C260" s="31" t="s">
        <v>1898</v>
      </c>
      <c r="D260" s="32" t="s">
        <v>2241</v>
      </c>
      <c r="E260" t="s">
        <v>21</v>
      </c>
      <c r="F260" t="s">
        <v>69</v>
      </c>
      <c r="G260" t="s">
        <v>23</v>
      </c>
      <c r="H260" t="s">
        <v>64</v>
      </c>
      <c r="I260" t="s">
        <v>25</v>
      </c>
      <c r="J260">
        <v>8.3000000000000007</v>
      </c>
      <c r="K260">
        <v>24</v>
      </c>
      <c r="L260" t="s">
        <v>26</v>
      </c>
      <c r="M260">
        <v>4</v>
      </c>
      <c r="N260" t="s">
        <v>27</v>
      </c>
      <c r="O260" t="s">
        <v>28</v>
      </c>
      <c r="P260" t="s">
        <v>29</v>
      </c>
      <c r="Q260" t="s">
        <v>101</v>
      </c>
      <c r="R260" t="str">
        <f>IF(Table14[[#This Row],[Resolution_Time]]&gt;Table14[[#This Row],[SLA_Target]],"No", "Yes")</f>
        <v>Yes</v>
      </c>
      <c r="S260" t="str">
        <f>IF(Table14[[#This Row],[Calculated_SLA]]=Table14[[#This Row],[SLA_Met]],"Match","Mismatch")</f>
        <v>Match</v>
      </c>
      <c r="T260">
        <f>IF(Table14[[#This Row],[Calculated_SLA]]="Yes",1,0)</f>
        <v>1</v>
      </c>
      <c r="U260" t="str">
        <f>IF(COUNTIFS(Reference_data!A:A,Table14[[#This Row],[Category]],Reference_data!B:B,Table14[[#This Row],[Subcategory]])&gt;0,"Valid","Invalid")</f>
        <v>Valid</v>
      </c>
    </row>
    <row r="261" spans="1:21">
      <c r="A261" t="s">
        <v>845</v>
      </c>
      <c r="B261" t="s">
        <v>121</v>
      </c>
      <c r="C261" s="31" t="s">
        <v>1899</v>
      </c>
      <c r="D261" s="32" t="s">
        <v>2274</v>
      </c>
      <c r="E261" t="s">
        <v>84</v>
      </c>
      <c r="F261" t="s">
        <v>85</v>
      </c>
      <c r="G261" t="s">
        <v>46</v>
      </c>
      <c r="H261" t="s">
        <v>64</v>
      </c>
      <c r="I261" t="s">
        <v>87</v>
      </c>
      <c r="J261">
        <v>5.8</v>
      </c>
      <c r="K261">
        <v>8</v>
      </c>
      <c r="L261" t="s">
        <v>26</v>
      </c>
      <c r="M261">
        <v>4</v>
      </c>
      <c r="N261" t="s">
        <v>27</v>
      </c>
      <c r="O261" t="s">
        <v>28</v>
      </c>
      <c r="P261" t="s">
        <v>29</v>
      </c>
      <c r="Q261" t="s">
        <v>39</v>
      </c>
      <c r="R261" t="str">
        <f>IF(Table14[[#This Row],[Resolution_Time]]&gt;Table14[[#This Row],[SLA_Target]],"No", "Yes")</f>
        <v>Yes</v>
      </c>
      <c r="S261" t="str">
        <f>IF(Table14[[#This Row],[Calculated_SLA]]=Table14[[#This Row],[SLA_Met]],"Match","Mismatch")</f>
        <v>Match</v>
      </c>
      <c r="T261">
        <f>IF(Table14[[#This Row],[Calculated_SLA]]="Yes",1,0)</f>
        <v>1</v>
      </c>
      <c r="U261" t="str">
        <f>IF(COUNTIFS(Reference_data!A:A,Table14[[#This Row],[Category]],Reference_data!B:B,Table14[[#This Row],[Subcategory]])&gt;0,"Valid","Invalid")</f>
        <v>Valid</v>
      </c>
    </row>
    <row r="262" spans="1:21">
      <c r="A262" t="s">
        <v>848</v>
      </c>
      <c r="B262" t="s">
        <v>32</v>
      </c>
      <c r="C262" s="31" t="s">
        <v>1693</v>
      </c>
      <c r="D262" s="32" t="s">
        <v>2275</v>
      </c>
      <c r="E262" t="s">
        <v>21</v>
      </c>
      <c r="F262" t="s">
        <v>63</v>
      </c>
      <c r="G262" t="s">
        <v>46</v>
      </c>
      <c r="H262" t="s">
        <v>37</v>
      </c>
      <c r="I262" t="s">
        <v>25</v>
      </c>
      <c r="J262">
        <v>14.6</v>
      </c>
      <c r="K262">
        <v>8</v>
      </c>
      <c r="L262" t="s">
        <v>27</v>
      </c>
      <c r="M262" t="s">
        <v>2448</v>
      </c>
      <c r="N262" t="s">
        <v>26</v>
      </c>
      <c r="O262" t="s">
        <v>28</v>
      </c>
      <c r="P262" t="s">
        <v>57</v>
      </c>
      <c r="Q262" t="s">
        <v>58</v>
      </c>
      <c r="R262" t="str">
        <f>IF(Table14[[#This Row],[Resolution_Time]]&gt;Table14[[#This Row],[SLA_Target]],"No", "Yes")</f>
        <v>No</v>
      </c>
      <c r="S262" t="str">
        <f>IF(Table14[[#This Row],[Calculated_SLA]]=Table14[[#This Row],[SLA_Met]],"Match","Mismatch")</f>
        <v>Match</v>
      </c>
      <c r="T262">
        <f>IF(Table14[[#This Row],[Calculated_SLA]]="Yes",1,0)</f>
        <v>0</v>
      </c>
      <c r="U262" t="str">
        <f>IF(COUNTIFS(Reference_data!A:A,Table14[[#This Row],[Category]],Reference_data!B:B,Table14[[#This Row],[Subcategory]])&gt;0,"Valid","Invalid")</f>
        <v>Valid</v>
      </c>
    </row>
    <row r="263" spans="1:21">
      <c r="A263" t="s">
        <v>851</v>
      </c>
      <c r="B263" t="s">
        <v>18</v>
      </c>
      <c r="C263" s="31" t="s">
        <v>1753</v>
      </c>
      <c r="D263" s="32" t="s">
        <v>2276</v>
      </c>
      <c r="E263" t="s">
        <v>84</v>
      </c>
      <c r="F263" t="s">
        <v>116</v>
      </c>
      <c r="G263" t="s">
        <v>23</v>
      </c>
      <c r="H263" t="s">
        <v>37</v>
      </c>
      <c r="I263" t="s">
        <v>87</v>
      </c>
      <c r="J263">
        <v>7.3</v>
      </c>
      <c r="K263">
        <v>24</v>
      </c>
      <c r="L263" t="s">
        <v>26</v>
      </c>
      <c r="M263">
        <v>5</v>
      </c>
      <c r="N263" t="s">
        <v>27</v>
      </c>
      <c r="O263" t="s">
        <v>28</v>
      </c>
      <c r="P263" t="s">
        <v>29</v>
      </c>
      <c r="Q263" t="s">
        <v>101</v>
      </c>
      <c r="R263" t="str">
        <f>IF(Table14[[#This Row],[Resolution_Time]]&gt;Table14[[#This Row],[SLA_Target]],"No", "Yes")</f>
        <v>Yes</v>
      </c>
      <c r="S263" t="str">
        <f>IF(Table14[[#This Row],[Calculated_SLA]]=Table14[[#This Row],[SLA_Met]],"Match","Mismatch")</f>
        <v>Match</v>
      </c>
      <c r="T263">
        <f>IF(Table14[[#This Row],[Calculated_SLA]]="Yes",1,0)</f>
        <v>1</v>
      </c>
      <c r="U263" t="str">
        <f>IF(COUNTIFS(Reference_data!A:A,Table14[[#This Row],[Category]],Reference_data!B:B,Table14[[#This Row],[Subcategory]])&gt;0,"Valid","Invalid")</f>
        <v>Valid</v>
      </c>
    </row>
    <row r="264" spans="1:21">
      <c r="A264" t="s">
        <v>854</v>
      </c>
      <c r="B264" t="s">
        <v>75</v>
      </c>
      <c r="C264" s="31" t="s">
        <v>1892</v>
      </c>
      <c r="D264" s="32" t="s">
        <v>2277</v>
      </c>
      <c r="E264" t="s">
        <v>44</v>
      </c>
      <c r="F264" t="s">
        <v>45</v>
      </c>
      <c r="G264" t="s">
        <v>54</v>
      </c>
      <c r="H264" t="s">
        <v>64</v>
      </c>
      <c r="I264" t="s">
        <v>48</v>
      </c>
      <c r="J264">
        <v>2.8</v>
      </c>
      <c r="K264">
        <v>4</v>
      </c>
      <c r="L264" t="s">
        <v>26</v>
      </c>
      <c r="M264">
        <v>4</v>
      </c>
      <c r="N264" t="s">
        <v>27</v>
      </c>
      <c r="O264" t="s">
        <v>28</v>
      </c>
      <c r="P264" t="s">
        <v>29</v>
      </c>
      <c r="Q264" t="s">
        <v>39</v>
      </c>
      <c r="R264" t="str">
        <f>IF(Table14[[#This Row],[Resolution_Time]]&gt;Table14[[#This Row],[SLA_Target]],"No", "Yes")</f>
        <v>Yes</v>
      </c>
      <c r="S264" t="str">
        <f>IF(Table14[[#This Row],[Calculated_SLA]]=Table14[[#This Row],[SLA_Met]],"Match","Mismatch")</f>
        <v>Match</v>
      </c>
      <c r="T264">
        <f>IF(Table14[[#This Row],[Calculated_SLA]]="Yes",1,0)</f>
        <v>1</v>
      </c>
      <c r="U264" t="str">
        <f>IF(COUNTIFS(Reference_data!A:A,Table14[[#This Row],[Category]],Reference_data!B:B,Table14[[#This Row],[Subcategory]])&gt;0,"Valid","Invalid")</f>
        <v>Valid</v>
      </c>
    </row>
    <row r="265" spans="1:21">
      <c r="A265" t="s">
        <v>857</v>
      </c>
      <c r="B265" t="s">
        <v>32</v>
      </c>
      <c r="C265" s="31" t="s">
        <v>1900</v>
      </c>
      <c r="D265" s="32" t="s">
        <v>2278</v>
      </c>
      <c r="E265" t="s">
        <v>21</v>
      </c>
      <c r="F265" t="s">
        <v>63</v>
      </c>
      <c r="G265" t="s">
        <v>46</v>
      </c>
      <c r="H265" t="s">
        <v>24</v>
      </c>
      <c r="I265" t="s">
        <v>25</v>
      </c>
      <c r="J265">
        <v>12.9</v>
      </c>
      <c r="K265">
        <v>8</v>
      </c>
      <c r="L265" t="s">
        <v>27</v>
      </c>
      <c r="M265">
        <v>1</v>
      </c>
      <c r="N265" t="s">
        <v>27</v>
      </c>
      <c r="O265" t="s">
        <v>28</v>
      </c>
      <c r="P265" t="s">
        <v>57</v>
      </c>
      <c r="Q265" t="s">
        <v>58</v>
      </c>
      <c r="R265" t="str">
        <f>IF(Table14[[#This Row],[Resolution_Time]]&gt;Table14[[#This Row],[SLA_Target]],"No", "Yes")</f>
        <v>No</v>
      </c>
      <c r="S265" t="str">
        <f>IF(Table14[[#This Row],[Calculated_SLA]]=Table14[[#This Row],[SLA_Met]],"Match","Mismatch")</f>
        <v>Match</v>
      </c>
      <c r="T265">
        <f>IF(Table14[[#This Row],[Calculated_SLA]]="Yes",1,0)</f>
        <v>0</v>
      </c>
      <c r="U265" t="str">
        <f>IF(COUNTIFS(Reference_data!A:A,Table14[[#This Row],[Category]],Reference_data!B:B,Table14[[#This Row],[Subcategory]])&gt;0,"Valid","Invalid")</f>
        <v>Valid</v>
      </c>
    </row>
    <row r="266" spans="1:21">
      <c r="A266" t="s">
        <v>860</v>
      </c>
      <c r="B266" t="s">
        <v>50</v>
      </c>
      <c r="C266" s="31" t="s">
        <v>1820</v>
      </c>
      <c r="D266" s="32" t="s">
        <v>2279</v>
      </c>
      <c r="E266" t="s">
        <v>35</v>
      </c>
      <c r="F266" t="s">
        <v>53</v>
      </c>
      <c r="G266" t="s">
        <v>46</v>
      </c>
      <c r="H266" t="s">
        <v>234</v>
      </c>
      <c r="I266" t="s">
        <v>56</v>
      </c>
      <c r="J266">
        <v>5.3</v>
      </c>
      <c r="K266">
        <v>8</v>
      </c>
      <c r="L266" t="s">
        <v>26</v>
      </c>
      <c r="M266">
        <v>5</v>
      </c>
      <c r="N266" t="s">
        <v>27</v>
      </c>
      <c r="O266" t="s">
        <v>28</v>
      </c>
      <c r="P266" t="s">
        <v>29</v>
      </c>
      <c r="Q266" t="s">
        <v>30</v>
      </c>
      <c r="R266" t="str">
        <f>IF(Table14[[#This Row],[Resolution_Time]]&gt;Table14[[#This Row],[SLA_Target]],"No", "Yes")</f>
        <v>Yes</v>
      </c>
      <c r="S266" t="str">
        <f>IF(Table14[[#This Row],[Calculated_SLA]]=Table14[[#This Row],[SLA_Met]],"Match","Mismatch")</f>
        <v>Match</v>
      </c>
      <c r="T266">
        <f>IF(Table14[[#This Row],[Calculated_SLA]]="Yes",1,0)</f>
        <v>1</v>
      </c>
      <c r="U266" t="str">
        <f>IF(COUNTIFS(Reference_data!A:A,Table14[[#This Row],[Category]],Reference_data!B:B,Table14[[#This Row],[Subcategory]])&gt;0,"Valid","Invalid")</f>
        <v>Valid</v>
      </c>
    </row>
    <row r="267" spans="1:21">
      <c r="A267" t="s">
        <v>863</v>
      </c>
      <c r="B267" t="s">
        <v>121</v>
      </c>
      <c r="C267" s="31" t="s">
        <v>1901</v>
      </c>
      <c r="D267" s="32" t="s">
        <v>2280</v>
      </c>
      <c r="E267" t="s">
        <v>21</v>
      </c>
      <c r="F267" t="s">
        <v>22</v>
      </c>
      <c r="G267" t="s">
        <v>46</v>
      </c>
      <c r="H267" t="s">
        <v>234</v>
      </c>
      <c r="I267" t="s">
        <v>25</v>
      </c>
      <c r="J267">
        <v>11.3</v>
      </c>
      <c r="K267">
        <v>8</v>
      </c>
      <c r="L267" t="s">
        <v>27</v>
      </c>
      <c r="M267">
        <v>1</v>
      </c>
      <c r="N267" t="s">
        <v>26</v>
      </c>
      <c r="O267" t="s">
        <v>28</v>
      </c>
      <c r="P267" t="s">
        <v>1670</v>
      </c>
      <c r="Q267" t="s">
        <v>101</v>
      </c>
      <c r="R267" t="str">
        <f>IF(Table14[[#This Row],[Resolution_Time]]&gt;Table14[[#This Row],[SLA_Target]],"No", "Yes")</f>
        <v>No</v>
      </c>
      <c r="S267" t="str">
        <f>IF(Table14[[#This Row],[Calculated_SLA]]=Table14[[#This Row],[SLA_Met]],"Match","Mismatch")</f>
        <v>Match</v>
      </c>
      <c r="T267">
        <f>IF(Table14[[#This Row],[Calculated_SLA]]="Yes",1,0)</f>
        <v>0</v>
      </c>
      <c r="U267" t="str">
        <f>IF(COUNTIFS(Reference_data!A:A,Table14[[#This Row],[Category]],Reference_data!B:B,Table14[[#This Row],[Subcategory]])&gt;0,"Valid","Invalid")</f>
        <v>Valid</v>
      </c>
    </row>
    <row r="268" spans="1:21">
      <c r="A268" t="s">
        <v>866</v>
      </c>
      <c r="B268" t="s">
        <v>32</v>
      </c>
      <c r="C268" s="31" t="s">
        <v>1902</v>
      </c>
      <c r="D268" s="32" t="s">
        <v>1789</v>
      </c>
      <c r="E268" t="s">
        <v>78</v>
      </c>
      <c r="F268" t="s">
        <v>191</v>
      </c>
      <c r="G268" t="s">
        <v>46</v>
      </c>
      <c r="H268" t="s">
        <v>86</v>
      </c>
      <c r="I268" t="s">
        <v>38</v>
      </c>
      <c r="J268">
        <v>22.3</v>
      </c>
      <c r="K268">
        <v>8</v>
      </c>
      <c r="L268" t="s">
        <v>27</v>
      </c>
      <c r="M268">
        <v>1</v>
      </c>
      <c r="N268" t="s">
        <v>27</v>
      </c>
      <c r="O268" t="s">
        <v>28</v>
      </c>
      <c r="P268" t="s">
        <v>57</v>
      </c>
      <c r="Q268" t="s">
        <v>58</v>
      </c>
      <c r="R268" t="str">
        <f>IF(Table14[[#This Row],[Resolution_Time]]&gt;Table14[[#This Row],[SLA_Target]],"No", "Yes")</f>
        <v>No</v>
      </c>
      <c r="S268" t="str">
        <f>IF(Table14[[#This Row],[Calculated_SLA]]=Table14[[#This Row],[SLA_Met]],"Match","Mismatch")</f>
        <v>Match</v>
      </c>
      <c r="T268">
        <f>IF(Table14[[#This Row],[Calculated_SLA]]="Yes",1,0)</f>
        <v>0</v>
      </c>
      <c r="U268" t="str">
        <f>IF(COUNTIFS(Reference_data!A:A,Table14[[#This Row],[Category]],Reference_data!B:B,Table14[[#This Row],[Subcategory]])&gt;0,"Valid","Invalid")</f>
        <v>Valid</v>
      </c>
    </row>
    <row r="269" spans="1:21">
      <c r="A269" t="s">
        <v>869</v>
      </c>
      <c r="B269" t="s">
        <v>18</v>
      </c>
      <c r="C269" s="31" t="s">
        <v>1903</v>
      </c>
      <c r="D269" s="32" t="s">
        <v>2281</v>
      </c>
      <c r="E269" t="s">
        <v>35</v>
      </c>
      <c r="F269" t="s">
        <v>127</v>
      </c>
      <c r="G269" t="s">
        <v>46</v>
      </c>
      <c r="H269" t="s">
        <v>70</v>
      </c>
      <c r="I269" t="s">
        <v>56</v>
      </c>
      <c r="J269">
        <v>8.1999999999999993</v>
      </c>
      <c r="K269">
        <v>8</v>
      </c>
      <c r="L269" t="s">
        <v>27</v>
      </c>
      <c r="M269">
        <v>3</v>
      </c>
      <c r="N269" t="s">
        <v>27</v>
      </c>
      <c r="O269" t="s">
        <v>28</v>
      </c>
      <c r="P269" t="s">
        <v>57</v>
      </c>
      <c r="Q269" t="s">
        <v>58</v>
      </c>
      <c r="R269" t="str">
        <f>IF(Table14[[#This Row],[Resolution_Time]]&gt;Table14[[#This Row],[SLA_Target]],"No", "Yes")</f>
        <v>No</v>
      </c>
      <c r="S269" t="str">
        <f>IF(Table14[[#This Row],[Calculated_SLA]]=Table14[[#This Row],[SLA_Met]],"Match","Mismatch")</f>
        <v>Match</v>
      </c>
      <c r="T269">
        <f>IF(Table14[[#This Row],[Calculated_SLA]]="Yes",1,0)</f>
        <v>0</v>
      </c>
      <c r="U269" t="str">
        <f>IF(COUNTIFS(Reference_data!A:A,Table14[[#This Row],[Category]],Reference_data!B:B,Table14[[#This Row],[Subcategory]])&gt;0,"Valid","Invalid")</f>
        <v>Valid</v>
      </c>
    </row>
    <row r="270" spans="1:21">
      <c r="A270" t="s">
        <v>872</v>
      </c>
      <c r="B270" t="s">
        <v>66</v>
      </c>
      <c r="C270" s="31" t="s">
        <v>1898</v>
      </c>
      <c r="D270" s="32" t="s">
        <v>2282</v>
      </c>
      <c r="E270" t="s">
        <v>21</v>
      </c>
      <c r="F270" t="s">
        <v>63</v>
      </c>
      <c r="G270" t="s">
        <v>23</v>
      </c>
      <c r="H270" t="s">
        <v>55</v>
      </c>
      <c r="I270" t="s">
        <v>25</v>
      </c>
      <c r="J270">
        <v>12.2</v>
      </c>
      <c r="K270">
        <v>24</v>
      </c>
      <c r="L270" t="s">
        <v>26</v>
      </c>
      <c r="M270">
        <v>5</v>
      </c>
      <c r="N270" t="s">
        <v>27</v>
      </c>
      <c r="O270" t="s">
        <v>28</v>
      </c>
      <c r="P270" t="s">
        <v>29</v>
      </c>
      <c r="Q270" t="s">
        <v>39</v>
      </c>
      <c r="R270" t="str">
        <f>IF(Table14[[#This Row],[Resolution_Time]]&gt;Table14[[#This Row],[SLA_Target]],"No", "Yes")</f>
        <v>Yes</v>
      </c>
      <c r="S270" t="str">
        <f>IF(Table14[[#This Row],[Calculated_SLA]]=Table14[[#This Row],[SLA_Met]],"Match","Mismatch")</f>
        <v>Match</v>
      </c>
      <c r="T270">
        <f>IF(Table14[[#This Row],[Calculated_SLA]]="Yes",1,0)</f>
        <v>1</v>
      </c>
      <c r="U270" t="str">
        <f>IF(COUNTIFS(Reference_data!A:A,Table14[[#This Row],[Category]],Reference_data!B:B,Table14[[#This Row],[Subcategory]])&gt;0,"Valid","Invalid")</f>
        <v>Valid</v>
      </c>
    </row>
    <row r="271" spans="1:21">
      <c r="A271" t="s">
        <v>875</v>
      </c>
      <c r="B271" t="s">
        <v>75</v>
      </c>
      <c r="C271" s="31" t="s">
        <v>1844</v>
      </c>
      <c r="D271" s="32" t="s">
        <v>2283</v>
      </c>
      <c r="E271" t="s">
        <v>44</v>
      </c>
      <c r="F271" t="s">
        <v>45</v>
      </c>
      <c r="G271" t="s">
        <v>23</v>
      </c>
      <c r="H271" t="s">
        <v>24</v>
      </c>
      <c r="I271" t="s">
        <v>48</v>
      </c>
      <c r="J271">
        <v>4.7</v>
      </c>
      <c r="K271">
        <v>24</v>
      </c>
      <c r="L271" t="s">
        <v>26</v>
      </c>
      <c r="M271">
        <v>4</v>
      </c>
      <c r="N271" t="s">
        <v>27</v>
      </c>
      <c r="O271" t="s">
        <v>28</v>
      </c>
      <c r="P271" t="s">
        <v>29</v>
      </c>
      <c r="Q271" t="s">
        <v>30</v>
      </c>
      <c r="R271" t="str">
        <f>IF(Table14[[#This Row],[Resolution_Time]]&gt;Table14[[#This Row],[SLA_Target]],"No", "Yes")</f>
        <v>Yes</v>
      </c>
      <c r="S271" t="str">
        <f>IF(Table14[[#This Row],[Calculated_SLA]]=Table14[[#This Row],[SLA_Met]],"Match","Mismatch")</f>
        <v>Match</v>
      </c>
      <c r="T271">
        <f>IF(Table14[[#This Row],[Calculated_SLA]]="Yes",1,0)</f>
        <v>1</v>
      </c>
      <c r="U271" t="str">
        <f>IF(COUNTIFS(Reference_data!A:A,Table14[[#This Row],[Category]],Reference_data!B:B,Table14[[#This Row],[Subcategory]])&gt;0,"Valid","Invalid")</f>
        <v>Valid</v>
      </c>
    </row>
    <row r="272" spans="1:21">
      <c r="A272" t="s">
        <v>878</v>
      </c>
      <c r="B272" t="s">
        <v>60</v>
      </c>
      <c r="C272" s="31" t="s">
        <v>1904</v>
      </c>
      <c r="D272" s="32" t="s">
        <v>2284</v>
      </c>
      <c r="E272" t="s">
        <v>78</v>
      </c>
      <c r="F272" t="s">
        <v>166</v>
      </c>
      <c r="G272" t="s">
        <v>23</v>
      </c>
      <c r="H272" t="s">
        <v>234</v>
      </c>
      <c r="I272" t="s">
        <v>80</v>
      </c>
      <c r="J272">
        <v>18.7</v>
      </c>
      <c r="K272">
        <v>24</v>
      </c>
      <c r="L272" t="s">
        <v>26</v>
      </c>
      <c r="M272">
        <v>4</v>
      </c>
      <c r="N272" t="s">
        <v>27</v>
      </c>
      <c r="O272" t="s">
        <v>28</v>
      </c>
      <c r="P272" t="s">
        <v>29</v>
      </c>
      <c r="Q272" t="s">
        <v>101</v>
      </c>
      <c r="R272" t="str">
        <f>IF(Table14[[#This Row],[Resolution_Time]]&gt;Table14[[#This Row],[SLA_Target]],"No", "Yes")</f>
        <v>Yes</v>
      </c>
      <c r="S272" t="str">
        <f>IF(Table14[[#This Row],[Calculated_SLA]]=Table14[[#This Row],[SLA_Met]],"Match","Mismatch")</f>
        <v>Match</v>
      </c>
      <c r="T272">
        <f>IF(Table14[[#This Row],[Calculated_SLA]]="Yes",1,0)</f>
        <v>1</v>
      </c>
      <c r="U272" t="str">
        <f>IF(COUNTIFS(Reference_data!A:A,Table14[[#This Row],[Category]],Reference_data!B:B,Table14[[#This Row],[Subcategory]])&gt;0,"Valid","Invalid")</f>
        <v>Valid</v>
      </c>
    </row>
    <row r="273" spans="1:21">
      <c r="A273" t="s">
        <v>881</v>
      </c>
      <c r="B273" t="s">
        <v>50</v>
      </c>
      <c r="C273" s="31" t="s">
        <v>1905</v>
      </c>
      <c r="D273" s="32" t="s">
        <v>1861</v>
      </c>
      <c r="E273" t="s">
        <v>78</v>
      </c>
      <c r="F273" t="s">
        <v>166</v>
      </c>
      <c r="G273" t="s">
        <v>23</v>
      </c>
      <c r="H273" t="s">
        <v>37</v>
      </c>
      <c r="I273" t="s">
        <v>80</v>
      </c>
      <c r="J273">
        <v>19.899999999999999</v>
      </c>
      <c r="K273">
        <v>24</v>
      </c>
      <c r="L273" t="s">
        <v>26</v>
      </c>
      <c r="M273">
        <v>4</v>
      </c>
      <c r="N273" t="s">
        <v>27</v>
      </c>
      <c r="O273" t="s">
        <v>28</v>
      </c>
      <c r="P273" t="s">
        <v>29</v>
      </c>
      <c r="Q273" t="s">
        <v>101</v>
      </c>
      <c r="R273" t="str">
        <f>IF(Table14[[#This Row],[Resolution_Time]]&gt;Table14[[#This Row],[SLA_Target]],"No", "Yes")</f>
        <v>Yes</v>
      </c>
      <c r="S273" t="str">
        <f>IF(Table14[[#This Row],[Calculated_SLA]]=Table14[[#This Row],[SLA_Met]],"Match","Mismatch")</f>
        <v>Match</v>
      </c>
      <c r="T273">
        <f>IF(Table14[[#This Row],[Calculated_SLA]]="Yes",1,0)</f>
        <v>1</v>
      </c>
      <c r="U273" t="str">
        <f>IF(COUNTIFS(Reference_data!A:A,Table14[[#This Row],[Category]],Reference_data!B:B,Table14[[#This Row],[Subcategory]])&gt;0,"Valid","Invalid")</f>
        <v>Valid</v>
      </c>
    </row>
    <row r="274" spans="1:21">
      <c r="A274" t="s">
        <v>884</v>
      </c>
      <c r="B274" t="s">
        <v>121</v>
      </c>
      <c r="C274" s="31" t="s">
        <v>1906</v>
      </c>
      <c r="D274" s="32" t="s">
        <v>1711</v>
      </c>
      <c r="E274" t="s">
        <v>84</v>
      </c>
      <c r="F274" t="s">
        <v>116</v>
      </c>
      <c r="G274" t="s">
        <v>54</v>
      </c>
      <c r="H274" t="s">
        <v>37</v>
      </c>
      <c r="I274" t="s">
        <v>87</v>
      </c>
      <c r="J274">
        <v>9.1999999999999993</v>
      </c>
      <c r="K274">
        <v>4</v>
      </c>
      <c r="L274" t="s">
        <v>27</v>
      </c>
      <c r="M274">
        <v>1</v>
      </c>
      <c r="N274" t="s">
        <v>26</v>
      </c>
      <c r="O274" t="s">
        <v>28</v>
      </c>
      <c r="P274" t="s">
        <v>57</v>
      </c>
      <c r="Q274" t="s">
        <v>58</v>
      </c>
      <c r="R274" t="str">
        <f>IF(Table14[[#This Row],[Resolution_Time]]&gt;Table14[[#This Row],[SLA_Target]],"No", "Yes")</f>
        <v>No</v>
      </c>
      <c r="S274" t="str">
        <f>IF(Table14[[#This Row],[Calculated_SLA]]=Table14[[#This Row],[SLA_Met]],"Match","Mismatch")</f>
        <v>Match</v>
      </c>
      <c r="T274">
        <f>IF(Table14[[#This Row],[Calculated_SLA]]="Yes",1,0)</f>
        <v>0</v>
      </c>
      <c r="U274" t="str">
        <f>IF(COUNTIFS(Reference_data!A:A,Table14[[#This Row],[Category]],Reference_data!B:B,Table14[[#This Row],[Subcategory]])&gt;0,"Valid","Invalid")</f>
        <v>Valid</v>
      </c>
    </row>
    <row r="275" spans="1:21">
      <c r="A275" t="s">
        <v>887</v>
      </c>
      <c r="B275" t="s">
        <v>66</v>
      </c>
      <c r="C275" s="31" t="s">
        <v>1907</v>
      </c>
      <c r="D275" s="32" t="s">
        <v>1693</v>
      </c>
      <c r="E275" t="s">
        <v>44</v>
      </c>
      <c r="F275" t="s">
        <v>109</v>
      </c>
      <c r="G275" t="s">
        <v>23</v>
      </c>
      <c r="H275" t="s">
        <v>55</v>
      </c>
      <c r="I275" t="s">
        <v>48</v>
      </c>
      <c r="J275">
        <v>1.9</v>
      </c>
      <c r="K275">
        <v>24</v>
      </c>
      <c r="L275" t="s">
        <v>26</v>
      </c>
      <c r="M275">
        <v>4</v>
      </c>
      <c r="N275" t="s">
        <v>27</v>
      </c>
      <c r="O275" t="s">
        <v>28</v>
      </c>
      <c r="P275" t="s">
        <v>29</v>
      </c>
      <c r="Q275" t="s">
        <v>58</v>
      </c>
      <c r="R275" t="str">
        <f>IF(Table14[[#This Row],[Resolution_Time]]&gt;Table14[[#This Row],[SLA_Target]],"No", "Yes")</f>
        <v>Yes</v>
      </c>
      <c r="S275" t="str">
        <f>IF(Table14[[#This Row],[Calculated_SLA]]=Table14[[#This Row],[SLA_Met]],"Match","Mismatch")</f>
        <v>Match</v>
      </c>
      <c r="T275">
        <f>IF(Table14[[#This Row],[Calculated_SLA]]="Yes",1,0)</f>
        <v>1</v>
      </c>
      <c r="U275" t="str">
        <f>IF(COUNTIFS(Reference_data!A:A,Table14[[#This Row],[Category]],Reference_data!B:B,Table14[[#This Row],[Subcategory]])&gt;0,"Valid","Invalid")</f>
        <v>Valid</v>
      </c>
    </row>
    <row r="276" spans="1:21">
      <c r="A276" t="s">
        <v>890</v>
      </c>
      <c r="B276" t="s">
        <v>75</v>
      </c>
      <c r="C276" s="31" t="s">
        <v>1794</v>
      </c>
      <c r="D276" s="32" t="s">
        <v>2285</v>
      </c>
      <c r="E276" t="s">
        <v>21</v>
      </c>
      <c r="F276" t="s">
        <v>69</v>
      </c>
      <c r="G276" t="s">
        <v>54</v>
      </c>
      <c r="H276" t="s">
        <v>55</v>
      </c>
      <c r="I276" t="s">
        <v>25</v>
      </c>
      <c r="J276">
        <v>8</v>
      </c>
      <c r="K276">
        <v>4</v>
      </c>
      <c r="L276" t="s">
        <v>27</v>
      </c>
      <c r="M276">
        <v>1</v>
      </c>
      <c r="N276" t="s">
        <v>26</v>
      </c>
      <c r="O276" t="s">
        <v>28</v>
      </c>
      <c r="P276" t="s">
        <v>1670</v>
      </c>
      <c r="Q276" t="s">
        <v>39</v>
      </c>
      <c r="R276" t="str">
        <f>IF(Table14[[#This Row],[Resolution_Time]]&gt;Table14[[#This Row],[SLA_Target]],"No", "Yes")</f>
        <v>No</v>
      </c>
      <c r="S276" t="str">
        <f>IF(Table14[[#This Row],[Calculated_SLA]]=Table14[[#This Row],[SLA_Met]],"Match","Mismatch")</f>
        <v>Match</v>
      </c>
      <c r="T276">
        <f>IF(Table14[[#This Row],[Calculated_SLA]]="Yes",1,0)</f>
        <v>0</v>
      </c>
      <c r="U276" t="str">
        <f>IF(COUNTIFS(Reference_data!A:A,Table14[[#This Row],[Category]],Reference_data!B:B,Table14[[#This Row],[Subcategory]])&gt;0,"Valid","Invalid")</f>
        <v>Valid</v>
      </c>
    </row>
    <row r="277" spans="1:21">
      <c r="A277" t="s">
        <v>893</v>
      </c>
      <c r="B277" t="s">
        <v>121</v>
      </c>
      <c r="C277" s="31" t="s">
        <v>1908</v>
      </c>
      <c r="D277" s="32" t="s">
        <v>2286</v>
      </c>
      <c r="E277" t="s">
        <v>21</v>
      </c>
      <c r="F277" t="s">
        <v>69</v>
      </c>
      <c r="G277" t="s">
        <v>46</v>
      </c>
      <c r="H277" t="s">
        <v>64</v>
      </c>
      <c r="I277" t="s">
        <v>25</v>
      </c>
      <c r="J277">
        <v>9.1</v>
      </c>
      <c r="K277">
        <v>8</v>
      </c>
      <c r="L277" t="s">
        <v>27</v>
      </c>
      <c r="M277">
        <v>3</v>
      </c>
      <c r="N277" t="s">
        <v>26</v>
      </c>
      <c r="O277" t="s">
        <v>28</v>
      </c>
      <c r="P277" t="s">
        <v>1670</v>
      </c>
      <c r="Q277" t="s">
        <v>101</v>
      </c>
      <c r="R277" t="str">
        <f>IF(Table14[[#This Row],[Resolution_Time]]&gt;Table14[[#This Row],[SLA_Target]],"No", "Yes")</f>
        <v>No</v>
      </c>
      <c r="S277" t="str">
        <f>IF(Table14[[#This Row],[Calculated_SLA]]=Table14[[#This Row],[SLA_Met]],"Match","Mismatch")</f>
        <v>Match</v>
      </c>
      <c r="T277">
        <f>IF(Table14[[#This Row],[Calculated_SLA]]="Yes",1,0)</f>
        <v>0</v>
      </c>
      <c r="U277" t="str">
        <f>IF(COUNTIFS(Reference_data!A:A,Table14[[#This Row],[Category]],Reference_data!B:B,Table14[[#This Row],[Subcategory]])&gt;0,"Valid","Invalid")</f>
        <v>Valid</v>
      </c>
    </row>
    <row r="278" spans="1:21">
      <c r="A278" t="s">
        <v>896</v>
      </c>
      <c r="B278" t="s">
        <v>41</v>
      </c>
      <c r="C278" s="31" t="s">
        <v>1909</v>
      </c>
      <c r="D278" s="32" t="s">
        <v>2287</v>
      </c>
      <c r="E278" t="s">
        <v>78</v>
      </c>
      <c r="F278" t="s">
        <v>191</v>
      </c>
      <c r="G278" t="s">
        <v>23</v>
      </c>
      <c r="H278" t="s">
        <v>70</v>
      </c>
      <c r="I278" t="s">
        <v>38</v>
      </c>
      <c r="J278">
        <v>9.3000000000000007</v>
      </c>
      <c r="K278">
        <v>24</v>
      </c>
      <c r="L278" t="s">
        <v>26</v>
      </c>
      <c r="M278">
        <v>4</v>
      </c>
      <c r="N278" t="s">
        <v>27</v>
      </c>
      <c r="O278" t="s">
        <v>28</v>
      </c>
      <c r="P278" t="s">
        <v>29</v>
      </c>
      <c r="Q278" t="s">
        <v>101</v>
      </c>
      <c r="R278" t="str">
        <f>IF(Table14[[#This Row],[Resolution_Time]]&gt;Table14[[#This Row],[SLA_Target]],"No", "Yes")</f>
        <v>Yes</v>
      </c>
      <c r="S278" t="str">
        <f>IF(Table14[[#This Row],[Calculated_SLA]]=Table14[[#This Row],[SLA_Met]],"Match","Mismatch")</f>
        <v>Match</v>
      </c>
      <c r="T278">
        <f>IF(Table14[[#This Row],[Calculated_SLA]]="Yes",1,0)</f>
        <v>1</v>
      </c>
      <c r="U278" t="str">
        <f>IF(COUNTIFS(Reference_data!A:A,Table14[[#This Row],[Category]],Reference_data!B:B,Table14[[#This Row],[Subcategory]])&gt;0,"Valid","Invalid")</f>
        <v>Valid</v>
      </c>
    </row>
    <row r="279" spans="1:21">
      <c r="A279" t="s">
        <v>899</v>
      </c>
      <c r="B279" t="s">
        <v>121</v>
      </c>
      <c r="C279" s="31" t="s">
        <v>1888</v>
      </c>
      <c r="D279" s="32" t="s">
        <v>2288</v>
      </c>
      <c r="E279" t="s">
        <v>78</v>
      </c>
      <c r="F279" t="s">
        <v>79</v>
      </c>
      <c r="G279" t="s">
        <v>46</v>
      </c>
      <c r="H279" t="s">
        <v>70</v>
      </c>
      <c r="I279" t="s">
        <v>80</v>
      </c>
      <c r="J279">
        <v>17.3</v>
      </c>
      <c r="K279">
        <v>8</v>
      </c>
      <c r="L279" t="s">
        <v>27</v>
      </c>
      <c r="M279" t="s">
        <v>2448</v>
      </c>
      <c r="N279" t="s">
        <v>26</v>
      </c>
      <c r="O279" t="s">
        <v>28</v>
      </c>
      <c r="P279" t="s">
        <v>1670</v>
      </c>
      <c r="Q279" t="s">
        <v>39</v>
      </c>
      <c r="R279" t="str">
        <f>IF(Table14[[#This Row],[Resolution_Time]]&gt;Table14[[#This Row],[SLA_Target]],"No", "Yes")</f>
        <v>No</v>
      </c>
      <c r="S279" t="str">
        <f>IF(Table14[[#This Row],[Calculated_SLA]]=Table14[[#This Row],[SLA_Met]],"Match","Mismatch")</f>
        <v>Match</v>
      </c>
      <c r="T279">
        <f>IF(Table14[[#This Row],[Calculated_SLA]]="Yes",1,0)</f>
        <v>0</v>
      </c>
      <c r="U279" t="str">
        <f>IF(COUNTIFS(Reference_data!A:A,Table14[[#This Row],[Category]],Reference_data!B:B,Table14[[#This Row],[Subcategory]])&gt;0,"Valid","Invalid")</f>
        <v>Valid</v>
      </c>
    </row>
    <row r="280" spans="1:21">
      <c r="A280" t="s">
        <v>902</v>
      </c>
      <c r="B280" t="s">
        <v>32</v>
      </c>
      <c r="C280" s="31" t="s">
        <v>1857</v>
      </c>
      <c r="D280" s="32" t="s">
        <v>2289</v>
      </c>
      <c r="E280" t="s">
        <v>78</v>
      </c>
      <c r="F280" t="s">
        <v>79</v>
      </c>
      <c r="G280" t="s">
        <v>46</v>
      </c>
      <c r="H280" t="s">
        <v>86</v>
      </c>
      <c r="I280" t="s">
        <v>80</v>
      </c>
      <c r="J280">
        <v>16.5</v>
      </c>
      <c r="K280">
        <v>8</v>
      </c>
      <c r="L280" t="s">
        <v>27</v>
      </c>
      <c r="M280">
        <v>2</v>
      </c>
      <c r="N280" t="s">
        <v>27</v>
      </c>
      <c r="O280" t="s">
        <v>28</v>
      </c>
      <c r="P280" t="s">
        <v>57</v>
      </c>
      <c r="Q280" t="s">
        <v>58</v>
      </c>
      <c r="R280" t="str">
        <f>IF(Table14[[#This Row],[Resolution_Time]]&gt;Table14[[#This Row],[SLA_Target]],"No", "Yes")</f>
        <v>No</v>
      </c>
      <c r="S280" t="str">
        <f>IF(Table14[[#This Row],[Calculated_SLA]]=Table14[[#This Row],[SLA_Met]],"Match","Mismatch")</f>
        <v>Match</v>
      </c>
      <c r="T280">
        <f>IF(Table14[[#This Row],[Calculated_SLA]]="Yes",1,0)</f>
        <v>0</v>
      </c>
      <c r="U280" t="str">
        <f>IF(COUNTIFS(Reference_data!A:A,Table14[[#This Row],[Category]],Reference_data!B:B,Table14[[#This Row],[Subcategory]])&gt;0,"Valid","Invalid")</f>
        <v>Valid</v>
      </c>
    </row>
    <row r="281" spans="1:21">
      <c r="A281" t="s">
        <v>905</v>
      </c>
      <c r="B281" t="s">
        <v>135</v>
      </c>
      <c r="C281" s="31" t="s">
        <v>1877</v>
      </c>
      <c r="D281" s="32" t="s">
        <v>2244</v>
      </c>
      <c r="E281" t="s">
        <v>84</v>
      </c>
      <c r="F281" t="s">
        <v>116</v>
      </c>
      <c r="G281" t="s">
        <v>54</v>
      </c>
      <c r="H281" t="s">
        <v>24</v>
      </c>
      <c r="I281" t="s">
        <v>87</v>
      </c>
      <c r="J281">
        <v>8.4</v>
      </c>
      <c r="K281">
        <v>4</v>
      </c>
      <c r="L281" t="s">
        <v>27</v>
      </c>
      <c r="M281">
        <v>1</v>
      </c>
      <c r="N281" t="s">
        <v>26</v>
      </c>
      <c r="O281" t="s">
        <v>28</v>
      </c>
      <c r="P281" t="s">
        <v>57</v>
      </c>
      <c r="Q281" t="s">
        <v>58</v>
      </c>
      <c r="R281" t="str">
        <f>IF(Table14[[#This Row],[Resolution_Time]]&gt;Table14[[#This Row],[SLA_Target]],"No", "Yes")</f>
        <v>No</v>
      </c>
      <c r="S281" t="str">
        <f>IF(Table14[[#This Row],[Calculated_SLA]]=Table14[[#This Row],[SLA_Met]],"Match","Mismatch")</f>
        <v>Match</v>
      </c>
      <c r="T281">
        <f>IF(Table14[[#This Row],[Calculated_SLA]]="Yes",1,0)</f>
        <v>0</v>
      </c>
      <c r="U281" t="str">
        <f>IF(COUNTIFS(Reference_data!A:A,Table14[[#This Row],[Category]],Reference_data!B:B,Table14[[#This Row],[Subcategory]])&gt;0,"Valid","Invalid")</f>
        <v>Valid</v>
      </c>
    </row>
    <row r="282" spans="1:21">
      <c r="A282" t="s">
        <v>908</v>
      </c>
      <c r="B282" t="s">
        <v>32</v>
      </c>
      <c r="C282" s="31" t="s">
        <v>1910</v>
      </c>
      <c r="D282" s="32" t="s">
        <v>2290</v>
      </c>
      <c r="E282" t="s">
        <v>21</v>
      </c>
      <c r="F282" t="s">
        <v>69</v>
      </c>
      <c r="G282" t="s">
        <v>46</v>
      </c>
      <c r="H282" t="s">
        <v>70</v>
      </c>
      <c r="I282" t="s">
        <v>25</v>
      </c>
      <c r="J282">
        <v>7.9</v>
      </c>
      <c r="K282">
        <v>8</v>
      </c>
      <c r="L282" t="s">
        <v>26</v>
      </c>
      <c r="M282">
        <v>4</v>
      </c>
      <c r="N282" t="s">
        <v>27</v>
      </c>
      <c r="O282" t="s">
        <v>28</v>
      </c>
      <c r="P282" t="s">
        <v>29</v>
      </c>
      <c r="Q282" t="s">
        <v>58</v>
      </c>
      <c r="R282" t="str">
        <f>IF(Table14[[#This Row],[Resolution_Time]]&gt;Table14[[#This Row],[SLA_Target]],"No", "Yes")</f>
        <v>Yes</v>
      </c>
      <c r="S282" t="str">
        <f>IF(Table14[[#This Row],[Calculated_SLA]]=Table14[[#This Row],[SLA_Met]],"Match","Mismatch")</f>
        <v>Match</v>
      </c>
      <c r="T282">
        <f>IF(Table14[[#This Row],[Calculated_SLA]]="Yes",1,0)</f>
        <v>1</v>
      </c>
      <c r="U282" t="str">
        <f>IF(COUNTIFS(Reference_data!A:A,Table14[[#This Row],[Category]],Reference_data!B:B,Table14[[#This Row],[Subcategory]])&gt;0,"Valid","Invalid")</f>
        <v>Valid</v>
      </c>
    </row>
    <row r="283" spans="1:21">
      <c r="A283" t="s">
        <v>911</v>
      </c>
      <c r="B283" t="s">
        <v>75</v>
      </c>
      <c r="C283" s="31" t="s">
        <v>1905</v>
      </c>
      <c r="D283" s="32" t="s">
        <v>2291</v>
      </c>
      <c r="E283" t="s">
        <v>84</v>
      </c>
      <c r="F283" t="s">
        <v>116</v>
      </c>
      <c r="G283" t="s">
        <v>46</v>
      </c>
      <c r="H283" t="s">
        <v>70</v>
      </c>
      <c r="I283" t="s">
        <v>87</v>
      </c>
      <c r="J283">
        <v>9.1999999999999993</v>
      </c>
      <c r="K283">
        <v>8</v>
      </c>
      <c r="L283" t="s">
        <v>27</v>
      </c>
      <c r="M283">
        <v>2</v>
      </c>
      <c r="N283" t="s">
        <v>26</v>
      </c>
      <c r="O283" t="s">
        <v>28</v>
      </c>
      <c r="P283" t="s">
        <v>1670</v>
      </c>
      <c r="Q283" t="s">
        <v>30</v>
      </c>
      <c r="R283" t="str">
        <f>IF(Table14[[#This Row],[Resolution_Time]]&gt;Table14[[#This Row],[SLA_Target]],"No", "Yes")</f>
        <v>No</v>
      </c>
      <c r="S283" t="str">
        <f>IF(Table14[[#This Row],[Calculated_SLA]]=Table14[[#This Row],[SLA_Met]],"Match","Mismatch")</f>
        <v>Match</v>
      </c>
      <c r="T283">
        <f>IF(Table14[[#This Row],[Calculated_SLA]]="Yes",1,0)</f>
        <v>0</v>
      </c>
      <c r="U283" t="str">
        <f>IF(COUNTIFS(Reference_data!A:A,Table14[[#This Row],[Category]],Reference_data!B:B,Table14[[#This Row],[Subcategory]])&gt;0,"Valid","Invalid")</f>
        <v>Valid</v>
      </c>
    </row>
    <row r="284" spans="1:21">
      <c r="A284" t="s">
        <v>914</v>
      </c>
      <c r="B284" t="s">
        <v>41</v>
      </c>
      <c r="C284" s="31" t="s">
        <v>1911</v>
      </c>
      <c r="D284" s="32" t="s">
        <v>2292</v>
      </c>
      <c r="E284" t="s">
        <v>21</v>
      </c>
      <c r="F284" t="s">
        <v>22</v>
      </c>
      <c r="G284" t="s">
        <v>23</v>
      </c>
      <c r="H284" t="s">
        <v>24</v>
      </c>
      <c r="I284" t="s">
        <v>25</v>
      </c>
      <c r="J284">
        <v>19.899999999999999</v>
      </c>
      <c r="K284">
        <v>24</v>
      </c>
      <c r="L284" t="s">
        <v>26</v>
      </c>
      <c r="M284">
        <v>5</v>
      </c>
      <c r="N284" t="s">
        <v>27</v>
      </c>
      <c r="O284" t="s">
        <v>28</v>
      </c>
      <c r="P284" t="s">
        <v>29</v>
      </c>
      <c r="Q284" t="s">
        <v>30</v>
      </c>
      <c r="R284" t="str">
        <f>IF(Table14[[#This Row],[Resolution_Time]]&gt;Table14[[#This Row],[SLA_Target]],"No", "Yes")</f>
        <v>Yes</v>
      </c>
      <c r="S284" t="str">
        <f>IF(Table14[[#This Row],[Calculated_SLA]]=Table14[[#This Row],[SLA_Met]],"Match","Mismatch")</f>
        <v>Match</v>
      </c>
      <c r="T284">
        <f>IF(Table14[[#This Row],[Calculated_SLA]]="Yes",1,0)</f>
        <v>1</v>
      </c>
      <c r="U284" t="str">
        <f>IF(COUNTIFS(Reference_data!A:A,Table14[[#This Row],[Category]],Reference_data!B:B,Table14[[#This Row],[Subcategory]])&gt;0,"Valid","Invalid")</f>
        <v>Valid</v>
      </c>
    </row>
    <row r="285" spans="1:21">
      <c r="A285" t="s">
        <v>917</v>
      </c>
      <c r="B285" t="s">
        <v>75</v>
      </c>
      <c r="C285" s="31" t="s">
        <v>1912</v>
      </c>
      <c r="D285" s="32" t="s">
        <v>2293</v>
      </c>
      <c r="E285" t="s">
        <v>35</v>
      </c>
      <c r="F285" t="s">
        <v>36</v>
      </c>
      <c r="G285" t="s">
        <v>23</v>
      </c>
      <c r="H285" t="s">
        <v>86</v>
      </c>
      <c r="I285" t="s">
        <v>38</v>
      </c>
      <c r="J285">
        <v>5.7</v>
      </c>
      <c r="K285">
        <v>24</v>
      </c>
      <c r="L285" t="s">
        <v>26</v>
      </c>
      <c r="M285">
        <v>4</v>
      </c>
      <c r="N285" t="s">
        <v>27</v>
      </c>
      <c r="O285" t="s">
        <v>28</v>
      </c>
      <c r="P285" t="s">
        <v>29</v>
      </c>
      <c r="Q285" t="s">
        <v>39</v>
      </c>
      <c r="R285" t="str">
        <f>IF(Table14[[#This Row],[Resolution_Time]]&gt;Table14[[#This Row],[SLA_Target]],"No", "Yes")</f>
        <v>Yes</v>
      </c>
      <c r="S285" t="str">
        <f>IF(Table14[[#This Row],[Calculated_SLA]]=Table14[[#This Row],[SLA_Met]],"Match","Mismatch")</f>
        <v>Match</v>
      </c>
      <c r="T285">
        <f>IF(Table14[[#This Row],[Calculated_SLA]]="Yes",1,0)</f>
        <v>1</v>
      </c>
      <c r="U285" t="str">
        <f>IF(COUNTIFS(Reference_data!A:A,Table14[[#This Row],[Category]],Reference_data!B:B,Table14[[#This Row],[Subcategory]])&gt;0,"Valid","Invalid")</f>
        <v>Valid</v>
      </c>
    </row>
    <row r="286" spans="1:21">
      <c r="A286" t="s">
        <v>920</v>
      </c>
      <c r="B286" t="s">
        <v>41</v>
      </c>
      <c r="C286" s="31" t="s">
        <v>1913</v>
      </c>
      <c r="D286" s="32" t="s">
        <v>2294</v>
      </c>
      <c r="E286" t="s">
        <v>35</v>
      </c>
      <c r="F286" t="s">
        <v>36</v>
      </c>
      <c r="G286" t="s">
        <v>23</v>
      </c>
      <c r="H286" t="s">
        <v>70</v>
      </c>
      <c r="I286" t="s">
        <v>38</v>
      </c>
      <c r="J286">
        <v>10.199999999999999</v>
      </c>
      <c r="K286">
        <v>24</v>
      </c>
      <c r="L286" t="s">
        <v>26</v>
      </c>
      <c r="M286">
        <v>5</v>
      </c>
      <c r="N286" t="s">
        <v>27</v>
      </c>
      <c r="O286" t="s">
        <v>28</v>
      </c>
      <c r="P286" t="s">
        <v>29</v>
      </c>
      <c r="Q286" t="s">
        <v>30</v>
      </c>
      <c r="R286" t="str">
        <f>IF(Table14[[#This Row],[Resolution_Time]]&gt;Table14[[#This Row],[SLA_Target]],"No", "Yes")</f>
        <v>Yes</v>
      </c>
      <c r="S286" t="str">
        <f>IF(Table14[[#This Row],[Calculated_SLA]]=Table14[[#This Row],[SLA_Met]],"Match","Mismatch")</f>
        <v>Match</v>
      </c>
      <c r="T286">
        <f>IF(Table14[[#This Row],[Calculated_SLA]]="Yes",1,0)</f>
        <v>1</v>
      </c>
      <c r="U286" t="str">
        <f>IF(COUNTIFS(Reference_data!A:A,Table14[[#This Row],[Category]],Reference_data!B:B,Table14[[#This Row],[Subcategory]])&gt;0,"Valid","Invalid")</f>
        <v>Valid</v>
      </c>
    </row>
    <row r="287" spans="1:21">
      <c r="A287" t="s">
        <v>923</v>
      </c>
      <c r="B287" t="s">
        <v>32</v>
      </c>
      <c r="C287" s="31" t="s">
        <v>1908</v>
      </c>
      <c r="D287" s="32" t="s">
        <v>2295</v>
      </c>
      <c r="E287" t="s">
        <v>78</v>
      </c>
      <c r="F287" t="s">
        <v>166</v>
      </c>
      <c r="G287" t="s">
        <v>46</v>
      </c>
      <c r="H287" t="s">
        <v>24</v>
      </c>
      <c r="I287" t="s">
        <v>80</v>
      </c>
      <c r="J287">
        <v>27.3</v>
      </c>
      <c r="K287">
        <v>8</v>
      </c>
      <c r="L287" t="s">
        <v>27</v>
      </c>
      <c r="M287">
        <v>1</v>
      </c>
      <c r="N287" t="s">
        <v>27</v>
      </c>
      <c r="O287" t="s">
        <v>28</v>
      </c>
      <c r="P287" t="s">
        <v>1670</v>
      </c>
      <c r="Q287" t="s">
        <v>58</v>
      </c>
      <c r="R287" t="str">
        <f>IF(Table14[[#This Row],[Resolution_Time]]&gt;Table14[[#This Row],[SLA_Target]],"No", "Yes")</f>
        <v>No</v>
      </c>
      <c r="S287" t="str">
        <f>IF(Table14[[#This Row],[Calculated_SLA]]=Table14[[#This Row],[SLA_Met]],"Match","Mismatch")</f>
        <v>Match</v>
      </c>
      <c r="T287">
        <f>IF(Table14[[#This Row],[Calculated_SLA]]="Yes",1,0)</f>
        <v>0</v>
      </c>
      <c r="U287" t="str">
        <f>IF(COUNTIFS(Reference_data!A:A,Table14[[#This Row],[Category]],Reference_data!B:B,Table14[[#This Row],[Subcategory]])&gt;0,"Valid","Invalid")</f>
        <v>Valid</v>
      </c>
    </row>
    <row r="288" spans="1:21">
      <c r="A288" t="s">
        <v>925</v>
      </c>
      <c r="B288" t="s">
        <v>75</v>
      </c>
      <c r="C288" s="31" t="s">
        <v>1813</v>
      </c>
      <c r="D288" s="32" t="s">
        <v>2229</v>
      </c>
      <c r="E288" t="s">
        <v>21</v>
      </c>
      <c r="F288" t="s">
        <v>22</v>
      </c>
      <c r="G288" t="s">
        <v>23</v>
      </c>
      <c r="H288" t="s">
        <v>47</v>
      </c>
      <c r="I288" t="s">
        <v>25</v>
      </c>
      <c r="J288">
        <v>6.5</v>
      </c>
      <c r="K288">
        <v>24</v>
      </c>
      <c r="L288" t="s">
        <v>26</v>
      </c>
      <c r="M288">
        <v>4</v>
      </c>
      <c r="N288" t="s">
        <v>27</v>
      </c>
      <c r="O288" t="s">
        <v>28</v>
      </c>
      <c r="P288" t="s">
        <v>29</v>
      </c>
      <c r="Q288" t="s">
        <v>30</v>
      </c>
      <c r="R288" t="str">
        <f>IF(Table14[[#This Row],[Resolution_Time]]&gt;Table14[[#This Row],[SLA_Target]],"No", "Yes")</f>
        <v>Yes</v>
      </c>
      <c r="S288" t="str">
        <f>IF(Table14[[#This Row],[Calculated_SLA]]=Table14[[#This Row],[SLA_Met]],"Match","Mismatch")</f>
        <v>Match</v>
      </c>
      <c r="T288">
        <f>IF(Table14[[#This Row],[Calculated_SLA]]="Yes",1,0)</f>
        <v>1</v>
      </c>
      <c r="U288" t="str">
        <f>IF(COUNTIFS(Reference_data!A:A,Table14[[#This Row],[Category]],Reference_data!B:B,Table14[[#This Row],[Subcategory]])&gt;0,"Valid","Invalid")</f>
        <v>Valid</v>
      </c>
    </row>
    <row r="289" spans="1:21">
      <c r="A289" t="s">
        <v>928</v>
      </c>
      <c r="B289" t="s">
        <v>32</v>
      </c>
      <c r="C289" s="31" t="s">
        <v>1914</v>
      </c>
      <c r="D289" s="32" t="s">
        <v>2296</v>
      </c>
      <c r="E289" t="s">
        <v>84</v>
      </c>
      <c r="F289" t="s">
        <v>116</v>
      </c>
      <c r="G289" t="s">
        <v>23</v>
      </c>
      <c r="H289" t="s">
        <v>138</v>
      </c>
      <c r="I289" t="s">
        <v>87</v>
      </c>
      <c r="J289">
        <v>7.8</v>
      </c>
      <c r="K289">
        <v>24</v>
      </c>
      <c r="L289" t="s">
        <v>26</v>
      </c>
      <c r="M289">
        <v>4</v>
      </c>
      <c r="N289" t="s">
        <v>27</v>
      </c>
      <c r="O289" t="s">
        <v>28</v>
      </c>
      <c r="P289" t="s">
        <v>29</v>
      </c>
      <c r="Q289" t="s">
        <v>101</v>
      </c>
      <c r="R289" t="str">
        <f>IF(Table14[[#This Row],[Resolution_Time]]&gt;Table14[[#This Row],[SLA_Target]],"No", "Yes")</f>
        <v>Yes</v>
      </c>
      <c r="S289" t="str">
        <f>IF(Table14[[#This Row],[Calculated_SLA]]=Table14[[#This Row],[SLA_Met]],"Match","Mismatch")</f>
        <v>Match</v>
      </c>
      <c r="T289">
        <f>IF(Table14[[#This Row],[Calculated_SLA]]="Yes",1,0)</f>
        <v>1</v>
      </c>
      <c r="U289" t="str">
        <f>IF(COUNTIFS(Reference_data!A:A,Table14[[#This Row],[Category]],Reference_data!B:B,Table14[[#This Row],[Subcategory]])&gt;0,"Valid","Invalid")</f>
        <v>Valid</v>
      </c>
    </row>
    <row r="290" spans="1:21">
      <c r="A290" t="s">
        <v>931</v>
      </c>
      <c r="B290" t="s">
        <v>106</v>
      </c>
      <c r="C290" s="31" t="s">
        <v>1915</v>
      </c>
      <c r="D290" s="32" t="s">
        <v>2060</v>
      </c>
      <c r="E290" t="s">
        <v>78</v>
      </c>
      <c r="F290" t="s">
        <v>166</v>
      </c>
      <c r="G290" t="s">
        <v>23</v>
      </c>
      <c r="H290" t="s">
        <v>86</v>
      </c>
      <c r="I290" t="s">
        <v>80</v>
      </c>
      <c r="J290">
        <v>13.9</v>
      </c>
      <c r="K290">
        <v>24</v>
      </c>
      <c r="L290" t="s">
        <v>26</v>
      </c>
      <c r="M290">
        <v>5</v>
      </c>
      <c r="N290" t="s">
        <v>27</v>
      </c>
      <c r="O290" t="s">
        <v>28</v>
      </c>
      <c r="P290" t="s">
        <v>29</v>
      </c>
      <c r="Q290" t="s">
        <v>30</v>
      </c>
      <c r="R290" t="str">
        <f>IF(Table14[[#This Row],[Resolution_Time]]&gt;Table14[[#This Row],[SLA_Target]],"No", "Yes")</f>
        <v>Yes</v>
      </c>
      <c r="S290" t="str">
        <f>IF(Table14[[#This Row],[Calculated_SLA]]=Table14[[#This Row],[SLA_Met]],"Match","Mismatch")</f>
        <v>Match</v>
      </c>
      <c r="T290">
        <f>IF(Table14[[#This Row],[Calculated_SLA]]="Yes",1,0)</f>
        <v>1</v>
      </c>
      <c r="U290" t="str">
        <f>IF(COUNTIFS(Reference_data!A:A,Table14[[#This Row],[Category]],Reference_data!B:B,Table14[[#This Row],[Subcategory]])&gt;0,"Valid","Invalid")</f>
        <v>Valid</v>
      </c>
    </row>
    <row r="291" spans="1:21">
      <c r="A291" t="s">
        <v>934</v>
      </c>
      <c r="B291" t="s">
        <v>50</v>
      </c>
      <c r="C291" s="31" t="s">
        <v>1916</v>
      </c>
      <c r="D291" s="32" t="s">
        <v>2297</v>
      </c>
      <c r="E291" t="s">
        <v>44</v>
      </c>
      <c r="F291" t="s">
        <v>45</v>
      </c>
      <c r="G291" t="s">
        <v>54</v>
      </c>
      <c r="H291" t="s">
        <v>138</v>
      </c>
      <c r="I291" t="s">
        <v>48</v>
      </c>
      <c r="J291">
        <v>3.2</v>
      </c>
      <c r="K291">
        <v>4</v>
      </c>
      <c r="L291" t="s">
        <v>26</v>
      </c>
      <c r="M291">
        <v>5</v>
      </c>
      <c r="N291" t="s">
        <v>27</v>
      </c>
      <c r="O291" t="s">
        <v>28</v>
      </c>
      <c r="P291" t="s">
        <v>29</v>
      </c>
      <c r="Q291" t="s">
        <v>101</v>
      </c>
      <c r="R291" t="str">
        <f>IF(Table14[[#This Row],[Resolution_Time]]&gt;Table14[[#This Row],[SLA_Target]],"No", "Yes")</f>
        <v>Yes</v>
      </c>
      <c r="S291" t="str">
        <f>IF(Table14[[#This Row],[Calculated_SLA]]=Table14[[#This Row],[SLA_Met]],"Match","Mismatch")</f>
        <v>Match</v>
      </c>
      <c r="T291">
        <f>IF(Table14[[#This Row],[Calculated_SLA]]="Yes",1,0)</f>
        <v>1</v>
      </c>
      <c r="U291" t="str">
        <f>IF(COUNTIFS(Reference_data!A:A,Table14[[#This Row],[Category]],Reference_data!B:B,Table14[[#This Row],[Subcategory]])&gt;0,"Valid","Invalid")</f>
        <v>Valid</v>
      </c>
    </row>
    <row r="292" spans="1:21">
      <c r="A292" t="s">
        <v>937</v>
      </c>
      <c r="B292" t="s">
        <v>32</v>
      </c>
      <c r="C292" s="31" t="s">
        <v>1917</v>
      </c>
      <c r="D292" s="32" t="s">
        <v>2298</v>
      </c>
      <c r="E292" t="s">
        <v>21</v>
      </c>
      <c r="F292" t="s">
        <v>22</v>
      </c>
      <c r="G292" t="s">
        <v>23</v>
      </c>
      <c r="H292" t="s">
        <v>86</v>
      </c>
      <c r="I292" t="s">
        <v>25</v>
      </c>
      <c r="J292">
        <v>9.9</v>
      </c>
      <c r="K292">
        <v>24</v>
      </c>
      <c r="L292" t="s">
        <v>26</v>
      </c>
      <c r="M292">
        <v>5</v>
      </c>
      <c r="N292" t="s">
        <v>27</v>
      </c>
      <c r="O292" t="s">
        <v>28</v>
      </c>
      <c r="P292" t="s">
        <v>29</v>
      </c>
      <c r="Q292" t="s">
        <v>39</v>
      </c>
      <c r="R292" t="str">
        <f>IF(Table14[[#This Row],[Resolution_Time]]&gt;Table14[[#This Row],[SLA_Target]],"No", "Yes")</f>
        <v>Yes</v>
      </c>
      <c r="S292" t="str">
        <f>IF(Table14[[#This Row],[Calculated_SLA]]=Table14[[#This Row],[SLA_Met]],"Match","Mismatch")</f>
        <v>Match</v>
      </c>
      <c r="T292">
        <f>IF(Table14[[#This Row],[Calculated_SLA]]="Yes",1,0)</f>
        <v>1</v>
      </c>
      <c r="U292" t="str">
        <f>IF(COUNTIFS(Reference_data!A:A,Table14[[#This Row],[Category]],Reference_data!B:B,Table14[[#This Row],[Subcategory]])&gt;0,"Valid","Invalid")</f>
        <v>Valid</v>
      </c>
    </row>
    <row r="293" spans="1:21">
      <c r="A293" t="s">
        <v>940</v>
      </c>
      <c r="B293" t="s">
        <v>50</v>
      </c>
      <c r="C293" s="31" t="s">
        <v>1918</v>
      </c>
      <c r="D293" s="32" t="s">
        <v>2299</v>
      </c>
      <c r="E293" t="s">
        <v>21</v>
      </c>
      <c r="F293" t="s">
        <v>63</v>
      </c>
      <c r="G293" t="s">
        <v>46</v>
      </c>
      <c r="H293" t="s">
        <v>234</v>
      </c>
      <c r="I293" t="s">
        <v>25</v>
      </c>
      <c r="J293">
        <v>10.8</v>
      </c>
      <c r="K293">
        <v>8</v>
      </c>
      <c r="L293" t="s">
        <v>27</v>
      </c>
      <c r="M293">
        <v>3</v>
      </c>
      <c r="N293" t="s">
        <v>27</v>
      </c>
      <c r="O293" t="s">
        <v>28</v>
      </c>
      <c r="P293" t="s">
        <v>57</v>
      </c>
      <c r="Q293" t="s">
        <v>101</v>
      </c>
      <c r="R293" t="str">
        <f>IF(Table14[[#This Row],[Resolution_Time]]&gt;Table14[[#This Row],[SLA_Target]],"No", "Yes")</f>
        <v>No</v>
      </c>
      <c r="S293" t="str">
        <f>IF(Table14[[#This Row],[Calculated_SLA]]=Table14[[#This Row],[SLA_Met]],"Match","Mismatch")</f>
        <v>Match</v>
      </c>
      <c r="T293">
        <f>IF(Table14[[#This Row],[Calculated_SLA]]="Yes",1,0)</f>
        <v>0</v>
      </c>
      <c r="U293" t="str">
        <f>IF(COUNTIFS(Reference_data!A:A,Table14[[#This Row],[Category]],Reference_data!B:B,Table14[[#This Row],[Subcategory]])&gt;0,"Valid","Invalid")</f>
        <v>Valid</v>
      </c>
    </row>
    <row r="294" spans="1:21">
      <c r="A294" t="s">
        <v>943</v>
      </c>
      <c r="B294" t="s">
        <v>18</v>
      </c>
      <c r="C294" s="31" t="s">
        <v>1723</v>
      </c>
      <c r="D294" s="32" t="s">
        <v>1737</v>
      </c>
      <c r="E294" t="s">
        <v>78</v>
      </c>
      <c r="F294" t="s">
        <v>79</v>
      </c>
      <c r="G294" t="s">
        <v>46</v>
      </c>
      <c r="H294" t="s">
        <v>55</v>
      </c>
      <c r="I294" t="s">
        <v>80</v>
      </c>
      <c r="J294">
        <v>19.3</v>
      </c>
      <c r="K294">
        <v>8</v>
      </c>
      <c r="L294" t="s">
        <v>27</v>
      </c>
      <c r="M294">
        <v>3</v>
      </c>
      <c r="N294" t="s">
        <v>27</v>
      </c>
      <c r="O294" t="s">
        <v>28</v>
      </c>
      <c r="P294" t="s">
        <v>57</v>
      </c>
      <c r="Q294" t="s">
        <v>101</v>
      </c>
      <c r="R294" t="str">
        <f>IF(Table14[[#This Row],[Resolution_Time]]&gt;Table14[[#This Row],[SLA_Target]],"No", "Yes")</f>
        <v>No</v>
      </c>
      <c r="S294" t="str">
        <f>IF(Table14[[#This Row],[Calculated_SLA]]=Table14[[#This Row],[SLA_Met]],"Match","Mismatch")</f>
        <v>Match</v>
      </c>
      <c r="T294">
        <f>IF(Table14[[#This Row],[Calculated_SLA]]="Yes",1,0)</f>
        <v>0</v>
      </c>
      <c r="U294" t="str">
        <f>IF(COUNTIFS(Reference_data!A:A,Table14[[#This Row],[Category]],Reference_data!B:B,Table14[[#This Row],[Subcategory]])&gt;0,"Valid","Invalid")</f>
        <v>Valid</v>
      </c>
    </row>
    <row r="295" spans="1:21">
      <c r="A295" t="s">
        <v>946</v>
      </c>
      <c r="B295" t="s">
        <v>121</v>
      </c>
      <c r="C295" s="31" t="s">
        <v>1779</v>
      </c>
      <c r="D295" s="32" t="s">
        <v>2300</v>
      </c>
      <c r="E295" t="s">
        <v>21</v>
      </c>
      <c r="F295" t="s">
        <v>22</v>
      </c>
      <c r="G295" t="s">
        <v>54</v>
      </c>
      <c r="H295" t="s">
        <v>91</v>
      </c>
      <c r="I295" t="s">
        <v>25</v>
      </c>
      <c r="J295">
        <v>13</v>
      </c>
      <c r="K295">
        <v>4</v>
      </c>
      <c r="L295" t="s">
        <v>27</v>
      </c>
      <c r="M295">
        <v>1</v>
      </c>
      <c r="N295" t="s">
        <v>26</v>
      </c>
      <c r="O295" t="s">
        <v>28</v>
      </c>
      <c r="P295" t="s">
        <v>1670</v>
      </c>
      <c r="Q295" t="s">
        <v>58</v>
      </c>
      <c r="R295" t="str">
        <f>IF(Table14[[#This Row],[Resolution_Time]]&gt;Table14[[#This Row],[SLA_Target]],"No", "Yes")</f>
        <v>No</v>
      </c>
      <c r="S295" t="str">
        <f>IF(Table14[[#This Row],[Calculated_SLA]]=Table14[[#This Row],[SLA_Met]],"Match","Mismatch")</f>
        <v>Match</v>
      </c>
      <c r="T295">
        <f>IF(Table14[[#This Row],[Calculated_SLA]]="Yes",1,0)</f>
        <v>0</v>
      </c>
      <c r="U295" t="str">
        <f>IF(COUNTIFS(Reference_data!A:A,Table14[[#This Row],[Category]],Reference_data!B:B,Table14[[#This Row],[Subcategory]])&gt;0,"Valid","Invalid")</f>
        <v>Valid</v>
      </c>
    </row>
    <row r="296" spans="1:21">
      <c r="A296" t="s">
        <v>949</v>
      </c>
      <c r="B296" t="s">
        <v>60</v>
      </c>
      <c r="C296" s="31" t="s">
        <v>1919</v>
      </c>
      <c r="D296" s="32" t="s">
        <v>2301</v>
      </c>
      <c r="E296" t="s">
        <v>21</v>
      </c>
      <c r="F296" t="s">
        <v>63</v>
      </c>
      <c r="G296" t="s">
        <v>23</v>
      </c>
      <c r="H296" t="s">
        <v>24</v>
      </c>
      <c r="I296" t="s">
        <v>25</v>
      </c>
      <c r="J296">
        <v>12.2</v>
      </c>
      <c r="K296">
        <v>24</v>
      </c>
      <c r="L296" t="s">
        <v>26</v>
      </c>
      <c r="M296">
        <v>5</v>
      </c>
      <c r="N296" t="s">
        <v>27</v>
      </c>
      <c r="O296" t="s">
        <v>28</v>
      </c>
      <c r="P296" t="s">
        <v>29</v>
      </c>
      <c r="Q296" t="s">
        <v>101</v>
      </c>
      <c r="R296" t="str">
        <f>IF(Table14[[#This Row],[Resolution_Time]]&gt;Table14[[#This Row],[SLA_Target]],"No", "Yes")</f>
        <v>Yes</v>
      </c>
      <c r="S296" t="str">
        <f>IF(Table14[[#This Row],[Calculated_SLA]]=Table14[[#This Row],[SLA_Met]],"Match","Mismatch")</f>
        <v>Match</v>
      </c>
      <c r="T296">
        <f>IF(Table14[[#This Row],[Calculated_SLA]]="Yes",1,0)</f>
        <v>1</v>
      </c>
      <c r="U296" t="str">
        <f>IF(COUNTIFS(Reference_data!A:A,Table14[[#This Row],[Category]],Reference_data!B:B,Table14[[#This Row],[Subcategory]])&gt;0,"Valid","Invalid")</f>
        <v>Valid</v>
      </c>
    </row>
    <row r="297" spans="1:21">
      <c r="A297" t="s">
        <v>952</v>
      </c>
      <c r="B297" t="s">
        <v>32</v>
      </c>
      <c r="C297" s="31" t="s">
        <v>1804</v>
      </c>
      <c r="D297" s="32" t="s">
        <v>2087</v>
      </c>
      <c r="E297" t="s">
        <v>21</v>
      </c>
      <c r="F297" t="s">
        <v>69</v>
      </c>
      <c r="G297" t="s">
        <v>54</v>
      </c>
      <c r="H297" t="s">
        <v>70</v>
      </c>
      <c r="I297" t="s">
        <v>25</v>
      </c>
      <c r="J297">
        <v>7.6</v>
      </c>
      <c r="K297">
        <v>4</v>
      </c>
      <c r="L297" t="s">
        <v>27</v>
      </c>
      <c r="M297">
        <v>3</v>
      </c>
      <c r="N297" t="s">
        <v>26</v>
      </c>
      <c r="O297" t="s">
        <v>28</v>
      </c>
      <c r="P297" t="s">
        <v>1670</v>
      </c>
      <c r="Q297" t="s">
        <v>39</v>
      </c>
      <c r="R297" t="str">
        <f>IF(Table14[[#This Row],[Resolution_Time]]&gt;Table14[[#This Row],[SLA_Target]],"No", "Yes")</f>
        <v>No</v>
      </c>
      <c r="S297" t="str">
        <f>IF(Table14[[#This Row],[Calculated_SLA]]=Table14[[#This Row],[SLA_Met]],"Match","Mismatch")</f>
        <v>Match</v>
      </c>
      <c r="T297">
        <f>IF(Table14[[#This Row],[Calculated_SLA]]="Yes",1,0)</f>
        <v>0</v>
      </c>
      <c r="U297" t="str">
        <f>IF(COUNTIFS(Reference_data!A:A,Table14[[#This Row],[Category]],Reference_data!B:B,Table14[[#This Row],[Subcategory]])&gt;0,"Valid","Invalid")</f>
        <v>Valid</v>
      </c>
    </row>
    <row r="298" spans="1:21">
      <c r="A298" t="s">
        <v>955</v>
      </c>
      <c r="B298" t="s">
        <v>75</v>
      </c>
      <c r="C298" s="31" t="s">
        <v>1920</v>
      </c>
      <c r="D298" s="32" t="s">
        <v>2302</v>
      </c>
      <c r="E298" t="s">
        <v>35</v>
      </c>
      <c r="F298" t="s">
        <v>53</v>
      </c>
      <c r="G298" t="s">
        <v>54</v>
      </c>
      <c r="H298" t="s">
        <v>70</v>
      </c>
      <c r="I298" t="s">
        <v>56</v>
      </c>
      <c r="J298">
        <v>9.4</v>
      </c>
      <c r="K298">
        <v>4</v>
      </c>
      <c r="L298" t="s">
        <v>27</v>
      </c>
      <c r="M298">
        <v>1</v>
      </c>
      <c r="N298" t="s">
        <v>27</v>
      </c>
      <c r="O298" t="s">
        <v>28</v>
      </c>
      <c r="P298" t="s">
        <v>57</v>
      </c>
      <c r="Q298" t="s">
        <v>101</v>
      </c>
      <c r="R298" t="str">
        <f>IF(Table14[[#This Row],[Resolution_Time]]&gt;Table14[[#This Row],[SLA_Target]],"No", "Yes")</f>
        <v>No</v>
      </c>
      <c r="S298" t="str">
        <f>IF(Table14[[#This Row],[Calculated_SLA]]=Table14[[#This Row],[SLA_Met]],"Match","Mismatch")</f>
        <v>Match</v>
      </c>
      <c r="T298">
        <f>IF(Table14[[#This Row],[Calculated_SLA]]="Yes",1,0)</f>
        <v>0</v>
      </c>
      <c r="U298" t="str">
        <f>IF(COUNTIFS(Reference_data!A:A,Table14[[#This Row],[Category]],Reference_data!B:B,Table14[[#This Row],[Subcategory]])&gt;0,"Valid","Invalid")</f>
        <v>Valid</v>
      </c>
    </row>
    <row r="299" spans="1:21">
      <c r="A299" t="s">
        <v>958</v>
      </c>
      <c r="B299" t="s">
        <v>50</v>
      </c>
      <c r="C299" s="31" t="s">
        <v>1921</v>
      </c>
      <c r="D299" s="32" t="s">
        <v>2303</v>
      </c>
      <c r="E299" t="s">
        <v>21</v>
      </c>
      <c r="F299" t="s">
        <v>63</v>
      </c>
      <c r="G299" t="s">
        <v>23</v>
      </c>
      <c r="H299" t="s">
        <v>64</v>
      </c>
      <c r="I299" t="s">
        <v>25</v>
      </c>
      <c r="J299">
        <v>7.3</v>
      </c>
      <c r="K299">
        <v>24</v>
      </c>
      <c r="L299" t="s">
        <v>26</v>
      </c>
      <c r="M299">
        <v>4</v>
      </c>
      <c r="N299" t="s">
        <v>27</v>
      </c>
      <c r="O299" t="s">
        <v>28</v>
      </c>
      <c r="P299" t="s">
        <v>29</v>
      </c>
      <c r="Q299" t="s">
        <v>30</v>
      </c>
      <c r="R299" t="str">
        <f>IF(Table14[[#This Row],[Resolution_Time]]&gt;Table14[[#This Row],[SLA_Target]],"No", "Yes")</f>
        <v>Yes</v>
      </c>
      <c r="S299" t="str">
        <f>IF(Table14[[#This Row],[Calculated_SLA]]=Table14[[#This Row],[SLA_Met]],"Match","Mismatch")</f>
        <v>Match</v>
      </c>
      <c r="T299">
        <f>IF(Table14[[#This Row],[Calculated_SLA]]="Yes",1,0)</f>
        <v>1</v>
      </c>
      <c r="U299" t="str">
        <f>IF(COUNTIFS(Reference_data!A:A,Table14[[#This Row],[Category]],Reference_data!B:B,Table14[[#This Row],[Subcategory]])&gt;0,"Valid","Invalid")</f>
        <v>Valid</v>
      </c>
    </row>
    <row r="300" spans="1:21">
      <c r="A300" t="s">
        <v>961</v>
      </c>
      <c r="B300" t="s">
        <v>32</v>
      </c>
      <c r="C300" s="31" t="s">
        <v>1922</v>
      </c>
      <c r="D300" s="32" t="s">
        <v>1960</v>
      </c>
      <c r="E300" t="s">
        <v>35</v>
      </c>
      <c r="F300" t="s">
        <v>127</v>
      </c>
      <c r="G300" t="s">
        <v>46</v>
      </c>
      <c r="H300" t="s">
        <v>64</v>
      </c>
      <c r="I300" t="s">
        <v>56</v>
      </c>
      <c r="J300">
        <v>5.3</v>
      </c>
      <c r="K300">
        <v>8</v>
      </c>
      <c r="L300" t="s">
        <v>26</v>
      </c>
      <c r="M300">
        <v>5</v>
      </c>
      <c r="N300" t="s">
        <v>27</v>
      </c>
      <c r="O300" t="s">
        <v>28</v>
      </c>
      <c r="P300" t="s">
        <v>29</v>
      </c>
      <c r="Q300" t="s">
        <v>58</v>
      </c>
      <c r="R300" t="str">
        <f>IF(Table14[[#This Row],[Resolution_Time]]&gt;Table14[[#This Row],[SLA_Target]],"No", "Yes")</f>
        <v>Yes</v>
      </c>
      <c r="S300" t="str">
        <f>IF(Table14[[#This Row],[Calculated_SLA]]=Table14[[#This Row],[SLA_Met]],"Match","Mismatch")</f>
        <v>Match</v>
      </c>
      <c r="T300">
        <f>IF(Table14[[#This Row],[Calculated_SLA]]="Yes",1,0)</f>
        <v>1</v>
      </c>
      <c r="U300" t="str">
        <f>IF(COUNTIFS(Reference_data!A:A,Table14[[#This Row],[Category]],Reference_data!B:B,Table14[[#This Row],[Subcategory]])&gt;0,"Valid","Invalid")</f>
        <v>Valid</v>
      </c>
    </row>
    <row r="301" spans="1:21">
      <c r="A301" t="s">
        <v>964</v>
      </c>
      <c r="B301" t="s">
        <v>32</v>
      </c>
      <c r="C301" s="31" t="s">
        <v>1923</v>
      </c>
      <c r="D301" s="32" t="s">
        <v>2304</v>
      </c>
      <c r="E301" t="s">
        <v>21</v>
      </c>
      <c r="F301" t="s">
        <v>63</v>
      </c>
      <c r="G301" t="s">
        <v>23</v>
      </c>
      <c r="H301" t="s">
        <v>24</v>
      </c>
      <c r="I301" t="s">
        <v>25</v>
      </c>
      <c r="J301">
        <v>19.2</v>
      </c>
      <c r="K301">
        <v>24</v>
      </c>
      <c r="L301" t="s">
        <v>27</v>
      </c>
      <c r="M301">
        <v>3</v>
      </c>
      <c r="N301" t="s">
        <v>26</v>
      </c>
      <c r="O301" t="s">
        <v>28</v>
      </c>
      <c r="P301" t="s">
        <v>1670</v>
      </c>
      <c r="Q301" t="s">
        <v>39</v>
      </c>
      <c r="R301" t="str">
        <f>IF(Table14[[#This Row],[Resolution_Time]]&gt;Table14[[#This Row],[SLA_Target]],"No", "Yes")</f>
        <v>Yes</v>
      </c>
      <c r="S301" t="str">
        <f>IF(Table14[[#This Row],[Calculated_SLA]]=Table14[[#This Row],[SLA_Met]],"Match","Mismatch")</f>
        <v>Mismatch</v>
      </c>
      <c r="T301">
        <f>IF(Table14[[#This Row],[Calculated_SLA]]="Yes",1,0)</f>
        <v>1</v>
      </c>
      <c r="U301" t="str">
        <f>IF(COUNTIFS(Reference_data!A:A,Table14[[#This Row],[Category]],Reference_data!B:B,Table14[[#This Row],[Subcategory]])&gt;0,"Valid","Invalid")</f>
        <v>Valid</v>
      </c>
    </row>
    <row r="302" spans="1:21">
      <c r="A302" t="s">
        <v>967</v>
      </c>
      <c r="B302" t="s">
        <v>121</v>
      </c>
      <c r="C302" s="31" t="s">
        <v>1730</v>
      </c>
      <c r="D302" s="32" t="s">
        <v>2305</v>
      </c>
      <c r="E302" t="s">
        <v>21</v>
      </c>
      <c r="F302" t="s">
        <v>69</v>
      </c>
      <c r="G302" t="s">
        <v>46</v>
      </c>
      <c r="H302" t="s">
        <v>64</v>
      </c>
      <c r="I302" t="s">
        <v>25</v>
      </c>
      <c r="J302">
        <v>7.5</v>
      </c>
      <c r="K302">
        <v>8</v>
      </c>
      <c r="L302" t="s">
        <v>26</v>
      </c>
      <c r="M302">
        <v>5</v>
      </c>
      <c r="N302" t="s">
        <v>27</v>
      </c>
      <c r="O302" t="s">
        <v>28</v>
      </c>
      <c r="P302" t="s">
        <v>29</v>
      </c>
      <c r="Q302" t="s">
        <v>39</v>
      </c>
      <c r="R302" t="str">
        <f>IF(Table14[[#This Row],[Resolution_Time]]&gt;Table14[[#This Row],[SLA_Target]],"No", "Yes")</f>
        <v>Yes</v>
      </c>
      <c r="S302" t="str">
        <f>IF(Table14[[#This Row],[Calculated_SLA]]=Table14[[#This Row],[SLA_Met]],"Match","Mismatch")</f>
        <v>Match</v>
      </c>
      <c r="T302">
        <f>IF(Table14[[#This Row],[Calculated_SLA]]="Yes",1,0)</f>
        <v>1</v>
      </c>
      <c r="U302" t="str">
        <f>IF(COUNTIFS(Reference_data!A:A,Table14[[#This Row],[Category]],Reference_data!B:B,Table14[[#This Row],[Subcategory]])&gt;0,"Valid","Invalid")</f>
        <v>Valid</v>
      </c>
    </row>
    <row r="303" spans="1:21">
      <c r="A303" t="s">
        <v>970</v>
      </c>
      <c r="B303" t="s">
        <v>32</v>
      </c>
      <c r="C303" s="31" t="s">
        <v>1924</v>
      </c>
      <c r="D303" s="32" t="s">
        <v>2172</v>
      </c>
      <c r="E303" t="s">
        <v>78</v>
      </c>
      <c r="F303" t="s">
        <v>166</v>
      </c>
      <c r="G303" t="s">
        <v>23</v>
      </c>
      <c r="H303" t="s">
        <v>86</v>
      </c>
      <c r="I303" t="s">
        <v>80</v>
      </c>
      <c r="J303">
        <v>12.4</v>
      </c>
      <c r="K303">
        <v>24</v>
      </c>
      <c r="L303" t="s">
        <v>26</v>
      </c>
      <c r="M303">
        <v>5</v>
      </c>
      <c r="N303" t="s">
        <v>27</v>
      </c>
      <c r="O303" t="s">
        <v>28</v>
      </c>
      <c r="P303" t="s">
        <v>29</v>
      </c>
      <c r="Q303" t="s">
        <v>58</v>
      </c>
      <c r="R303" t="str">
        <f>IF(Table14[[#This Row],[Resolution_Time]]&gt;Table14[[#This Row],[SLA_Target]],"No", "Yes")</f>
        <v>Yes</v>
      </c>
      <c r="S303" t="str">
        <f>IF(Table14[[#This Row],[Calculated_SLA]]=Table14[[#This Row],[SLA_Met]],"Match","Mismatch")</f>
        <v>Match</v>
      </c>
      <c r="T303">
        <f>IF(Table14[[#This Row],[Calculated_SLA]]="Yes",1,0)</f>
        <v>1</v>
      </c>
      <c r="U303" t="str">
        <f>IF(COUNTIFS(Reference_data!A:A,Table14[[#This Row],[Category]],Reference_data!B:B,Table14[[#This Row],[Subcategory]])&gt;0,"Valid","Invalid")</f>
        <v>Valid</v>
      </c>
    </row>
    <row r="304" spans="1:21">
      <c r="A304" t="s">
        <v>973</v>
      </c>
      <c r="B304" t="s">
        <v>121</v>
      </c>
      <c r="C304" s="31" t="s">
        <v>1925</v>
      </c>
      <c r="D304" s="32" t="s">
        <v>2306</v>
      </c>
      <c r="E304" t="s">
        <v>78</v>
      </c>
      <c r="F304" t="s">
        <v>166</v>
      </c>
      <c r="G304" t="s">
        <v>54</v>
      </c>
      <c r="H304" t="s">
        <v>24</v>
      </c>
      <c r="I304" t="s">
        <v>80</v>
      </c>
      <c r="J304">
        <v>17.7</v>
      </c>
      <c r="K304">
        <v>4</v>
      </c>
      <c r="L304" t="s">
        <v>27</v>
      </c>
      <c r="M304">
        <v>1</v>
      </c>
      <c r="N304" t="s">
        <v>27</v>
      </c>
      <c r="O304" t="s">
        <v>28</v>
      </c>
      <c r="P304" t="s">
        <v>57</v>
      </c>
      <c r="Q304" t="s">
        <v>58</v>
      </c>
      <c r="R304" t="str">
        <f>IF(Table14[[#This Row],[Resolution_Time]]&gt;Table14[[#This Row],[SLA_Target]],"No", "Yes")</f>
        <v>No</v>
      </c>
      <c r="S304" t="str">
        <f>IF(Table14[[#This Row],[Calculated_SLA]]=Table14[[#This Row],[SLA_Met]],"Match","Mismatch")</f>
        <v>Match</v>
      </c>
      <c r="T304">
        <f>IF(Table14[[#This Row],[Calculated_SLA]]="Yes",1,0)</f>
        <v>0</v>
      </c>
      <c r="U304" t="str">
        <f>IF(COUNTIFS(Reference_data!A:A,Table14[[#This Row],[Category]],Reference_data!B:B,Table14[[#This Row],[Subcategory]])&gt;0,"Valid","Invalid")</f>
        <v>Valid</v>
      </c>
    </row>
    <row r="305" spans="1:21">
      <c r="A305" t="s">
        <v>976</v>
      </c>
      <c r="B305" t="s">
        <v>32</v>
      </c>
      <c r="C305" s="31" t="s">
        <v>1926</v>
      </c>
      <c r="D305" s="32" t="s">
        <v>2307</v>
      </c>
      <c r="E305" t="s">
        <v>21</v>
      </c>
      <c r="F305" t="s">
        <v>22</v>
      </c>
      <c r="G305" t="s">
        <v>23</v>
      </c>
      <c r="H305" t="s">
        <v>234</v>
      </c>
      <c r="I305" t="s">
        <v>25</v>
      </c>
      <c r="J305">
        <v>15.2</v>
      </c>
      <c r="K305">
        <v>24</v>
      </c>
      <c r="L305" t="s">
        <v>26</v>
      </c>
      <c r="M305">
        <v>5</v>
      </c>
      <c r="N305" t="s">
        <v>27</v>
      </c>
      <c r="O305" t="s">
        <v>28</v>
      </c>
      <c r="P305" t="s">
        <v>29</v>
      </c>
      <c r="Q305" t="s">
        <v>30</v>
      </c>
      <c r="R305" t="str">
        <f>IF(Table14[[#This Row],[Resolution_Time]]&gt;Table14[[#This Row],[SLA_Target]],"No", "Yes")</f>
        <v>Yes</v>
      </c>
      <c r="S305" t="str">
        <f>IF(Table14[[#This Row],[Calculated_SLA]]=Table14[[#This Row],[SLA_Met]],"Match","Mismatch")</f>
        <v>Match</v>
      </c>
      <c r="T305">
        <f>IF(Table14[[#This Row],[Calculated_SLA]]="Yes",1,0)</f>
        <v>1</v>
      </c>
      <c r="U305" t="str">
        <f>IF(COUNTIFS(Reference_data!A:A,Table14[[#This Row],[Category]],Reference_data!B:B,Table14[[#This Row],[Subcategory]])&gt;0,"Valid","Invalid")</f>
        <v>Valid</v>
      </c>
    </row>
    <row r="306" spans="1:21">
      <c r="A306" t="s">
        <v>979</v>
      </c>
      <c r="B306" t="s">
        <v>32</v>
      </c>
      <c r="C306" s="31" t="s">
        <v>1707</v>
      </c>
      <c r="D306" s="32" t="s">
        <v>2308</v>
      </c>
      <c r="E306" t="s">
        <v>44</v>
      </c>
      <c r="F306" t="s">
        <v>45</v>
      </c>
      <c r="G306" t="s">
        <v>23</v>
      </c>
      <c r="H306" t="s">
        <v>91</v>
      </c>
      <c r="I306" t="s">
        <v>48</v>
      </c>
      <c r="J306">
        <v>2.2999999999999998</v>
      </c>
      <c r="K306">
        <v>24</v>
      </c>
      <c r="L306" t="s">
        <v>26</v>
      </c>
      <c r="M306">
        <v>4</v>
      </c>
      <c r="N306" t="s">
        <v>27</v>
      </c>
      <c r="O306" t="s">
        <v>28</v>
      </c>
      <c r="P306" t="s">
        <v>29</v>
      </c>
      <c r="Q306" t="s">
        <v>30</v>
      </c>
      <c r="R306" t="str">
        <f>IF(Table14[[#This Row],[Resolution_Time]]&gt;Table14[[#This Row],[SLA_Target]],"No", "Yes")</f>
        <v>Yes</v>
      </c>
      <c r="S306" t="str">
        <f>IF(Table14[[#This Row],[Calculated_SLA]]=Table14[[#This Row],[SLA_Met]],"Match","Mismatch")</f>
        <v>Match</v>
      </c>
      <c r="T306">
        <f>IF(Table14[[#This Row],[Calculated_SLA]]="Yes",1,0)</f>
        <v>1</v>
      </c>
      <c r="U306" t="str">
        <f>IF(COUNTIFS(Reference_data!A:A,Table14[[#This Row],[Category]],Reference_data!B:B,Table14[[#This Row],[Subcategory]])&gt;0,"Valid","Invalid")</f>
        <v>Valid</v>
      </c>
    </row>
    <row r="307" spans="1:21">
      <c r="A307" t="s">
        <v>982</v>
      </c>
      <c r="B307" t="s">
        <v>32</v>
      </c>
      <c r="C307" s="31" t="s">
        <v>1732</v>
      </c>
      <c r="D307" s="32" t="s">
        <v>1707</v>
      </c>
      <c r="E307" t="s">
        <v>78</v>
      </c>
      <c r="F307" t="s">
        <v>79</v>
      </c>
      <c r="G307" t="s">
        <v>46</v>
      </c>
      <c r="H307" t="s">
        <v>91</v>
      </c>
      <c r="I307" t="s">
        <v>80</v>
      </c>
      <c r="J307">
        <v>20.100000000000001</v>
      </c>
      <c r="K307">
        <v>8</v>
      </c>
      <c r="L307" t="s">
        <v>27</v>
      </c>
      <c r="M307">
        <v>3</v>
      </c>
      <c r="N307" t="s">
        <v>26</v>
      </c>
      <c r="O307" t="s">
        <v>28</v>
      </c>
      <c r="P307" t="s">
        <v>1670</v>
      </c>
      <c r="Q307" t="s">
        <v>30</v>
      </c>
      <c r="R307" t="str">
        <f>IF(Table14[[#This Row],[Resolution_Time]]&gt;Table14[[#This Row],[SLA_Target]],"No", "Yes")</f>
        <v>No</v>
      </c>
      <c r="S307" t="str">
        <f>IF(Table14[[#This Row],[Calculated_SLA]]=Table14[[#This Row],[SLA_Met]],"Match","Mismatch")</f>
        <v>Match</v>
      </c>
      <c r="T307">
        <f>IF(Table14[[#This Row],[Calculated_SLA]]="Yes",1,0)</f>
        <v>0</v>
      </c>
      <c r="U307" t="str">
        <f>IF(COUNTIFS(Reference_data!A:A,Table14[[#This Row],[Category]],Reference_data!B:B,Table14[[#This Row],[Subcategory]])&gt;0,"Valid","Invalid")</f>
        <v>Valid</v>
      </c>
    </row>
    <row r="308" spans="1:21">
      <c r="A308" t="s">
        <v>984</v>
      </c>
      <c r="B308" t="s">
        <v>106</v>
      </c>
      <c r="C308" s="31" t="s">
        <v>1927</v>
      </c>
      <c r="D308" s="32" t="s">
        <v>2309</v>
      </c>
      <c r="E308" t="s">
        <v>21</v>
      </c>
      <c r="F308" t="s">
        <v>69</v>
      </c>
      <c r="G308" t="s">
        <v>23</v>
      </c>
      <c r="H308" t="s">
        <v>91</v>
      </c>
      <c r="I308" t="s">
        <v>25</v>
      </c>
      <c r="J308">
        <v>11.6</v>
      </c>
      <c r="K308">
        <v>24</v>
      </c>
      <c r="L308" t="s">
        <v>26</v>
      </c>
      <c r="M308">
        <v>4</v>
      </c>
      <c r="N308" t="s">
        <v>27</v>
      </c>
      <c r="O308" t="s">
        <v>28</v>
      </c>
      <c r="P308" t="s">
        <v>29</v>
      </c>
      <c r="Q308" t="s">
        <v>39</v>
      </c>
      <c r="R308" t="str">
        <f>IF(Table14[[#This Row],[Resolution_Time]]&gt;Table14[[#This Row],[SLA_Target]],"No", "Yes")</f>
        <v>Yes</v>
      </c>
      <c r="S308" t="str">
        <f>IF(Table14[[#This Row],[Calculated_SLA]]=Table14[[#This Row],[SLA_Met]],"Match","Mismatch")</f>
        <v>Match</v>
      </c>
      <c r="T308">
        <f>IF(Table14[[#This Row],[Calculated_SLA]]="Yes",1,0)</f>
        <v>1</v>
      </c>
      <c r="U308" t="str">
        <f>IF(COUNTIFS(Reference_data!A:A,Table14[[#This Row],[Category]],Reference_data!B:B,Table14[[#This Row],[Subcategory]])&gt;0,"Valid","Invalid")</f>
        <v>Valid</v>
      </c>
    </row>
    <row r="309" spans="1:21">
      <c r="A309" t="s">
        <v>987</v>
      </c>
      <c r="B309" t="s">
        <v>75</v>
      </c>
      <c r="C309" s="31" t="s">
        <v>1928</v>
      </c>
      <c r="D309" s="32" t="s">
        <v>2310</v>
      </c>
      <c r="E309" t="s">
        <v>21</v>
      </c>
      <c r="F309" t="s">
        <v>63</v>
      </c>
      <c r="G309" t="s">
        <v>46</v>
      </c>
      <c r="H309" t="s">
        <v>86</v>
      </c>
      <c r="I309" t="s">
        <v>25</v>
      </c>
      <c r="J309">
        <v>10.7</v>
      </c>
      <c r="K309">
        <v>8</v>
      </c>
      <c r="L309" t="s">
        <v>27</v>
      </c>
      <c r="M309">
        <v>1</v>
      </c>
      <c r="N309" t="s">
        <v>27</v>
      </c>
      <c r="O309" t="s">
        <v>28</v>
      </c>
      <c r="P309" t="s">
        <v>1670</v>
      </c>
      <c r="Q309" t="s">
        <v>30</v>
      </c>
      <c r="R309" t="str">
        <f>IF(Table14[[#This Row],[Resolution_Time]]&gt;Table14[[#This Row],[SLA_Target]],"No", "Yes")</f>
        <v>No</v>
      </c>
      <c r="S309" t="str">
        <f>IF(Table14[[#This Row],[Calculated_SLA]]=Table14[[#This Row],[SLA_Met]],"Match","Mismatch")</f>
        <v>Match</v>
      </c>
      <c r="T309">
        <f>IF(Table14[[#This Row],[Calculated_SLA]]="Yes",1,0)</f>
        <v>0</v>
      </c>
      <c r="U309" t="str">
        <f>IF(COUNTIFS(Reference_data!A:A,Table14[[#This Row],[Category]],Reference_data!B:B,Table14[[#This Row],[Subcategory]])&gt;0,"Valid","Invalid")</f>
        <v>Valid</v>
      </c>
    </row>
    <row r="310" spans="1:21">
      <c r="A310" t="s">
        <v>990</v>
      </c>
      <c r="B310" t="s">
        <v>60</v>
      </c>
      <c r="C310" s="31" t="s">
        <v>1837</v>
      </c>
      <c r="D310" s="32" t="s">
        <v>2311</v>
      </c>
      <c r="E310" t="s">
        <v>44</v>
      </c>
      <c r="F310" t="s">
        <v>45</v>
      </c>
      <c r="G310" t="s">
        <v>54</v>
      </c>
      <c r="H310" t="s">
        <v>37</v>
      </c>
      <c r="I310" t="s">
        <v>48</v>
      </c>
      <c r="J310">
        <v>3.3</v>
      </c>
      <c r="K310">
        <v>4</v>
      </c>
      <c r="L310" t="s">
        <v>26</v>
      </c>
      <c r="M310">
        <v>5</v>
      </c>
      <c r="N310" t="s">
        <v>27</v>
      </c>
      <c r="O310" t="s">
        <v>28</v>
      </c>
      <c r="P310" t="s">
        <v>29</v>
      </c>
      <c r="Q310" t="s">
        <v>101</v>
      </c>
      <c r="R310" t="str">
        <f>IF(Table14[[#This Row],[Resolution_Time]]&gt;Table14[[#This Row],[SLA_Target]],"No", "Yes")</f>
        <v>Yes</v>
      </c>
      <c r="S310" t="str">
        <f>IF(Table14[[#This Row],[Calculated_SLA]]=Table14[[#This Row],[SLA_Met]],"Match","Mismatch")</f>
        <v>Match</v>
      </c>
      <c r="T310">
        <f>IF(Table14[[#This Row],[Calculated_SLA]]="Yes",1,0)</f>
        <v>1</v>
      </c>
      <c r="U310" t="str">
        <f>IF(COUNTIFS(Reference_data!A:A,Table14[[#This Row],[Category]],Reference_data!B:B,Table14[[#This Row],[Subcategory]])&gt;0,"Valid","Invalid")</f>
        <v>Valid</v>
      </c>
    </row>
    <row r="311" spans="1:21">
      <c r="A311" t="s">
        <v>993</v>
      </c>
      <c r="B311" t="s">
        <v>41</v>
      </c>
      <c r="C311" s="31" t="s">
        <v>1929</v>
      </c>
      <c r="D311" s="32" t="s">
        <v>2312</v>
      </c>
      <c r="E311" t="s">
        <v>21</v>
      </c>
      <c r="F311" t="s">
        <v>22</v>
      </c>
      <c r="G311" t="s">
        <v>46</v>
      </c>
      <c r="H311" t="s">
        <v>55</v>
      </c>
      <c r="I311" t="s">
        <v>25</v>
      </c>
      <c r="J311">
        <v>15.2</v>
      </c>
      <c r="K311">
        <v>8</v>
      </c>
      <c r="L311" t="s">
        <v>27</v>
      </c>
      <c r="M311">
        <v>1</v>
      </c>
      <c r="N311" t="s">
        <v>27</v>
      </c>
      <c r="O311" t="s">
        <v>28</v>
      </c>
      <c r="P311" t="s">
        <v>57</v>
      </c>
      <c r="Q311" t="s">
        <v>58</v>
      </c>
      <c r="R311" t="str">
        <f>IF(Table14[[#This Row],[Resolution_Time]]&gt;Table14[[#This Row],[SLA_Target]],"No", "Yes")</f>
        <v>No</v>
      </c>
      <c r="S311" t="str">
        <f>IF(Table14[[#This Row],[Calculated_SLA]]=Table14[[#This Row],[SLA_Met]],"Match","Mismatch")</f>
        <v>Match</v>
      </c>
      <c r="T311">
        <f>IF(Table14[[#This Row],[Calculated_SLA]]="Yes",1,0)</f>
        <v>0</v>
      </c>
      <c r="U311" t="str">
        <f>IF(COUNTIFS(Reference_data!A:A,Table14[[#This Row],[Category]],Reference_data!B:B,Table14[[#This Row],[Subcategory]])&gt;0,"Valid","Invalid")</f>
        <v>Valid</v>
      </c>
    </row>
    <row r="312" spans="1:21">
      <c r="A312" t="s">
        <v>996</v>
      </c>
      <c r="B312" t="s">
        <v>18</v>
      </c>
      <c r="C312" s="31" t="s">
        <v>1713</v>
      </c>
      <c r="D312" s="32" t="s">
        <v>2140</v>
      </c>
      <c r="E312" t="s">
        <v>84</v>
      </c>
      <c r="F312" t="s">
        <v>116</v>
      </c>
      <c r="G312" t="s">
        <v>46</v>
      </c>
      <c r="H312" t="s">
        <v>47</v>
      </c>
      <c r="I312" t="s">
        <v>87</v>
      </c>
      <c r="J312">
        <v>5.0999999999999996</v>
      </c>
      <c r="K312">
        <v>8</v>
      </c>
      <c r="L312" t="s">
        <v>26</v>
      </c>
      <c r="M312">
        <v>4</v>
      </c>
      <c r="N312" t="s">
        <v>27</v>
      </c>
      <c r="O312" t="s">
        <v>28</v>
      </c>
      <c r="P312" t="s">
        <v>29</v>
      </c>
      <c r="Q312" t="s">
        <v>58</v>
      </c>
      <c r="R312" t="str">
        <f>IF(Table14[[#This Row],[Resolution_Time]]&gt;Table14[[#This Row],[SLA_Target]],"No", "Yes")</f>
        <v>Yes</v>
      </c>
      <c r="S312" t="str">
        <f>IF(Table14[[#This Row],[Calculated_SLA]]=Table14[[#This Row],[SLA_Met]],"Match","Mismatch")</f>
        <v>Match</v>
      </c>
      <c r="T312">
        <f>IF(Table14[[#This Row],[Calculated_SLA]]="Yes",1,0)</f>
        <v>1</v>
      </c>
      <c r="U312" t="str">
        <f>IF(COUNTIFS(Reference_data!A:A,Table14[[#This Row],[Category]],Reference_data!B:B,Table14[[#This Row],[Subcategory]])&gt;0,"Valid","Invalid")</f>
        <v>Valid</v>
      </c>
    </row>
    <row r="313" spans="1:21">
      <c r="A313" t="s">
        <v>999</v>
      </c>
      <c r="B313" t="s">
        <v>121</v>
      </c>
      <c r="C313" s="31" t="s">
        <v>1792</v>
      </c>
      <c r="D313" s="32" t="s">
        <v>2313</v>
      </c>
      <c r="E313" t="s">
        <v>84</v>
      </c>
      <c r="F313" t="s">
        <v>116</v>
      </c>
      <c r="G313" t="s">
        <v>23</v>
      </c>
      <c r="H313" t="s">
        <v>55</v>
      </c>
      <c r="I313" t="s">
        <v>87</v>
      </c>
      <c r="J313">
        <v>4.0999999999999996</v>
      </c>
      <c r="K313">
        <v>24</v>
      </c>
      <c r="L313" t="s">
        <v>26</v>
      </c>
      <c r="M313">
        <v>5</v>
      </c>
      <c r="N313" t="s">
        <v>27</v>
      </c>
      <c r="O313" t="s">
        <v>28</v>
      </c>
      <c r="P313" t="s">
        <v>29</v>
      </c>
      <c r="Q313" t="s">
        <v>30</v>
      </c>
      <c r="R313" t="str">
        <f>IF(Table14[[#This Row],[Resolution_Time]]&gt;Table14[[#This Row],[SLA_Target]],"No", "Yes")</f>
        <v>Yes</v>
      </c>
      <c r="S313" t="str">
        <f>IF(Table14[[#This Row],[Calculated_SLA]]=Table14[[#This Row],[SLA_Met]],"Match","Mismatch")</f>
        <v>Match</v>
      </c>
      <c r="T313">
        <f>IF(Table14[[#This Row],[Calculated_SLA]]="Yes",1,0)</f>
        <v>1</v>
      </c>
      <c r="U313" t="str">
        <f>IF(COUNTIFS(Reference_data!A:A,Table14[[#This Row],[Category]],Reference_data!B:B,Table14[[#This Row],[Subcategory]])&gt;0,"Valid","Invalid")</f>
        <v>Valid</v>
      </c>
    </row>
    <row r="314" spans="1:21">
      <c r="A314" t="s">
        <v>1002</v>
      </c>
      <c r="B314" t="s">
        <v>32</v>
      </c>
      <c r="C314" s="31" t="s">
        <v>1930</v>
      </c>
      <c r="D314" s="32" t="s">
        <v>2314</v>
      </c>
      <c r="E314" t="s">
        <v>35</v>
      </c>
      <c r="F314" t="s">
        <v>127</v>
      </c>
      <c r="G314" t="s">
        <v>23</v>
      </c>
      <c r="H314" t="s">
        <v>91</v>
      </c>
      <c r="I314" t="s">
        <v>56</v>
      </c>
      <c r="J314">
        <v>11.1</v>
      </c>
      <c r="K314">
        <v>24</v>
      </c>
      <c r="L314" t="s">
        <v>26</v>
      </c>
      <c r="M314">
        <v>5</v>
      </c>
      <c r="N314" t="s">
        <v>27</v>
      </c>
      <c r="O314" t="s">
        <v>28</v>
      </c>
      <c r="P314" t="s">
        <v>29</v>
      </c>
      <c r="Q314" t="s">
        <v>101</v>
      </c>
      <c r="R314" t="str">
        <f>IF(Table14[[#This Row],[Resolution_Time]]&gt;Table14[[#This Row],[SLA_Target]],"No", "Yes")</f>
        <v>Yes</v>
      </c>
      <c r="S314" t="str">
        <f>IF(Table14[[#This Row],[Calculated_SLA]]=Table14[[#This Row],[SLA_Met]],"Match","Mismatch")</f>
        <v>Match</v>
      </c>
      <c r="T314">
        <f>IF(Table14[[#This Row],[Calculated_SLA]]="Yes",1,0)</f>
        <v>1</v>
      </c>
      <c r="U314" t="str">
        <f>IF(COUNTIFS(Reference_data!A:A,Table14[[#This Row],[Category]],Reference_data!B:B,Table14[[#This Row],[Subcategory]])&gt;0,"Valid","Invalid")</f>
        <v>Valid</v>
      </c>
    </row>
    <row r="315" spans="1:21">
      <c r="A315" t="s">
        <v>1005</v>
      </c>
      <c r="B315" t="s">
        <v>41</v>
      </c>
      <c r="C315" s="31" t="s">
        <v>1931</v>
      </c>
      <c r="D315" s="32" t="s">
        <v>1779</v>
      </c>
      <c r="E315" t="s">
        <v>21</v>
      </c>
      <c r="F315" t="s">
        <v>22</v>
      </c>
      <c r="G315" t="s">
        <v>23</v>
      </c>
      <c r="H315" t="s">
        <v>24</v>
      </c>
      <c r="I315" t="s">
        <v>25</v>
      </c>
      <c r="J315">
        <v>20.6</v>
      </c>
      <c r="K315">
        <v>24</v>
      </c>
      <c r="L315" t="s">
        <v>26</v>
      </c>
      <c r="M315">
        <v>4</v>
      </c>
      <c r="N315" t="s">
        <v>27</v>
      </c>
      <c r="O315" t="s">
        <v>28</v>
      </c>
      <c r="P315" t="s">
        <v>29</v>
      </c>
      <c r="Q315" t="s">
        <v>101</v>
      </c>
      <c r="R315" t="str">
        <f>IF(Table14[[#This Row],[Resolution_Time]]&gt;Table14[[#This Row],[SLA_Target]],"No", "Yes")</f>
        <v>Yes</v>
      </c>
      <c r="S315" t="str">
        <f>IF(Table14[[#This Row],[Calculated_SLA]]=Table14[[#This Row],[SLA_Met]],"Match","Mismatch")</f>
        <v>Match</v>
      </c>
      <c r="T315">
        <f>IF(Table14[[#This Row],[Calculated_SLA]]="Yes",1,0)</f>
        <v>1</v>
      </c>
      <c r="U315" t="str">
        <f>IF(COUNTIFS(Reference_data!A:A,Table14[[#This Row],[Category]],Reference_data!B:B,Table14[[#This Row],[Subcategory]])&gt;0,"Valid","Invalid")</f>
        <v>Valid</v>
      </c>
    </row>
    <row r="316" spans="1:21">
      <c r="A316" t="s">
        <v>1008</v>
      </c>
      <c r="B316" t="s">
        <v>32</v>
      </c>
      <c r="C316" s="31" t="s">
        <v>1932</v>
      </c>
      <c r="D316" s="32" t="s">
        <v>2315</v>
      </c>
      <c r="E316" t="s">
        <v>21</v>
      </c>
      <c r="F316" t="s">
        <v>69</v>
      </c>
      <c r="G316" t="s">
        <v>23</v>
      </c>
      <c r="H316" t="s">
        <v>70</v>
      </c>
      <c r="I316" t="s">
        <v>25</v>
      </c>
      <c r="J316">
        <v>10.199999999999999</v>
      </c>
      <c r="K316">
        <v>24</v>
      </c>
      <c r="L316" t="s">
        <v>26</v>
      </c>
      <c r="M316">
        <v>4</v>
      </c>
      <c r="N316" t="s">
        <v>27</v>
      </c>
      <c r="O316" t="s">
        <v>28</v>
      </c>
      <c r="P316" t="s">
        <v>29</v>
      </c>
      <c r="Q316" t="s">
        <v>30</v>
      </c>
      <c r="R316" t="str">
        <f>IF(Table14[[#This Row],[Resolution_Time]]&gt;Table14[[#This Row],[SLA_Target]],"No", "Yes")</f>
        <v>Yes</v>
      </c>
      <c r="S316" t="str">
        <f>IF(Table14[[#This Row],[Calculated_SLA]]=Table14[[#This Row],[SLA_Met]],"Match","Mismatch")</f>
        <v>Match</v>
      </c>
      <c r="T316">
        <f>IF(Table14[[#This Row],[Calculated_SLA]]="Yes",1,0)</f>
        <v>1</v>
      </c>
      <c r="U316" t="str">
        <f>IF(COUNTIFS(Reference_data!A:A,Table14[[#This Row],[Category]],Reference_data!B:B,Table14[[#This Row],[Subcategory]])&gt;0,"Valid","Invalid")</f>
        <v>Valid</v>
      </c>
    </row>
    <row r="317" spans="1:21">
      <c r="A317" t="s">
        <v>1011</v>
      </c>
      <c r="B317" t="s">
        <v>106</v>
      </c>
      <c r="C317" s="31" t="s">
        <v>1933</v>
      </c>
      <c r="D317" s="32" t="s">
        <v>2316</v>
      </c>
      <c r="E317" t="s">
        <v>35</v>
      </c>
      <c r="F317" t="s">
        <v>36</v>
      </c>
      <c r="G317" t="s">
        <v>23</v>
      </c>
      <c r="H317" t="s">
        <v>86</v>
      </c>
      <c r="I317" t="s">
        <v>38</v>
      </c>
      <c r="J317">
        <v>7</v>
      </c>
      <c r="K317">
        <v>24</v>
      </c>
      <c r="L317" t="s">
        <v>27</v>
      </c>
      <c r="M317" t="s">
        <v>2448</v>
      </c>
      <c r="N317" t="s">
        <v>27</v>
      </c>
      <c r="O317" t="s">
        <v>28</v>
      </c>
      <c r="P317" t="s">
        <v>1670</v>
      </c>
      <c r="Q317" t="s">
        <v>39</v>
      </c>
      <c r="R317" t="str">
        <f>IF(Table14[[#This Row],[Resolution_Time]]&gt;Table14[[#This Row],[SLA_Target]],"No", "Yes")</f>
        <v>Yes</v>
      </c>
      <c r="S317" t="str">
        <f>IF(Table14[[#This Row],[Calculated_SLA]]=Table14[[#This Row],[SLA_Met]],"Match","Mismatch")</f>
        <v>Mismatch</v>
      </c>
      <c r="T317">
        <f>IF(Table14[[#This Row],[Calculated_SLA]]="Yes",1,0)</f>
        <v>1</v>
      </c>
      <c r="U317" t="str">
        <f>IF(COUNTIFS(Reference_data!A:A,Table14[[#This Row],[Category]],Reference_data!B:B,Table14[[#This Row],[Subcategory]])&gt;0,"Valid","Invalid")</f>
        <v>Valid</v>
      </c>
    </row>
    <row r="318" spans="1:21">
      <c r="A318" t="s">
        <v>1014</v>
      </c>
      <c r="B318" t="s">
        <v>18</v>
      </c>
      <c r="C318" s="31" t="s">
        <v>1934</v>
      </c>
      <c r="D318" s="32" t="s">
        <v>2317</v>
      </c>
      <c r="E318" t="s">
        <v>78</v>
      </c>
      <c r="F318" t="s">
        <v>79</v>
      </c>
      <c r="G318" t="s">
        <v>54</v>
      </c>
      <c r="H318" t="s">
        <v>91</v>
      </c>
      <c r="I318" t="s">
        <v>80</v>
      </c>
      <c r="J318">
        <v>15.1</v>
      </c>
      <c r="K318">
        <v>4</v>
      </c>
      <c r="L318" t="s">
        <v>27</v>
      </c>
      <c r="M318">
        <v>2</v>
      </c>
      <c r="N318" t="s">
        <v>26</v>
      </c>
      <c r="O318" t="s">
        <v>28</v>
      </c>
      <c r="P318" t="s">
        <v>1670</v>
      </c>
      <c r="Q318" t="s">
        <v>30</v>
      </c>
      <c r="R318" t="str">
        <f>IF(Table14[[#This Row],[Resolution_Time]]&gt;Table14[[#This Row],[SLA_Target]],"No", "Yes")</f>
        <v>No</v>
      </c>
      <c r="S318" t="str">
        <f>IF(Table14[[#This Row],[Calculated_SLA]]=Table14[[#This Row],[SLA_Met]],"Match","Mismatch")</f>
        <v>Match</v>
      </c>
      <c r="T318">
        <f>IF(Table14[[#This Row],[Calculated_SLA]]="Yes",1,0)</f>
        <v>0</v>
      </c>
      <c r="U318" t="str">
        <f>IF(COUNTIFS(Reference_data!A:A,Table14[[#This Row],[Category]],Reference_data!B:B,Table14[[#This Row],[Subcategory]])&gt;0,"Valid","Invalid")</f>
        <v>Valid</v>
      </c>
    </row>
    <row r="319" spans="1:21">
      <c r="A319" t="s">
        <v>1017</v>
      </c>
      <c r="B319" t="s">
        <v>32</v>
      </c>
      <c r="C319" s="31" t="s">
        <v>1899</v>
      </c>
      <c r="D319" s="32" t="s">
        <v>2318</v>
      </c>
      <c r="E319" t="s">
        <v>21</v>
      </c>
      <c r="F319" t="s">
        <v>22</v>
      </c>
      <c r="G319" t="s">
        <v>54</v>
      </c>
      <c r="H319" t="s">
        <v>55</v>
      </c>
      <c r="I319" t="s">
        <v>25</v>
      </c>
      <c r="J319">
        <v>9.1</v>
      </c>
      <c r="K319">
        <v>4</v>
      </c>
      <c r="L319" t="s">
        <v>27</v>
      </c>
      <c r="M319">
        <v>3</v>
      </c>
      <c r="N319" t="s">
        <v>26</v>
      </c>
      <c r="O319" t="s">
        <v>28</v>
      </c>
      <c r="P319" t="s">
        <v>57</v>
      </c>
      <c r="Q319" t="s">
        <v>39</v>
      </c>
      <c r="R319" t="str">
        <f>IF(Table14[[#This Row],[Resolution_Time]]&gt;Table14[[#This Row],[SLA_Target]],"No", "Yes")</f>
        <v>No</v>
      </c>
      <c r="S319" t="str">
        <f>IF(Table14[[#This Row],[Calculated_SLA]]=Table14[[#This Row],[SLA_Met]],"Match","Mismatch")</f>
        <v>Match</v>
      </c>
      <c r="T319">
        <f>IF(Table14[[#This Row],[Calculated_SLA]]="Yes",1,0)</f>
        <v>0</v>
      </c>
      <c r="U319" t="str">
        <f>IF(COUNTIFS(Reference_data!A:A,Table14[[#This Row],[Category]],Reference_data!B:B,Table14[[#This Row],[Subcategory]])&gt;0,"Valid","Invalid")</f>
        <v>Valid</v>
      </c>
    </row>
    <row r="320" spans="1:21">
      <c r="A320" t="s">
        <v>1020</v>
      </c>
      <c r="B320" t="s">
        <v>60</v>
      </c>
      <c r="C320" s="31" t="s">
        <v>1832</v>
      </c>
      <c r="D320" s="32" t="s">
        <v>2319</v>
      </c>
      <c r="E320" t="s">
        <v>78</v>
      </c>
      <c r="F320" t="s">
        <v>191</v>
      </c>
      <c r="G320" t="s">
        <v>23</v>
      </c>
      <c r="H320" t="s">
        <v>37</v>
      </c>
      <c r="I320" t="s">
        <v>38</v>
      </c>
      <c r="J320">
        <v>13.5</v>
      </c>
      <c r="K320">
        <v>24</v>
      </c>
      <c r="L320" t="s">
        <v>26</v>
      </c>
      <c r="M320">
        <v>4</v>
      </c>
      <c r="N320" t="s">
        <v>27</v>
      </c>
      <c r="O320" t="s">
        <v>28</v>
      </c>
      <c r="P320" t="s">
        <v>29</v>
      </c>
      <c r="Q320" t="s">
        <v>58</v>
      </c>
      <c r="R320" t="str">
        <f>IF(Table14[[#This Row],[Resolution_Time]]&gt;Table14[[#This Row],[SLA_Target]],"No", "Yes")</f>
        <v>Yes</v>
      </c>
      <c r="S320" t="str">
        <f>IF(Table14[[#This Row],[Calculated_SLA]]=Table14[[#This Row],[SLA_Met]],"Match","Mismatch")</f>
        <v>Match</v>
      </c>
      <c r="T320">
        <f>IF(Table14[[#This Row],[Calculated_SLA]]="Yes",1,0)</f>
        <v>1</v>
      </c>
      <c r="U320" t="str">
        <f>IF(COUNTIFS(Reference_data!A:A,Table14[[#This Row],[Category]],Reference_data!B:B,Table14[[#This Row],[Subcategory]])&gt;0,"Valid","Invalid")</f>
        <v>Valid</v>
      </c>
    </row>
    <row r="321" spans="1:21">
      <c r="A321" t="s">
        <v>1023</v>
      </c>
      <c r="B321" t="s">
        <v>50</v>
      </c>
      <c r="C321" s="31" t="s">
        <v>1935</v>
      </c>
      <c r="D321" s="32" t="s">
        <v>2320</v>
      </c>
      <c r="E321" t="s">
        <v>84</v>
      </c>
      <c r="F321" t="s">
        <v>85</v>
      </c>
      <c r="G321" t="s">
        <v>54</v>
      </c>
      <c r="H321" t="s">
        <v>37</v>
      </c>
      <c r="I321" t="s">
        <v>87</v>
      </c>
      <c r="J321">
        <v>4.3</v>
      </c>
      <c r="K321">
        <v>4</v>
      </c>
      <c r="L321" t="s">
        <v>27</v>
      </c>
      <c r="M321">
        <v>3</v>
      </c>
      <c r="N321" t="s">
        <v>26</v>
      </c>
      <c r="O321" t="s">
        <v>28</v>
      </c>
      <c r="P321" t="s">
        <v>57</v>
      </c>
      <c r="Q321" t="s">
        <v>58</v>
      </c>
      <c r="R321" t="str">
        <f>IF(Table14[[#This Row],[Resolution_Time]]&gt;Table14[[#This Row],[SLA_Target]],"No", "Yes")</f>
        <v>No</v>
      </c>
      <c r="S321" t="str">
        <f>IF(Table14[[#This Row],[Calculated_SLA]]=Table14[[#This Row],[SLA_Met]],"Match","Mismatch")</f>
        <v>Match</v>
      </c>
      <c r="T321">
        <f>IF(Table14[[#This Row],[Calculated_SLA]]="Yes",1,0)</f>
        <v>0</v>
      </c>
      <c r="U321" t="str">
        <f>IF(COUNTIFS(Reference_data!A:A,Table14[[#This Row],[Category]],Reference_data!B:B,Table14[[#This Row],[Subcategory]])&gt;0,"Valid","Invalid")</f>
        <v>Valid</v>
      </c>
    </row>
    <row r="322" spans="1:21">
      <c r="A322" t="s">
        <v>1026</v>
      </c>
      <c r="B322" t="s">
        <v>60</v>
      </c>
      <c r="C322" s="31" t="s">
        <v>1936</v>
      </c>
      <c r="D322" s="32" t="s">
        <v>2321</v>
      </c>
      <c r="E322" t="s">
        <v>21</v>
      </c>
      <c r="F322" t="s">
        <v>69</v>
      </c>
      <c r="G322" t="s">
        <v>23</v>
      </c>
      <c r="H322" t="s">
        <v>37</v>
      </c>
      <c r="I322" t="s">
        <v>25</v>
      </c>
      <c r="J322">
        <v>15.1</v>
      </c>
      <c r="K322">
        <v>24</v>
      </c>
      <c r="L322" t="s">
        <v>26</v>
      </c>
      <c r="M322">
        <v>5</v>
      </c>
      <c r="N322" t="s">
        <v>27</v>
      </c>
      <c r="O322" t="s">
        <v>28</v>
      </c>
      <c r="P322" t="s">
        <v>29</v>
      </c>
      <c r="Q322" t="s">
        <v>30</v>
      </c>
      <c r="R322" t="str">
        <f>IF(Table14[[#This Row],[Resolution_Time]]&gt;Table14[[#This Row],[SLA_Target]],"No", "Yes")</f>
        <v>Yes</v>
      </c>
      <c r="S322" t="str">
        <f>IF(Table14[[#This Row],[Calculated_SLA]]=Table14[[#This Row],[SLA_Met]],"Match","Mismatch")</f>
        <v>Match</v>
      </c>
      <c r="T322">
        <f>IF(Table14[[#This Row],[Calculated_SLA]]="Yes",1,0)</f>
        <v>1</v>
      </c>
      <c r="U322" t="str">
        <f>IF(COUNTIFS(Reference_data!A:A,Table14[[#This Row],[Category]],Reference_data!B:B,Table14[[#This Row],[Subcategory]])&gt;0,"Valid","Invalid")</f>
        <v>Valid</v>
      </c>
    </row>
    <row r="323" spans="1:21">
      <c r="A323" t="s">
        <v>1029</v>
      </c>
      <c r="B323" t="s">
        <v>32</v>
      </c>
      <c r="C323" s="31" t="s">
        <v>1833</v>
      </c>
      <c r="D323" s="32" t="s">
        <v>2322</v>
      </c>
      <c r="E323" t="s">
        <v>35</v>
      </c>
      <c r="F323" t="s">
        <v>53</v>
      </c>
      <c r="G323" t="s">
        <v>46</v>
      </c>
      <c r="H323" t="s">
        <v>86</v>
      </c>
      <c r="I323" t="s">
        <v>56</v>
      </c>
      <c r="J323">
        <v>5</v>
      </c>
      <c r="K323">
        <v>8</v>
      </c>
      <c r="L323" t="s">
        <v>26</v>
      </c>
      <c r="M323">
        <v>5</v>
      </c>
      <c r="N323" t="s">
        <v>27</v>
      </c>
      <c r="O323" t="s">
        <v>28</v>
      </c>
      <c r="P323" t="s">
        <v>29</v>
      </c>
      <c r="Q323" t="s">
        <v>58</v>
      </c>
      <c r="R323" t="str">
        <f>IF(Table14[[#This Row],[Resolution_Time]]&gt;Table14[[#This Row],[SLA_Target]],"No", "Yes")</f>
        <v>Yes</v>
      </c>
      <c r="S323" t="str">
        <f>IF(Table14[[#This Row],[Calculated_SLA]]=Table14[[#This Row],[SLA_Met]],"Match","Mismatch")</f>
        <v>Match</v>
      </c>
      <c r="T323">
        <f>IF(Table14[[#This Row],[Calculated_SLA]]="Yes",1,0)</f>
        <v>1</v>
      </c>
      <c r="U323" t="str">
        <f>IF(COUNTIFS(Reference_data!A:A,Table14[[#This Row],[Category]],Reference_data!B:B,Table14[[#This Row],[Subcategory]])&gt;0,"Valid","Invalid")</f>
        <v>Valid</v>
      </c>
    </row>
    <row r="324" spans="1:21">
      <c r="A324" t="s">
        <v>1032</v>
      </c>
      <c r="B324" t="s">
        <v>18</v>
      </c>
      <c r="C324" s="31" t="s">
        <v>1766</v>
      </c>
      <c r="D324" s="32" t="s">
        <v>2315</v>
      </c>
      <c r="E324" t="s">
        <v>78</v>
      </c>
      <c r="F324" t="s">
        <v>166</v>
      </c>
      <c r="G324" t="s">
        <v>23</v>
      </c>
      <c r="H324" t="s">
        <v>24</v>
      </c>
      <c r="I324" t="s">
        <v>80</v>
      </c>
      <c r="J324">
        <v>19.7</v>
      </c>
      <c r="K324">
        <v>24</v>
      </c>
      <c r="L324" t="s">
        <v>26</v>
      </c>
      <c r="M324">
        <v>4</v>
      </c>
      <c r="N324" t="s">
        <v>27</v>
      </c>
      <c r="O324" t="s">
        <v>28</v>
      </c>
      <c r="P324" t="s">
        <v>29</v>
      </c>
      <c r="Q324" t="s">
        <v>58</v>
      </c>
      <c r="R324" t="str">
        <f>IF(Table14[[#This Row],[Resolution_Time]]&gt;Table14[[#This Row],[SLA_Target]],"No", "Yes")</f>
        <v>Yes</v>
      </c>
      <c r="S324" t="str">
        <f>IF(Table14[[#This Row],[Calculated_SLA]]=Table14[[#This Row],[SLA_Met]],"Match","Mismatch")</f>
        <v>Match</v>
      </c>
      <c r="T324">
        <f>IF(Table14[[#This Row],[Calculated_SLA]]="Yes",1,0)</f>
        <v>1</v>
      </c>
      <c r="U324" t="str">
        <f>IF(COUNTIFS(Reference_data!A:A,Table14[[#This Row],[Category]],Reference_data!B:B,Table14[[#This Row],[Subcategory]])&gt;0,"Valid","Invalid")</f>
        <v>Valid</v>
      </c>
    </row>
    <row r="325" spans="1:21">
      <c r="A325" t="s">
        <v>1035</v>
      </c>
      <c r="B325" t="s">
        <v>41</v>
      </c>
      <c r="C325" s="31" t="s">
        <v>1937</v>
      </c>
      <c r="D325" s="32" t="s">
        <v>2323</v>
      </c>
      <c r="E325" t="s">
        <v>21</v>
      </c>
      <c r="F325" t="s">
        <v>69</v>
      </c>
      <c r="G325" t="s">
        <v>46</v>
      </c>
      <c r="H325" t="s">
        <v>37</v>
      </c>
      <c r="I325" t="s">
        <v>25</v>
      </c>
      <c r="J325">
        <v>10</v>
      </c>
      <c r="K325">
        <v>8</v>
      </c>
      <c r="L325" t="s">
        <v>27</v>
      </c>
      <c r="M325">
        <v>1</v>
      </c>
      <c r="N325" t="s">
        <v>26</v>
      </c>
      <c r="O325" t="s">
        <v>28</v>
      </c>
      <c r="P325" t="s">
        <v>57</v>
      </c>
      <c r="Q325" t="s">
        <v>30</v>
      </c>
      <c r="R325" t="str">
        <f>IF(Table14[[#This Row],[Resolution_Time]]&gt;Table14[[#This Row],[SLA_Target]],"No", "Yes")</f>
        <v>No</v>
      </c>
      <c r="S325" t="str">
        <f>IF(Table14[[#This Row],[Calculated_SLA]]=Table14[[#This Row],[SLA_Met]],"Match","Mismatch")</f>
        <v>Match</v>
      </c>
      <c r="T325">
        <f>IF(Table14[[#This Row],[Calculated_SLA]]="Yes",1,0)</f>
        <v>0</v>
      </c>
      <c r="U325" t="str">
        <f>IF(COUNTIFS(Reference_data!A:A,Table14[[#This Row],[Category]],Reference_data!B:B,Table14[[#This Row],[Subcategory]])&gt;0,"Valid","Invalid")</f>
        <v>Valid</v>
      </c>
    </row>
    <row r="326" spans="1:21">
      <c r="A326" t="s">
        <v>1038</v>
      </c>
      <c r="B326" t="s">
        <v>75</v>
      </c>
      <c r="C326" s="31" t="s">
        <v>1938</v>
      </c>
      <c r="D326" s="32" t="s">
        <v>2324</v>
      </c>
      <c r="E326" t="s">
        <v>35</v>
      </c>
      <c r="F326" t="s">
        <v>53</v>
      </c>
      <c r="G326" t="s">
        <v>46</v>
      </c>
      <c r="H326" t="s">
        <v>37</v>
      </c>
      <c r="I326" t="s">
        <v>56</v>
      </c>
      <c r="J326">
        <v>8.1999999999999993</v>
      </c>
      <c r="K326">
        <v>8</v>
      </c>
      <c r="L326" t="s">
        <v>27</v>
      </c>
      <c r="M326">
        <v>3</v>
      </c>
      <c r="N326" t="s">
        <v>26</v>
      </c>
      <c r="O326" t="s">
        <v>28</v>
      </c>
      <c r="P326" t="s">
        <v>57</v>
      </c>
      <c r="Q326" t="s">
        <v>30</v>
      </c>
      <c r="R326" t="str">
        <f>IF(Table14[[#This Row],[Resolution_Time]]&gt;Table14[[#This Row],[SLA_Target]],"No", "Yes")</f>
        <v>No</v>
      </c>
      <c r="S326" t="str">
        <f>IF(Table14[[#This Row],[Calculated_SLA]]=Table14[[#This Row],[SLA_Met]],"Match","Mismatch")</f>
        <v>Match</v>
      </c>
      <c r="T326">
        <f>IF(Table14[[#This Row],[Calculated_SLA]]="Yes",1,0)</f>
        <v>0</v>
      </c>
      <c r="U326" t="str">
        <f>IF(COUNTIFS(Reference_data!A:A,Table14[[#This Row],[Category]],Reference_data!B:B,Table14[[#This Row],[Subcategory]])&gt;0,"Valid","Invalid")</f>
        <v>Valid</v>
      </c>
    </row>
    <row r="327" spans="1:21">
      <c r="A327" t="s">
        <v>1041</v>
      </c>
      <c r="B327" t="s">
        <v>60</v>
      </c>
      <c r="C327" s="31" t="s">
        <v>1939</v>
      </c>
      <c r="D327" s="32" t="s">
        <v>1760</v>
      </c>
      <c r="E327" t="s">
        <v>84</v>
      </c>
      <c r="F327" t="s">
        <v>85</v>
      </c>
      <c r="G327" t="s">
        <v>46</v>
      </c>
      <c r="H327" t="s">
        <v>234</v>
      </c>
      <c r="I327" t="s">
        <v>87</v>
      </c>
      <c r="J327">
        <v>8.5</v>
      </c>
      <c r="K327">
        <v>8</v>
      </c>
      <c r="L327" t="s">
        <v>27</v>
      </c>
      <c r="M327">
        <v>2</v>
      </c>
      <c r="N327" t="s">
        <v>27</v>
      </c>
      <c r="O327" t="s">
        <v>28</v>
      </c>
      <c r="P327" t="s">
        <v>57</v>
      </c>
      <c r="Q327" t="s">
        <v>58</v>
      </c>
      <c r="R327" t="str">
        <f>IF(Table14[[#This Row],[Resolution_Time]]&gt;Table14[[#This Row],[SLA_Target]],"No", "Yes")</f>
        <v>No</v>
      </c>
      <c r="S327" t="str">
        <f>IF(Table14[[#This Row],[Calculated_SLA]]=Table14[[#This Row],[SLA_Met]],"Match","Mismatch")</f>
        <v>Match</v>
      </c>
      <c r="T327">
        <f>IF(Table14[[#This Row],[Calculated_SLA]]="Yes",1,0)</f>
        <v>0</v>
      </c>
      <c r="U327" t="str">
        <f>IF(COUNTIFS(Reference_data!A:A,Table14[[#This Row],[Category]],Reference_data!B:B,Table14[[#This Row],[Subcategory]])&gt;0,"Valid","Invalid")</f>
        <v>Valid</v>
      </c>
    </row>
    <row r="328" spans="1:21">
      <c r="A328" t="s">
        <v>1044</v>
      </c>
      <c r="B328" t="s">
        <v>32</v>
      </c>
      <c r="C328" s="31" t="s">
        <v>1940</v>
      </c>
      <c r="D328" s="32" t="s">
        <v>2325</v>
      </c>
      <c r="E328" t="s">
        <v>78</v>
      </c>
      <c r="F328" t="s">
        <v>191</v>
      </c>
      <c r="G328" t="s">
        <v>23</v>
      </c>
      <c r="H328" t="s">
        <v>70</v>
      </c>
      <c r="I328" t="s">
        <v>38</v>
      </c>
      <c r="J328">
        <v>10.199999999999999</v>
      </c>
      <c r="K328">
        <v>24</v>
      </c>
      <c r="L328" t="s">
        <v>26</v>
      </c>
      <c r="M328">
        <v>5</v>
      </c>
      <c r="N328" t="s">
        <v>27</v>
      </c>
      <c r="O328" t="s">
        <v>28</v>
      </c>
      <c r="P328" t="s">
        <v>29</v>
      </c>
      <c r="Q328" t="s">
        <v>101</v>
      </c>
      <c r="R328" t="str">
        <f>IF(Table14[[#This Row],[Resolution_Time]]&gt;Table14[[#This Row],[SLA_Target]],"No", "Yes")</f>
        <v>Yes</v>
      </c>
      <c r="S328" t="str">
        <f>IF(Table14[[#This Row],[Calculated_SLA]]=Table14[[#This Row],[SLA_Met]],"Match","Mismatch")</f>
        <v>Match</v>
      </c>
      <c r="T328">
        <f>IF(Table14[[#This Row],[Calculated_SLA]]="Yes",1,0)</f>
        <v>1</v>
      </c>
      <c r="U328" t="str">
        <f>IF(COUNTIFS(Reference_data!A:A,Table14[[#This Row],[Category]],Reference_data!B:B,Table14[[#This Row],[Subcategory]])&gt;0,"Valid","Invalid")</f>
        <v>Valid</v>
      </c>
    </row>
    <row r="329" spans="1:21">
      <c r="A329" t="s">
        <v>1047</v>
      </c>
      <c r="B329" t="s">
        <v>106</v>
      </c>
      <c r="C329" s="31" t="s">
        <v>1941</v>
      </c>
      <c r="D329" s="32" t="s">
        <v>2326</v>
      </c>
      <c r="E329" t="s">
        <v>78</v>
      </c>
      <c r="F329" t="s">
        <v>191</v>
      </c>
      <c r="G329" t="s">
        <v>46</v>
      </c>
      <c r="H329" t="s">
        <v>37</v>
      </c>
      <c r="I329" t="s">
        <v>38</v>
      </c>
      <c r="J329">
        <v>19.2</v>
      </c>
      <c r="K329">
        <v>8</v>
      </c>
      <c r="L329" t="s">
        <v>27</v>
      </c>
      <c r="M329" t="s">
        <v>2448</v>
      </c>
      <c r="N329" t="s">
        <v>27</v>
      </c>
      <c r="O329" t="s">
        <v>28</v>
      </c>
      <c r="P329" t="s">
        <v>1670</v>
      </c>
      <c r="Q329" t="s">
        <v>101</v>
      </c>
      <c r="R329" t="str">
        <f>IF(Table14[[#This Row],[Resolution_Time]]&gt;Table14[[#This Row],[SLA_Target]],"No", "Yes")</f>
        <v>No</v>
      </c>
      <c r="S329" t="str">
        <f>IF(Table14[[#This Row],[Calculated_SLA]]=Table14[[#This Row],[SLA_Met]],"Match","Mismatch")</f>
        <v>Match</v>
      </c>
      <c r="T329">
        <f>IF(Table14[[#This Row],[Calculated_SLA]]="Yes",1,0)</f>
        <v>0</v>
      </c>
      <c r="U329" t="str">
        <f>IF(COUNTIFS(Reference_data!A:A,Table14[[#This Row],[Category]],Reference_data!B:B,Table14[[#This Row],[Subcategory]])&gt;0,"Valid","Invalid")</f>
        <v>Valid</v>
      </c>
    </row>
    <row r="330" spans="1:21">
      <c r="A330" t="s">
        <v>1050</v>
      </c>
      <c r="B330" t="s">
        <v>50</v>
      </c>
      <c r="C330" s="31" t="s">
        <v>1934</v>
      </c>
      <c r="D330" s="32" t="s">
        <v>2327</v>
      </c>
      <c r="E330" t="s">
        <v>35</v>
      </c>
      <c r="F330" t="s">
        <v>36</v>
      </c>
      <c r="G330" t="s">
        <v>23</v>
      </c>
      <c r="H330" t="s">
        <v>47</v>
      </c>
      <c r="I330" t="s">
        <v>38</v>
      </c>
      <c r="J330">
        <v>7.5</v>
      </c>
      <c r="K330">
        <v>24</v>
      </c>
      <c r="L330" t="s">
        <v>26</v>
      </c>
      <c r="M330">
        <v>4</v>
      </c>
      <c r="N330" t="s">
        <v>27</v>
      </c>
      <c r="O330" t="s">
        <v>28</v>
      </c>
      <c r="P330" t="s">
        <v>29</v>
      </c>
      <c r="Q330" t="s">
        <v>39</v>
      </c>
      <c r="R330" t="str">
        <f>IF(Table14[[#This Row],[Resolution_Time]]&gt;Table14[[#This Row],[SLA_Target]],"No", "Yes")</f>
        <v>Yes</v>
      </c>
      <c r="S330" t="str">
        <f>IF(Table14[[#This Row],[Calculated_SLA]]=Table14[[#This Row],[SLA_Met]],"Match","Mismatch")</f>
        <v>Match</v>
      </c>
      <c r="T330">
        <f>IF(Table14[[#This Row],[Calculated_SLA]]="Yes",1,0)</f>
        <v>1</v>
      </c>
      <c r="U330" t="str">
        <f>IF(COUNTIFS(Reference_data!A:A,Table14[[#This Row],[Category]],Reference_data!B:B,Table14[[#This Row],[Subcategory]])&gt;0,"Valid","Invalid")</f>
        <v>Valid</v>
      </c>
    </row>
    <row r="331" spans="1:21">
      <c r="A331" t="s">
        <v>1053</v>
      </c>
      <c r="B331" t="s">
        <v>66</v>
      </c>
      <c r="C331" s="31" t="s">
        <v>1942</v>
      </c>
      <c r="D331" s="32" t="s">
        <v>2328</v>
      </c>
      <c r="E331" t="s">
        <v>21</v>
      </c>
      <c r="F331" t="s">
        <v>69</v>
      </c>
      <c r="G331" t="s">
        <v>23</v>
      </c>
      <c r="H331" t="s">
        <v>70</v>
      </c>
      <c r="I331" t="s">
        <v>25</v>
      </c>
      <c r="J331">
        <v>8.9</v>
      </c>
      <c r="K331">
        <v>24</v>
      </c>
      <c r="L331" t="s">
        <v>26</v>
      </c>
      <c r="M331">
        <v>4</v>
      </c>
      <c r="N331" t="s">
        <v>27</v>
      </c>
      <c r="O331" t="s">
        <v>28</v>
      </c>
      <c r="P331" t="s">
        <v>29</v>
      </c>
      <c r="Q331" t="s">
        <v>101</v>
      </c>
      <c r="R331" t="str">
        <f>IF(Table14[[#This Row],[Resolution_Time]]&gt;Table14[[#This Row],[SLA_Target]],"No", "Yes")</f>
        <v>Yes</v>
      </c>
      <c r="S331" t="str">
        <f>IF(Table14[[#This Row],[Calculated_SLA]]=Table14[[#This Row],[SLA_Met]],"Match","Mismatch")</f>
        <v>Match</v>
      </c>
      <c r="T331">
        <f>IF(Table14[[#This Row],[Calculated_SLA]]="Yes",1,0)</f>
        <v>1</v>
      </c>
      <c r="U331" t="str">
        <f>IF(COUNTIFS(Reference_data!A:A,Table14[[#This Row],[Category]],Reference_data!B:B,Table14[[#This Row],[Subcategory]])&gt;0,"Valid","Invalid")</f>
        <v>Valid</v>
      </c>
    </row>
    <row r="332" spans="1:21">
      <c r="A332" t="s">
        <v>1056</v>
      </c>
      <c r="B332" t="s">
        <v>41</v>
      </c>
      <c r="C332" s="31" t="s">
        <v>1883</v>
      </c>
      <c r="D332" s="32" t="s">
        <v>2275</v>
      </c>
      <c r="E332" t="s">
        <v>78</v>
      </c>
      <c r="F332" t="s">
        <v>79</v>
      </c>
      <c r="G332" t="s">
        <v>54</v>
      </c>
      <c r="H332" t="s">
        <v>138</v>
      </c>
      <c r="I332" t="s">
        <v>80</v>
      </c>
      <c r="J332">
        <v>16.8</v>
      </c>
      <c r="K332">
        <v>4</v>
      </c>
      <c r="L332" t="s">
        <v>27</v>
      </c>
      <c r="M332" t="s">
        <v>2448</v>
      </c>
      <c r="N332" t="s">
        <v>27</v>
      </c>
      <c r="O332" t="s">
        <v>28</v>
      </c>
      <c r="P332" t="s">
        <v>57</v>
      </c>
      <c r="Q332" t="s">
        <v>39</v>
      </c>
      <c r="R332" t="str">
        <f>IF(Table14[[#This Row],[Resolution_Time]]&gt;Table14[[#This Row],[SLA_Target]],"No", "Yes")</f>
        <v>No</v>
      </c>
      <c r="S332" t="str">
        <f>IF(Table14[[#This Row],[Calculated_SLA]]=Table14[[#This Row],[SLA_Met]],"Match","Mismatch")</f>
        <v>Match</v>
      </c>
      <c r="T332">
        <f>IF(Table14[[#This Row],[Calculated_SLA]]="Yes",1,0)</f>
        <v>0</v>
      </c>
      <c r="U332" t="str">
        <f>IF(COUNTIFS(Reference_data!A:A,Table14[[#This Row],[Category]],Reference_data!B:B,Table14[[#This Row],[Subcategory]])&gt;0,"Valid","Invalid")</f>
        <v>Valid</v>
      </c>
    </row>
    <row r="333" spans="1:21">
      <c r="A333" t="s">
        <v>1059</v>
      </c>
      <c r="B333" t="s">
        <v>60</v>
      </c>
      <c r="C333" s="31" t="s">
        <v>1943</v>
      </c>
      <c r="D333" s="32" t="s">
        <v>2329</v>
      </c>
      <c r="E333" t="s">
        <v>21</v>
      </c>
      <c r="F333" t="s">
        <v>22</v>
      </c>
      <c r="G333" t="s">
        <v>46</v>
      </c>
      <c r="H333" t="s">
        <v>91</v>
      </c>
      <c r="I333" t="s">
        <v>25</v>
      </c>
      <c r="J333">
        <v>11.1</v>
      </c>
      <c r="K333">
        <v>8</v>
      </c>
      <c r="L333" t="s">
        <v>27</v>
      </c>
      <c r="M333">
        <v>2</v>
      </c>
      <c r="N333" t="s">
        <v>26</v>
      </c>
      <c r="O333" t="s">
        <v>28</v>
      </c>
      <c r="P333" t="s">
        <v>1670</v>
      </c>
      <c r="Q333" t="s">
        <v>101</v>
      </c>
      <c r="R333" t="str">
        <f>IF(Table14[[#This Row],[Resolution_Time]]&gt;Table14[[#This Row],[SLA_Target]],"No", "Yes")</f>
        <v>No</v>
      </c>
      <c r="S333" t="str">
        <f>IF(Table14[[#This Row],[Calculated_SLA]]=Table14[[#This Row],[SLA_Met]],"Match","Mismatch")</f>
        <v>Match</v>
      </c>
      <c r="T333">
        <f>IF(Table14[[#This Row],[Calculated_SLA]]="Yes",1,0)</f>
        <v>0</v>
      </c>
      <c r="U333" t="str">
        <f>IF(COUNTIFS(Reference_data!A:A,Table14[[#This Row],[Category]],Reference_data!B:B,Table14[[#This Row],[Subcategory]])&gt;0,"Valid","Invalid")</f>
        <v>Valid</v>
      </c>
    </row>
    <row r="334" spans="1:21">
      <c r="A334" t="s">
        <v>1062</v>
      </c>
      <c r="B334" t="s">
        <v>32</v>
      </c>
      <c r="C334" s="31" t="s">
        <v>1944</v>
      </c>
      <c r="D334" s="32" t="s">
        <v>2330</v>
      </c>
      <c r="E334" t="s">
        <v>21</v>
      </c>
      <c r="F334" t="s">
        <v>63</v>
      </c>
      <c r="G334" t="s">
        <v>46</v>
      </c>
      <c r="H334" t="s">
        <v>37</v>
      </c>
      <c r="I334" t="s">
        <v>25</v>
      </c>
      <c r="J334">
        <v>12.9</v>
      </c>
      <c r="K334">
        <v>8</v>
      </c>
      <c r="L334" t="s">
        <v>27</v>
      </c>
      <c r="M334">
        <v>3</v>
      </c>
      <c r="N334" t="s">
        <v>27</v>
      </c>
      <c r="O334" t="s">
        <v>28</v>
      </c>
      <c r="P334" t="s">
        <v>57</v>
      </c>
      <c r="Q334" t="s">
        <v>39</v>
      </c>
      <c r="R334" t="str">
        <f>IF(Table14[[#This Row],[Resolution_Time]]&gt;Table14[[#This Row],[SLA_Target]],"No", "Yes")</f>
        <v>No</v>
      </c>
      <c r="S334" t="str">
        <f>IF(Table14[[#This Row],[Calculated_SLA]]=Table14[[#This Row],[SLA_Met]],"Match","Mismatch")</f>
        <v>Match</v>
      </c>
      <c r="T334">
        <f>IF(Table14[[#This Row],[Calculated_SLA]]="Yes",1,0)</f>
        <v>0</v>
      </c>
      <c r="U334" t="str">
        <f>IF(COUNTIFS(Reference_data!A:A,Table14[[#This Row],[Category]],Reference_data!B:B,Table14[[#This Row],[Subcategory]])&gt;0,"Valid","Invalid")</f>
        <v>Valid</v>
      </c>
    </row>
    <row r="335" spans="1:21">
      <c r="A335" t="s">
        <v>1065</v>
      </c>
      <c r="B335" t="s">
        <v>32</v>
      </c>
      <c r="C335" s="31" t="s">
        <v>1945</v>
      </c>
      <c r="D335" s="32" t="s">
        <v>1867</v>
      </c>
      <c r="E335" t="s">
        <v>35</v>
      </c>
      <c r="F335" t="s">
        <v>127</v>
      </c>
      <c r="G335" t="s">
        <v>23</v>
      </c>
      <c r="H335" t="s">
        <v>234</v>
      </c>
      <c r="I335" t="s">
        <v>56</v>
      </c>
      <c r="J335">
        <v>4.8</v>
      </c>
      <c r="K335">
        <v>24</v>
      </c>
      <c r="L335" t="s">
        <v>26</v>
      </c>
      <c r="M335">
        <v>5</v>
      </c>
      <c r="N335" t="s">
        <v>27</v>
      </c>
      <c r="O335" t="s">
        <v>28</v>
      </c>
      <c r="P335" t="s">
        <v>29</v>
      </c>
      <c r="Q335" t="s">
        <v>58</v>
      </c>
      <c r="R335" t="str">
        <f>IF(Table14[[#This Row],[Resolution_Time]]&gt;Table14[[#This Row],[SLA_Target]],"No", "Yes")</f>
        <v>Yes</v>
      </c>
      <c r="S335" t="str">
        <f>IF(Table14[[#This Row],[Calculated_SLA]]=Table14[[#This Row],[SLA_Met]],"Match","Mismatch")</f>
        <v>Match</v>
      </c>
      <c r="T335">
        <f>IF(Table14[[#This Row],[Calculated_SLA]]="Yes",1,0)</f>
        <v>1</v>
      </c>
      <c r="U335" t="str">
        <f>IF(COUNTIFS(Reference_data!A:A,Table14[[#This Row],[Category]],Reference_data!B:B,Table14[[#This Row],[Subcategory]])&gt;0,"Valid","Invalid")</f>
        <v>Valid</v>
      </c>
    </row>
    <row r="336" spans="1:21">
      <c r="A336" t="s">
        <v>1068</v>
      </c>
      <c r="B336" t="s">
        <v>135</v>
      </c>
      <c r="C336" s="31" t="s">
        <v>1704</v>
      </c>
      <c r="D336" s="32" t="s">
        <v>2187</v>
      </c>
      <c r="E336" t="s">
        <v>21</v>
      </c>
      <c r="F336" t="s">
        <v>63</v>
      </c>
      <c r="G336" t="s">
        <v>46</v>
      </c>
      <c r="H336" t="s">
        <v>70</v>
      </c>
      <c r="I336" t="s">
        <v>25</v>
      </c>
      <c r="J336">
        <v>14.9</v>
      </c>
      <c r="K336">
        <v>8</v>
      </c>
      <c r="L336" t="s">
        <v>27</v>
      </c>
      <c r="M336">
        <v>1</v>
      </c>
      <c r="N336" t="s">
        <v>26</v>
      </c>
      <c r="O336" t="s">
        <v>28</v>
      </c>
      <c r="P336" t="s">
        <v>57</v>
      </c>
      <c r="Q336" t="s">
        <v>39</v>
      </c>
      <c r="R336" t="str">
        <f>IF(Table14[[#This Row],[Resolution_Time]]&gt;Table14[[#This Row],[SLA_Target]],"No", "Yes")</f>
        <v>No</v>
      </c>
      <c r="S336" t="str">
        <f>IF(Table14[[#This Row],[Calculated_SLA]]=Table14[[#This Row],[SLA_Met]],"Match","Mismatch")</f>
        <v>Match</v>
      </c>
      <c r="T336">
        <f>IF(Table14[[#This Row],[Calculated_SLA]]="Yes",1,0)</f>
        <v>0</v>
      </c>
      <c r="U336" t="str">
        <f>IF(COUNTIFS(Reference_data!A:A,Table14[[#This Row],[Category]],Reference_data!B:B,Table14[[#This Row],[Subcategory]])&gt;0,"Valid","Invalid")</f>
        <v>Valid</v>
      </c>
    </row>
    <row r="337" spans="1:21">
      <c r="A337" t="s">
        <v>1071</v>
      </c>
      <c r="B337" t="s">
        <v>50</v>
      </c>
      <c r="C337" s="31" t="s">
        <v>1810</v>
      </c>
      <c r="D337" s="32" t="s">
        <v>2331</v>
      </c>
      <c r="E337" t="s">
        <v>78</v>
      </c>
      <c r="F337" t="s">
        <v>79</v>
      </c>
      <c r="G337" t="s">
        <v>23</v>
      </c>
      <c r="H337" t="s">
        <v>138</v>
      </c>
      <c r="I337" t="s">
        <v>80</v>
      </c>
      <c r="J337">
        <v>19.3</v>
      </c>
      <c r="K337">
        <v>24</v>
      </c>
      <c r="L337" t="s">
        <v>26</v>
      </c>
      <c r="M337">
        <v>5</v>
      </c>
      <c r="N337" t="s">
        <v>27</v>
      </c>
      <c r="O337" t="s">
        <v>28</v>
      </c>
      <c r="P337" t="s">
        <v>29</v>
      </c>
      <c r="Q337" t="s">
        <v>58</v>
      </c>
      <c r="R337" t="str">
        <f>IF(Table14[[#This Row],[Resolution_Time]]&gt;Table14[[#This Row],[SLA_Target]],"No", "Yes")</f>
        <v>Yes</v>
      </c>
      <c r="S337" t="str">
        <f>IF(Table14[[#This Row],[Calculated_SLA]]=Table14[[#This Row],[SLA_Met]],"Match","Mismatch")</f>
        <v>Match</v>
      </c>
      <c r="T337">
        <f>IF(Table14[[#This Row],[Calculated_SLA]]="Yes",1,0)</f>
        <v>1</v>
      </c>
      <c r="U337" t="str">
        <f>IF(COUNTIFS(Reference_data!A:A,Table14[[#This Row],[Category]],Reference_data!B:B,Table14[[#This Row],[Subcategory]])&gt;0,"Valid","Invalid")</f>
        <v>Valid</v>
      </c>
    </row>
    <row r="338" spans="1:21">
      <c r="A338" t="s">
        <v>1074</v>
      </c>
      <c r="B338" t="s">
        <v>50</v>
      </c>
      <c r="C338" s="31" t="s">
        <v>1856</v>
      </c>
      <c r="D338" s="32" t="s">
        <v>2332</v>
      </c>
      <c r="E338" t="s">
        <v>78</v>
      </c>
      <c r="F338" t="s">
        <v>79</v>
      </c>
      <c r="G338" t="s">
        <v>54</v>
      </c>
      <c r="H338" t="s">
        <v>86</v>
      </c>
      <c r="I338" t="s">
        <v>80</v>
      </c>
      <c r="J338">
        <v>17.899999999999999</v>
      </c>
      <c r="K338">
        <v>4</v>
      </c>
      <c r="L338" t="s">
        <v>27</v>
      </c>
      <c r="M338">
        <v>2</v>
      </c>
      <c r="N338" t="s">
        <v>27</v>
      </c>
      <c r="O338" t="s">
        <v>28</v>
      </c>
      <c r="P338" t="s">
        <v>57</v>
      </c>
      <c r="Q338" t="s">
        <v>58</v>
      </c>
      <c r="R338" t="str">
        <f>IF(Table14[[#This Row],[Resolution_Time]]&gt;Table14[[#This Row],[SLA_Target]],"No", "Yes")</f>
        <v>No</v>
      </c>
      <c r="S338" t="str">
        <f>IF(Table14[[#This Row],[Calculated_SLA]]=Table14[[#This Row],[SLA_Met]],"Match","Mismatch")</f>
        <v>Match</v>
      </c>
      <c r="T338">
        <f>IF(Table14[[#This Row],[Calculated_SLA]]="Yes",1,0)</f>
        <v>0</v>
      </c>
      <c r="U338" t="str">
        <f>IF(COUNTIFS(Reference_data!A:A,Table14[[#This Row],[Category]],Reference_data!B:B,Table14[[#This Row],[Subcategory]])&gt;0,"Valid","Invalid")</f>
        <v>Valid</v>
      </c>
    </row>
    <row r="339" spans="1:21">
      <c r="A339" t="s">
        <v>1077</v>
      </c>
      <c r="B339" t="s">
        <v>50</v>
      </c>
      <c r="C339" s="31" t="s">
        <v>1946</v>
      </c>
      <c r="D339" s="32" t="s">
        <v>2104</v>
      </c>
      <c r="E339" t="s">
        <v>78</v>
      </c>
      <c r="F339" t="s">
        <v>79</v>
      </c>
      <c r="G339" t="s">
        <v>54</v>
      </c>
      <c r="H339" t="s">
        <v>55</v>
      </c>
      <c r="I339" t="s">
        <v>80</v>
      </c>
      <c r="J339">
        <v>12.7</v>
      </c>
      <c r="K339">
        <v>4</v>
      </c>
      <c r="L339" t="s">
        <v>27</v>
      </c>
      <c r="M339">
        <v>3</v>
      </c>
      <c r="N339" t="s">
        <v>26</v>
      </c>
      <c r="O339" t="s">
        <v>28</v>
      </c>
      <c r="P339" t="s">
        <v>1670</v>
      </c>
      <c r="Q339" t="s">
        <v>58</v>
      </c>
      <c r="R339" t="str">
        <f>IF(Table14[[#This Row],[Resolution_Time]]&gt;Table14[[#This Row],[SLA_Target]],"No", "Yes")</f>
        <v>No</v>
      </c>
      <c r="S339" t="str">
        <f>IF(Table14[[#This Row],[Calculated_SLA]]=Table14[[#This Row],[SLA_Met]],"Match","Mismatch")</f>
        <v>Match</v>
      </c>
      <c r="T339">
        <f>IF(Table14[[#This Row],[Calculated_SLA]]="Yes",1,0)</f>
        <v>0</v>
      </c>
      <c r="U339" t="str">
        <f>IF(COUNTIFS(Reference_data!A:A,Table14[[#This Row],[Category]],Reference_data!B:B,Table14[[#This Row],[Subcategory]])&gt;0,"Valid","Invalid")</f>
        <v>Valid</v>
      </c>
    </row>
    <row r="340" spans="1:21">
      <c r="A340" t="s">
        <v>1080</v>
      </c>
      <c r="B340" t="s">
        <v>50</v>
      </c>
      <c r="C340" s="31" t="s">
        <v>1947</v>
      </c>
      <c r="D340" s="32" t="s">
        <v>2333</v>
      </c>
      <c r="E340" t="s">
        <v>78</v>
      </c>
      <c r="F340" t="s">
        <v>79</v>
      </c>
      <c r="G340" t="s">
        <v>46</v>
      </c>
      <c r="H340" t="s">
        <v>47</v>
      </c>
      <c r="I340" t="s">
        <v>80</v>
      </c>
      <c r="J340">
        <v>7.1</v>
      </c>
      <c r="K340">
        <v>8</v>
      </c>
      <c r="L340" t="s">
        <v>26</v>
      </c>
      <c r="M340" t="s">
        <v>2448</v>
      </c>
      <c r="N340" t="s">
        <v>27</v>
      </c>
      <c r="O340" t="s">
        <v>28</v>
      </c>
      <c r="P340" t="s">
        <v>29</v>
      </c>
      <c r="Q340" t="s">
        <v>58</v>
      </c>
      <c r="R340" t="str">
        <f>IF(Table14[[#This Row],[Resolution_Time]]&gt;Table14[[#This Row],[SLA_Target]],"No", "Yes")</f>
        <v>Yes</v>
      </c>
      <c r="S340" t="str">
        <f>IF(Table14[[#This Row],[Calculated_SLA]]=Table14[[#This Row],[SLA_Met]],"Match","Mismatch")</f>
        <v>Match</v>
      </c>
      <c r="T340">
        <f>IF(Table14[[#This Row],[Calculated_SLA]]="Yes",1,0)</f>
        <v>1</v>
      </c>
      <c r="U340" t="str">
        <f>IF(COUNTIFS(Reference_data!A:A,Table14[[#This Row],[Category]],Reference_data!B:B,Table14[[#This Row],[Subcategory]])&gt;0,"Valid","Invalid")</f>
        <v>Valid</v>
      </c>
    </row>
    <row r="341" spans="1:21">
      <c r="A341" t="s">
        <v>1083</v>
      </c>
      <c r="B341" t="s">
        <v>60</v>
      </c>
      <c r="C341" s="31" t="s">
        <v>1948</v>
      </c>
      <c r="D341" s="32" t="s">
        <v>2334</v>
      </c>
      <c r="E341" t="s">
        <v>35</v>
      </c>
      <c r="F341" t="s">
        <v>53</v>
      </c>
      <c r="G341" t="s">
        <v>46</v>
      </c>
      <c r="H341" t="s">
        <v>37</v>
      </c>
      <c r="I341" t="s">
        <v>56</v>
      </c>
      <c r="J341">
        <v>11.1</v>
      </c>
      <c r="K341">
        <v>8</v>
      </c>
      <c r="L341" t="s">
        <v>27</v>
      </c>
      <c r="M341">
        <v>1</v>
      </c>
      <c r="N341" t="s">
        <v>27</v>
      </c>
      <c r="O341" t="s">
        <v>28</v>
      </c>
      <c r="P341" t="s">
        <v>1670</v>
      </c>
      <c r="Q341" t="s">
        <v>30</v>
      </c>
      <c r="R341" t="str">
        <f>IF(Table14[[#This Row],[Resolution_Time]]&gt;Table14[[#This Row],[SLA_Target]],"No", "Yes")</f>
        <v>No</v>
      </c>
      <c r="S341" t="str">
        <f>IF(Table14[[#This Row],[Calculated_SLA]]=Table14[[#This Row],[SLA_Met]],"Match","Mismatch")</f>
        <v>Match</v>
      </c>
      <c r="T341">
        <f>IF(Table14[[#This Row],[Calculated_SLA]]="Yes",1,0)</f>
        <v>0</v>
      </c>
      <c r="U341" t="str">
        <f>IF(COUNTIFS(Reference_data!A:A,Table14[[#This Row],[Category]],Reference_data!B:B,Table14[[#This Row],[Subcategory]])&gt;0,"Valid","Invalid")</f>
        <v>Valid</v>
      </c>
    </row>
    <row r="342" spans="1:21">
      <c r="A342" t="s">
        <v>1086</v>
      </c>
      <c r="B342" t="s">
        <v>32</v>
      </c>
      <c r="C342" s="31" t="s">
        <v>1949</v>
      </c>
      <c r="D342" s="32" t="s">
        <v>2335</v>
      </c>
      <c r="E342" t="s">
        <v>35</v>
      </c>
      <c r="F342" t="s">
        <v>36</v>
      </c>
      <c r="G342" t="s">
        <v>23</v>
      </c>
      <c r="H342" t="s">
        <v>138</v>
      </c>
      <c r="I342" t="s">
        <v>38</v>
      </c>
      <c r="J342">
        <v>8.1</v>
      </c>
      <c r="K342">
        <v>24</v>
      </c>
      <c r="L342" t="s">
        <v>26</v>
      </c>
      <c r="M342">
        <v>5</v>
      </c>
      <c r="N342" t="s">
        <v>27</v>
      </c>
      <c r="O342" t="s">
        <v>28</v>
      </c>
      <c r="P342" t="s">
        <v>29</v>
      </c>
      <c r="Q342" t="s">
        <v>39</v>
      </c>
      <c r="R342" t="str">
        <f>IF(Table14[[#This Row],[Resolution_Time]]&gt;Table14[[#This Row],[SLA_Target]],"No", "Yes")</f>
        <v>Yes</v>
      </c>
      <c r="S342" t="str">
        <f>IF(Table14[[#This Row],[Calculated_SLA]]=Table14[[#This Row],[SLA_Met]],"Match","Mismatch")</f>
        <v>Match</v>
      </c>
      <c r="T342">
        <f>IF(Table14[[#This Row],[Calculated_SLA]]="Yes",1,0)</f>
        <v>1</v>
      </c>
      <c r="U342" t="str">
        <f>IF(COUNTIFS(Reference_data!A:A,Table14[[#This Row],[Category]],Reference_data!B:B,Table14[[#This Row],[Subcategory]])&gt;0,"Valid","Invalid")</f>
        <v>Valid</v>
      </c>
    </row>
    <row r="343" spans="1:21">
      <c r="A343" t="s">
        <v>1089</v>
      </c>
      <c r="B343" t="s">
        <v>66</v>
      </c>
      <c r="C343" s="31" t="s">
        <v>1950</v>
      </c>
      <c r="D343" s="32" t="s">
        <v>2336</v>
      </c>
      <c r="E343" t="s">
        <v>78</v>
      </c>
      <c r="F343" t="s">
        <v>166</v>
      </c>
      <c r="G343" t="s">
        <v>46</v>
      </c>
      <c r="H343" t="s">
        <v>70</v>
      </c>
      <c r="I343" t="s">
        <v>80</v>
      </c>
      <c r="J343">
        <v>11.4</v>
      </c>
      <c r="K343">
        <v>8</v>
      </c>
      <c r="L343" t="s">
        <v>27</v>
      </c>
      <c r="M343">
        <v>1</v>
      </c>
      <c r="N343" t="s">
        <v>27</v>
      </c>
      <c r="O343" t="s">
        <v>28</v>
      </c>
      <c r="P343" t="s">
        <v>1670</v>
      </c>
      <c r="Q343" t="s">
        <v>101</v>
      </c>
      <c r="R343" t="str">
        <f>IF(Table14[[#This Row],[Resolution_Time]]&gt;Table14[[#This Row],[SLA_Target]],"No", "Yes")</f>
        <v>No</v>
      </c>
      <c r="S343" t="str">
        <f>IF(Table14[[#This Row],[Calculated_SLA]]=Table14[[#This Row],[SLA_Met]],"Match","Mismatch")</f>
        <v>Match</v>
      </c>
      <c r="T343">
        <f>IF(Table14[[#This Row],[Calculated_SLA]]="Yes",1,0)</f>
        <v>0</v>
      </c>
      <c r="U343" t="str">
        <f>IF(COUNTIFS(Reference_data!A:A,Table14[[#This Row],[Category]],Reference_data!B:B,Table14[[#This Row],[Subcategory]])&gt;0,"Valid","Invalid")</f>
        <v>Valid</v>
      </c>
    </row>
    <row r="344" spans="1:21">
      <c r="A344" t="s">
        <v>1092</v>
      </c>
      <c r="B344" t="s">
        <v>32</v>
      </c>
      <c r="C344" s="31" t="s">
        <v>1951</v>
      </c>
      <c r="D344" s="32" t="s">
        <v>2337</v>
      </c>
      <c r="E344" t="s">
        <v>44</v>
      </c>
      <c r="F344" t="s">
        <v>109</v>
      </c>
      <c r="G344" t="s">
        <v>46</v>
      </c>
      <c r="H344" t="s">
        <v>70</v>
      </c>
      <c r="I344" t="s">
        <v>48</v>
      </c>
      <c r="J344">
        <v>3.3</v>
      </c>
      <c r="K344">
        <v>8</v>
      </c>
      <c r="L344" t="s">
        <v>26</v>
      </c>
      <c r="M344">
        <v>5</v>
      </c>
      <c r="N344" t="s">
        <v>27</v>
      </c>
      <c r="O344" t="s">
        <v>28</v>
      </c>
      <c r="P344" t="s">
        <v>29</v>
      </c>
      <c r="Q344" t="s">
        <v>39</v>
      </c>
      <c r="R344" t="str">
        <f>IF(Table14[[#This Row],[Resolution_Time]]&gt;Table14[[#This Row],[SLA_Target]],"No", "Yes")</f>
        <v>Yes</v>
      </c>
      <c r="S344" t="str">
        <f>IF(Table14[[#This Row],[Calculated_SLA]]=Table14[[#This Row],[SLA_Met]],"Match","Mismatch")</f>
        <v>Match</v>
      </c>
      <c r="T344">
        <f>IF(Table14[[#This Row],[Calculated_SLA]]="Yes",1,0)</f>
        <v>1</v>
      </c>
      <c r="U344" t="str">
        <f>IF(COUNTIFS(Reference_data!A:A,Table14[[#This Row],[Category]],Reference_data!B:B,Table14[[#This Row],[Subcategory]])&gt;0,"Valid","Invalid")</f>
        <v>Valid</v>
      </c>
    </row>
    <row r="345" spans="1:21">
      <c r="A345" t="s">
        <v>1095</v>
      </c>
      <c r="B345" t="s">
        <v>75</v>
      </c>
      <c r="C345" s="31" t="s">
        <v>1952</v>
      </c>
      <c r="D345" s="32" t="s">
        <v>2338</v>
      </c>
      <c r="E345" t="s">
        <v>35</v>
      </c>
      <c r="F345" t="s">
        <v>53</v>
      </c>
      <c r="G345" t="s">
        <v>46</v>
      </c>
      <c r="H345" t="s">
        <v>55</v>
      </c>
      <c r="I345" t="s">
        <v>56</v>
      </c>
      <c r="J345">
        <v>6.7</v>
      </c>
      <c r="K345">
        <v>8</v>
      </c>
      <c r="L345" t="s">
        <v>26</v>
      </c>
      <c r="M345">
        <v>4</v>
      </c>
      <c r="N345" t="s">
        <v>27</v>
      </c>
      <c r="O345" t="s">
        <v>28</v>
      </c>
      <c r="P345" t="s">
        <v>29</v>
      </c>
      <c r="Q345" t="s">
        <v>39</v>
      </c>
      <c r="R345" t="str">
        <f>IF(Table14[[#This Row],[Resolution_Time]]&gt;Table14[[#This Row],[SLA_Target]],"No", "Yes")</f>
        <v>Yes</v>
      </c>
      <c r="S345" t="str">
        <f>IF(Table14[[#This Row],[Calculated_SLA]]=Table14[[#This Row],[SLA_Met]],"Match","Mismatch")</f>
        <v>Match</v>
      </c>
      <c r="T345">
        <f>IF(Table14[[#This Row],[Calculated_SLA]]="Yes",1,0)</f>
        <v>1</v>
      </c>
      <c r="U345" t="str">
        <f>IF(COUNTIFS(Reference_data!A:A,Table14[[#This Row],[Category]],Reference_data!B:B,Table14[[#This Row],[Subcategory]])&gt;0,"Valid","Invalid")</f>
        <v>Valid</v>
      </c>
    </row>
    <row r="346" spans="1:21">
      <c r="A346" t="s">
        <v>1098</v>
      </c>
      <c r="B346" t="s">
        <v>32</v>
      </c>
      <c r="C346" s="31" t="s">
        <v>1953</v>
      </c>
      <c r="D346" s="32" t="s">
        <v>1713</v>
      </c>
      <c r="E346" t="s">
        <v>35</v>
      </c>
      <c r="F346" t="s">
        <v>53</v>
      </c>
      <c r="G346" t="s">
        <v>46</v>
      </c>
      <c r="H346" t="s">
        <v>86</v>
      </c>
      <c r="I346" t="s">
        <v>56</v>
      </c>
      <c r="J346">
        <v>6.2</v>
      </c>
      <c r="K346">
        <v>8</v>
      </c>
      <c r="L346" t="s">
        <v>26</v>
      </c>
      <c r="M346">
        <v>5</v>
      </c>
      <c r="N346" t="s">
        <v>27</v>
      </c>
      <c r="O346" t="s">
        <v>28</v>
      </c>
      <c r="P346" t="s">
        <v>29</v>
      </c>
      <c r="Q346" t="s">
        <v>101</v>
      </c>
      <c r="R346" t="str">
        <f>IF(Table14[[#This Row],[Resolution_Time]]&gt;Table14[[#This Row],[SLA_Target]],"No", "Yes")</f>
        <v>Yes</v>
      </c>
      <c r="S346" t="str">
        <f>IF(Table14[[#This Row],[Calculated_SLA]]=Table14[[#This Row],[SLA_Met]],"Match","Mismatch")</f>
        <v>Match</v>
      </c>
      <c r="T346">
        <f>IF(Table14[[#This Row],[Calculated_SLA]]="Yes",1,0)</f>
        <v>1</v>
      </c>
      <c r="U346" t="str">
        <f>IF(COUNTIFS(Reference_data!A:A,Table14[[#This Row],[Category]],Reference_data!B:B,Table14[[#This Row],[Subcategory]])&gt;0,"Valid","Invalid")</f>
        <v>Valid</v>
      </c>
    </row>
    <row r="347" spans="1:21">
      <c r="A347" t="s">
        <v>1101</v>
      </c>
      <c r="B347" t="s">
        <v>121</v>
      </c>
      <c r="C347" s="31" t="s">
        <v>1862</v>
      </c>
      <c r="D347" s="32" t="s">
        <v>2339</v>
      </c>
      <c r="E347" t="s">
        <v>44</v>
      </c>
      <c r="F347" t="s">
        <v>45</v>
      </c>
      <c r="G347" t="s">
        <v>54</v>
      </c>
      <c r="H347" t="s">
        <v>70</v>
      </c>
      <c r="I347" t="s">
        <v>48</v>
      </c>
      <c r="J347">
        <v>2.6</v>
      </c>
      <c r="K347">
        <v>4</v>
      </c>
      <c r="L347" t="s">
        <v>26</v>
      </c>
      <c r="M347">
        <v>5</v>
      </c>
      <c r="N347" t="s">
        <v>27</v>
      </c>
      <c r="O347" t="s">
        <v>28</v>
      </c>
      <c r="P347" t="s">
        <v>29</v>
      </c>
      <c r="Q347" t="s">
        <v>101</v>
      </c>
      <c r="R347" t="str">
        <f>IF(Table14[[#This Row],[Resolution_Time]]&gt;Table14[[#This Row],[SLA_Target]],"No", "Yes")</f>
        <v>Yes</v>
      </c>
      <c r="S347" t="str">
        <f>IF(Table14[[#This Row],[Calculated_SLA]]=Table14[[#This Row],[SLA_Met]],"Match","Mismatch")</f>
        <v>Match</v>
      </c>
      <c r="T347">
        <f>IF(Table14[[#This Row],[Calculated_SLA]]="Yes",1,0)</f>
        <v>1</v>
      </c>
      <c r="U347" t="str">
        <f>IF(COUNTIFS(Reference_data!A:A,Table14[[#This Row],[Category]],Reference_data!B:B,Table14[[#This Row],[Subcategory]])&gt;0,"Valid","Invalid")</f>
        <v>Valid</v>
      </c>
    </row>
    <row r="348" spans="1:21">
      <c r="A348" t="s">
        <v>1104</v>
      </c>
      <c r="B348" t="s">
        <v>66</v>
      </c>
      <c r="C348" s="31" t="s">
        <v>1814</v>
      </c>
      <c r="D348" s="32" t="s">
        <v>2340</v>
      </c>
      <c r="E348" t="s">
        <v>21</v>
      </c>
      <c r="F348" t="s">
        <v>69</v>
      </c>
      <c r="G348" t="s">
        <v>54</v>
      </c>
      <c r="H348" t="s">
        <v>37</v>
      </c>
      <c r="I348" t="s">
        <v>25</v>
      </c>
      <c r="J348">
        <v>6</v>
      </c>
      <c r="K348">
        <v>4</v>
      </c>
      <c r="L348" t="s">
        <v>27</v>
      </c>
      <c r="M348">
        <v>3</v>
      </c>
      <c r="N348" t="s">
        <v>27</v>
      </c>
      <c r="O348" t="s">
        <v>28</v>
      </c>
      <c r="P348" t="s">
        <v>1670</v>
      </c>
      <c r="Q348" t="s">
        <v>39</v>
      </c>
      <c r="R348" t="str">
        <f>IF(Table14[[#This Row],[Resolution_Time]]&gt;Table14[[#This Row],[SLA_Target]],"No", "Yes")</f>
        <v>No</v>
      </c>
      <c r="S348" t="str">
        <f>IF(Table14[[#This Row],[Calculated_SLA]]=Table14[[#This Row],[SLA_Met]],"Match","Mismatch")</f>
        <v>Match</v>
      </c>
      <c r="T348">
        <f>IF(Table14[[#This Row],[Calculated_SLA]]="Yes",1,0)</f>
        <v>0</v>
      </c>
      <c r="U348" t="str">
        <f>IF(COUNTIFS(Reference_data!A:A,Table14[[#This Row],[Category]],Reference_data!B:B,Table14[[#This Row],[Subcategory]])&gt;0,"Valid","Invalid")</f>
        <v>Valid</v>
      </c>
    </row>
    <row r="349" spans="1:21">
      <c r="A349" t="s">
        <v>1107</v>
      </c>
      <c r="B349" t="s">
        <v>60</v>
      </c>
      <c r="C349" s="31" t="s">
        <v>1855</v>
      </c>
      <c r="D349" s="32" t="s">
        <v>2341</v>
      </c>
      <c r="E349" t="s">
        <v>35</v>
      </c>
      <c r="F349" t="s">
        <v>53</v>
      </c>
      <c r="G349" t="s">
        <v>54</v>
      </c>
      <c r="H349" t="s">
        <v>37</v>
      </c>
      <c r="I349" t="s">
        <v>56</v>
      </c>
      <c r="J349">
        <v>10.3</v>
      </c>
      <c r="K349">
        <v>4</v>
      </c>
      <c r="L349" t="s">
        <v>27</v>
      </c>
      <c r="M349">
        <v>2</v>
      </c>
      <c r="N349" t="s">
        <v>26</v>
      </c>
      <c r="O349" t="s">
        <v>28</v>
      </c>
      <c r="P349" t="s">
        <v>1670</v>
      </c>
      <c r="Q349" t="s">
        <v>30</v>
      </c>
      <c r="R349" t="str">
        <f>IF(Table14[[#This Row],[Resolution_Time]]&gt;Table14[[#This Row],[SLA_Target]],"No", "Yes")</f>
        <v>No</v>
      </c>
      <c r="S349" t="str">
        <f>IF(Table14[[#This Row],[Calculated_SLA]]=Table14[[#This Row],[SLA_Met]],"Match","Mismatch")</f>
        <v>Match</v>
      </c>
      <c r="T349">
        <f>IF(Table14[[#This Row],[Calculated_SLA]]="Yes",1,0)</f>
        <v>0</v>
      </c>
      <c r="U349" t="str">
        <f>IF(COUNTIFS(Reference_data!A:A,Table14[[#This Row],[Category]],Reference_data!B:B,Table14[[#This Row],[Subcategory]])&gt;0,"Valid","Invalid")</f>
        <v>Valid</v>
      </c>
    </row>
    <row r="350" spans="1:21">
      <c r="A350" t="s">
        <v>1110</v>
      </c>
      <c r="B350" t="s">
        <v>66</v>
      </c>
      <c r="C350" s="31" t="s">
        <v>1954</v>
      </c>
      <c r="D350" s="32" t="s">
        <v>2269</v>
      </c>
      <c r="E350" t="s">
        <v>35</v>
      </c>
      <c r="F350" t="s">
        <v>36</v>
      </c>
      <c r="G350" t="s">
        <v>46</v>
      </c>
      <c r="H350" t="s">
        <v>234</v>
      </c>
      <c r="I350" t="s">
        <v>38</v>
      </c>
      <c r="J350">
        <v>11.8</v>
      </c>
      <c r="K350">
        <v>8</v>
      </c>
      <c r="L350" t="s">
        <v>27</v>
      </c>
      <c r="M350">
        <v>1</v>
      </c>
      <c r="N350" t="s">
        <v>27</v>
      </c>
      <c r="O350" t="s">
        <v>28</v>
      </c>
      <c r="P350" t="s">
        <v>1670</v>
      </c>
      <c r="Q350" t="s">
        <v>58</v>
      </c>
      <c r="R350" t="str">
        <f>IF(Table14[[#This Row],[Resolution_Time]]&gt;Table14[[#This Row],[SLA_Target]],"No", "Yes")</f>
        <v>No</v>
      </c>
      <c r="S350" t="str">
        <f>IF(Table14[[#This Row],[Calculated_SLA]]=Table14[[#This Row],[SLA_Met]],"Match","Mismatch")</f>
        <v>Match</v>
      </c>
      <c r="T350">
        <f>IF(Table14[[#This Row],[Calculated_SLA]]="Yes",1,0)</f>
        <v>0</v>
      </c>
      <c r="U350" t="str">
        <f>IF(COUNTIFS(Reference_data!A:A,Table14[[#This Row],[Category]],Reference_data!B:B,Table14[[#This Row],[Subcategory]])&gt;0,"Valid","Invalid")</f>
        <v>Valid</v>
      </c>
    </row>
    <row r="351" spans="1:21">
      <c r="A351" t="s">
        <v>1113</v>
      </c>
      <c r="B351" t="s">
        <v>121</v>
      </c>
      <c r="C351" s="31" t="s">
        <v>1955</v>
      </c>
      <c r="D351" s="32" t="s">
        <v>2342</v>
      </c>
      <c r="E351" t="s">
        <v>21</v>
      </c>
      <c r="F351" t="s">
        <v>63</v>
      </c>
      <c r="G351" t="s">
        <v>46</v>
      </c>
      <c r="H351" t="s">
        <v>70</v>
      </c>
      <c r="I351" t="s">
        <v>25</v>
      </c>
      <c r="J351">
        <v>6.8</v>
      </c>
      <c r="K351">
        <v>8</v>
      </c>
      <c r="L351" t="s">
        <v>26</v>
      </c>
      <c r="M351">
        <v>4</v>
      </c>
      <c r="N351" t="s">
        <v>27</v>
      </c>
      <c r="O351" t="s">
        <v>28</v>
      </c>
      <c r="P351" t="s">
        <v>29</v>
      </c>
      <c r="Q351" t="s">
        <v>101</v>
      </c>
      <c r="R351" t="str">
        <f>IF(Table14[[#This Row],[Resolution_Time]]&gt;Table14[[#This Row],[SLA_Target]],"No", "Yes")</f>
        <v>Yes</v>
      </c>
      <c r="S351" t="str">
        <f>IF(Table14[[#This Row],[Calculated_SLA]]=Table14[[#This Row],[SLA_Met]],"Match","Mismatch")</f>
        <v>Match</v>
      </c>
      <c r="T351">
        <f>IF(Table14[[#This Row],[Calculated_SLA]]="Yes",1,0)</f>
        <v>1</v>
      </c>
      <c r="U351" t="str">
        <f>IF(COUNTIFS(Reference_data!A:A,Table14[[#This Row],[Category]],Reference_data!B:B,Table14[[#This Row],[Subcategory]])&gt;0,"Valid","Invalid")</f>
        <v>Valid</v>
      </c>
    </row>
    <row r="352" spans="1:21">
      <c r="A352" t="s">
        <v>1116</v>
      </c>
      <c r="B352" t="s">
        <v>50</v>
      </c>
      <c r="C352" s="31" t="s">
        <v>1956</v>
      </c>
      <c r="D352" s="32" t="s">
        <v>1832</v>
      </c>
      <c r="E352" t="s">
        <v>78</v>
      </c>
      <c r="F352" t="s">
        <v>79</v>
      </c>
      <c r="G352" t="s">
        <v>54</v>
      </c>
      <c r="H352" t="s">
        <v>24</v>
      </c>
      <c r="I352" t="s">
        <v>80</v>
      </c>
      <c r="J352">
        <v>23.4</v>
      </c>
      <c r="K352">
        <v>4</v>
      </c>
      <c r="L352" t="s">
        <v>27</v>
      </c>
      <c r="M352">
        <v>3</v>
      </c>
      <c r="N352" t="s">
        <v>26</v>
      </c>
      <c r="O352" t="s">
        <v>28</v>
      </c>
      <c r="P352" t="s">
        <v>1670</v>
      </c>
      <c r="Q352" t="s">
        <v>58</v>
      </c>
      <c r="R352" t="str">
        <f>IF(Table14[[#This Row],[Resolution_Time]]&gt;Table14[[#This Row],[SLA_Target]],"No", "Yes")</f>
        <v>No</v>
      </c>
      <c r="S352" t="str">
        <f>IF(Table14[[#This Row],[Calculated_SLA]]=Table14[[#This Row],[SLA_Met]],"Match","Mismatch")</f>
        <v>Match</v>
      </c>
      <c r="T352">
        <f>IF(Table14[[#This Row],[Calculated_SLA]]="Yes",1,0)</f>
        <v>0</v>
      </c>
      <c r="U352" t="str">
        <f>IF(COUNTIFS(Reference_data!A:A,Table14[[#This Row],[Category]],Reference_data!B:B,Table14[[#This Row],[Subcategory]])&gt;0,"Valid","Invalid")</f>
        <v>Valid</v>
      </c>
    </row>
    <row r="353" spans="1:21">
      <c r="A353" t="s">
        <v>1119</v>
      </c>
      <c r="B353" t="s">
        <v>75</v>
      </c>
      <c r="C353" s="31" t="s">
        <v>1761</v>
      </c>
      <c r="D353" s="32" t="s">
        <v>2343</v>
      </c>
      <c r="E353" t="s">
        <v>84</v>
      </c>
      <c r="F353" t="s">
        <v>116</v>
      </c>
      <c r="G353" t="s">
        <v>23</v>
      </c>
      <c r="H353" t="s">
        <v>37</v>
      </c>
      <c r="I353" t="s">
        <v>87</v>
      </c>
      <c r="J353">
        <v>6.1</v>
      </c>
      <c r="K353">
        <v>24</v>
      </c>
      <c r="L353" t="s">
        <v>27</v>
      </c>
      <c r="M353">
        <v>1</v>
      </c>
      <c r="N353" t="s">
        <v>26</v>
      </c>
      <c r="O353" t="s">
        <v>28</v>
      </c>
      <c r="P353" t="s">
        <v>57</v>
      </c>
      <c r="Q353" t="s">
        <v>39</v>
      </c>
      <c r="R353" t="str">
        <f>IF(Table14[[#This Row],[Resolution_Time]]&gt;Table14[[#This Row],[SLA_Target]],"No", "Yes")</f>
        <v>Yes</v>
      </c>
      <c r="S353" t="str">
        <f>IF(Table14[[#This Row],[Calculated_SLA]]=Table14[[#This Row],[SLA_Met]],"Match","Mismatch")</f>
        <v>Mismatch</v>
      </c>
      <c r="T353">
        <f>IF(Table14[[#This Row],[Calculated_SLA]]="Yes",1,0)</f>
        <v>1</v>
      </c>
      <c r="U353" t="str">
        <f>IF(COUNTIFS(Reference_data!A:A,Table14[[#This Row],[Category]],Reference_data!B:B,Table14[[#This Row],[Subcategory]])&gt;0,"Valid","Invalid")</f>
        <v>Valid</v>
      </c>
    </row>
    <row r="354" spans="1:21">
      <c r="A354" t="s">
        <v>1122</v>
      </c>
      <c r="B354" t="s">
        <v>75</v>
      </c>
      <c r="C354" s="31" t="s">
        <v>1865</v>
      </c>
      <c r="D354" s="32" t="s">
        <v>2344</v>
      </c>
      <c r="E354" t="s">
        <v>78</v>
      </c>
      <c r="F354" t="s">
        <v>166</v>
      </c>
      <c r="G354" t="s">
        <v>46</v>
      </c>
      <c r="H354" t="s">
        <v>70</v>
      </c>
      <c r="I354" t="s">
        <v>80</v>
      </c>
      <c r="J354">
        <v>14</v>
      </c>
      <c r="K354">
        <v>8</v>
      </c>
      <c r="L354" t="s">
        <v>27</v>
      </c>
      <c r="M354">
        <v>1</v>
      </c>
      <c r="N354" t="s">
        <v>26</v>
      </c>
      <c r="O354" t="s">
        <v>28</v>
      </c>
      <c r="P354" t="s">
        <v>57</v>
      </c>
      <c r="Q354" t="s">
        <v>58</v>
      </c>
      <c r="R354" t="str">
        <f>IF(Table14[[#This Row],[Resolution_Time]]&gt;Table14[[#This Row],[SLA_Target]],"No", "Yes")</f>
        <v>No</v>
      </c>
      <c r="S354" t="str">
        <f>IF(Table14[[#This Row],[Calculated_SLA]]=Table14[[#This Row],[SLA_Met]],"Match","Mismatch")</f>
        <v>Match</v>
      </c>
      <c r="T354">
        <f>IF(Table14[[#This Row],[Calculated_SLA]]="Yes",1,0)</f>
        <v>0</v>
      </c>
      <c r="U354" t="str">
        <f>IF(COUNTIFS(Reference_data!A:A,Table14[[#This Row],[Category]],Reference_data!B:B,Table14[[#This Row],[Subcategory]])&gt;0,"Valid","Invalid")</f>
        <v>Valid</v>
      </c>
    </row>
    <row r="355" spans="1:21">
      <c r="A355" t="s">
        <v>1125</v>
      </c>
      <c r="B355" t="s">
        <v>135</v>
      </c>
      <c r="C355" s="31" t="s">
        <v>1957</v>
      </c>
      <c r="D355" s="32" t="s">
        <v>1835</v>
      </c>
      <c r="E355" t="s">
        <v>44</v>
      </c>
      <c r="F355" t="s">
        <v>45</v>
      </c>
      <c r="G355" t="s">
        <v>46</v>
      </c>
      <c r="H355" t="s">
        <v>234</v>
      </c>
      <c r="I355" t="s">
        <v>48</v>
      </c>
      <c r="J355">
        <v>4.5</v>
      </c>
      <c r="K355">
        <v>8</v>
      </c>
      <c r="L355" t="s">
        <v>26</v>
      </c>
      <c r="M355" t="s">
        <v>2448</v>
      </c>
      <c r="N355" t="s">
        <v>27</v>
      </c>
      <c r="O355" t="s">
        <v>28</v>
      </c>
      <c r="P355" t="s">
        <v>29</v>
      </c>
      <c r="Q355" t="s">
        <v>101</v>
      </c>
      <c r="R355" t="str">
        <f>IF(Table14[[#This Row],[Resolution_Time]]&gt;Table14[[#This Row],[SLA_Target]],"No", "Yes")</f>
        <v>Yes</v>
      </c>
      <c r="S355" t="str">
        <f>IF(Table14[[#This Row],[Calculated_SLA]]=Table14[[#This Row],[SLA_Met]],"Match","Mismatch")</f>
        <v>Match</v>
      </c>
      <c r="T355">
        <f>IF(Table14[[#This Row],[Calculated_SLA]]="Yes",1,0)</f>
        <v>1</v>
      </c>
      <c r="U355" t="str">
        <f>IF(COUNTIFS(Reference_data!A:A,Table14[[#This Row],[Category]],Reference_data!B:B,Table14[[#This Row],[Subcategory]])&gt;0,"Valid","Invalid")</f>
        <v>Valid</v>
      </c>
    </row>
    <row r="356" spans="1:21">
      <c r="A356" t="s">
        <v>1128</v>
      </c>
      <c r="B356" t="s">
        <v>75</v>
      </c>
      <c r="C356" s="31" t="s">
        <v>1958</v>
      </c>
      <c r="D356" s="32" t="s">
        <v>2345</v>
      </c>
      <c r="E356" t="s">
        <v>44</v>
      </c>
      <c r="F356" t="s">
        <v>109</v>
      </c>
      <c r="G356" t="s">
        <v>46</v>
      </c>
      <c r="H356" t="s">
        <v>24</v>
      </c>
      <c r="I356" t="s">
        <v>48</v>
      </c>
      <c r="J356">
        <v>5.3</v>
      </c>
      <c r="K356">
        <v>8</v>
      </c>
      <c r="L356" t="s">
        <v>26</v>
      </c>
      <c r="M356">
        <v>4</v>
      </c>
      <c r="N356" t="s">
        <v>27</v>
      </c>
      <c r="O356" t="s">
        <v>28</v>
      </c>
      <c r="P356" t="s">
        <v>29</v>
      </c>
      <c r="Q356" t="s">
        <v>39</v>
      </c>
      <c r="R356" t="str">
        <f>IF(Table14[[#This Row],[Resolution_Time]]&gt;Table14[[#This Row],[SLA_Target]],"No", "Yes")</f>
        <v>Yes</v>
      </c>
      <c r="S356" t="str">
        <f>IF(Table14[[#This Row],[Calculated_SLA]]=Table14[[#This Row],[SLA_Met]],"Match","Mismatch")</f>
        <v>Match</v>
      </c>
      <c r="T356">
        <f>IF(Table14[[#This Row],[Calculated_SLA]]="Yes",1,0)</f>
        <v>1</v>
      </c>
      <c r="U356" t="str">
        <f>IF(COUNTIFS(Reference_data!A:A,Table14[[#This Row],[Category]],Reference_data!B:B,Table14[[#This Row],[Subcategory]])&gt;0,"Valid","Invalid")</f>
        <v>Valid</v>
      </c>
    </row>
    <row r="357" spans="1:21">
      <c r="A357" t="s">
        <v>1131</v>
      </c>
      <c r="B357" t="s">
        <v>75</v>
      </c>
      <c r="C357" s="31" t="s">
        <v>1959</v>
      </c>
      <c r="D357" s="32" t="s">
        <v>2346</v>
      </c>
      <c r="E357" t="s">
        <v>35</v>
      </c>
      <c r="F357" t="s">
        <v>53</v>
      </c>
      <c r="G357" t="s">
        <v>54</v>
      </c>
      <c r="H357" t="s">
        <v>24</v>
      </c>
      <c r="I357" t="s">
        <v>56</v>
      </c>
      <c r="J357">
        <v>10.6</v>
      </c>
      <c r="K357">
        <v>4</v>
      </c>
      <c r="L357" t="s">
        <v>27</v>
      </c>
      <c r="M357">
        <v>2</v>
      </c>
      <c r="N357" t="s">
        <v>27</v>
      </c>
      <c r="O357" t="s">
        <v>28</v>
      </c>
      <c r="P357" t="s">
        <v>57</v>
      </c>
      <c r="Q357" t="s">
        <v>30</v>
      </c>
      <c r="R357" t="str">
        <f>IF(Table14[[#This Row],[Resolution_Time]]&gt;Table14[[#This Row],[SLA_Target]],"No", "Yes")</f>
        <v>No</v>
      </c>
      <c r="S357" t="str">
        <f>IF(Table14[[#This Row],[Calculated_SLA]]=Table14[[#This Row],[SLA_Met]],"Match","Mismatch")</f>
        <v>Match</v>
      </c>
      <c r="T357">
        <f>IF(Table14[[#This Row],[Calculated_SLA]]="Yes",1,0)</f>
        <v>0</v>
      </c>
      <c r="U357" t="str">
        <f>IF(COUNTIFS(Reference_data!A:A,Table14[[#This Row],[Category]],Reference_data!B:B,Table14[[#This Row],[Subcategory]])&gt;0,"Valid","Invalid")</f>
        <v>Valid</v>
      </c>
    </row>
    <row r="358" spans="1:21">
      <c r="A358" t="s">
        <v>1134</v>
      </c>
      <c r="B358" t="s">
        <v>32</v>
      </c>
      <c r="C358" s="31" t="s">
        <v>1820</v>
      </c>
      <c r="D358" s="32" t="s">
        <v>2347</v>
      </c>
      <c r="E358" t="s">
        <v>78</v>
      </c>
      <c r="F358" t="s">
        <v>191</v>
      </c>
      <c r="G358" t="s">
        <v>23</v>
      </c>
      <c r="H358" t="s">
        <v>70</v>
      </c>
      <c r="I358" t="s">
        <v>38</v>
      </c>
      <c r="J358">
        <v>14.2</v>
      </c>
      <c r="K358">
        <v>24</v>
      </c>
      <c r="L358" t="s">
        <v>26</v>
      </c>
      <c r="M358">
        <v>5</v>
      </c>
      <c r="N358" t="s">
        <v>27</v>
      </c>
      <c r="O358" t="s">
        <v>28</v>
      </c>
      <c r="P358" t="s">
        <v>29</v>
      </c>
      <c r="Q358" t="s">
        <v>30</v>
      </c>
      <c r="R358" t="str">
        <f>IF(Table14[[#This Row],[Resolution_Time]]&gt;Table14[[#This Row],[SLA_Target]],"No", "Yes")</f>
        <v>Yes</v>
      </c>
      <c r="S358" t="str">
        <f>IF(Table14[[#This Row],[Calculated_SLA]]=Table14[[#This Row],[SLA_Met]],"Match","Mismatch")</f>
        <v>Match</v>
      </c>
      <c r="T358">
        <f>IF(Table14[[#This Row],[Calculated_SLA]]="Yes",1,0)</f>
        <v>1</v>
      </c>
      <c r="U358" t="str">
        <f>IF(COUNTIFS(Reference_data!A:A,Table14[[#This Row],[Category]],Reference_data!B:B,Table14[[#This Row],[Subcategory]])&gt;0,"Valid","Invalid")</f>
        <v>Valid</v>
      </c>
    </row>
    <row r="359" spans="1:21">
      <c r="A359" t="s">
        <v>1137</v>
      </c>
      <c r="B359" t="s">
        <v>32</v>
      </c>
      <c r="C359" s="31" t="s">
        <v>1708</v>
      </c>
      <c r="D359" s="32" t="s">
        <v>2316</v>
      </c>
      <c r="E359" t="s">
        <v>84</v>
      </c>
      <c r="F359" t="s">
        <v>85</v>
      </c>
      <c r="G359" t="s">
        <v>46</v>
      </c>
      <c r="H359" t="s">
        <v>234</v>
      </c>
      <c r="I359" t="s">
        <v>87</v>
      </c>
      <c r="J359">
        <v>5.3</v>
      </c>
      <c r="K359">
        <v>8</v>
      </c>
      <c r="L359" t="s">
        <v>26</v>
      </c>
      <c r="M359">
        <v>4</v>
      </c>
      <c r="N359" t="s">
        <v>27</v>
      </c>
      <c r="O359" t="s">
        <v>28</v>
      </c>
      <c r="P359" t="s">
        <v>29</v>
      </c>
      <c r="Q359" t="s">
        <v>101</v>
      </c>
      <c r="R359" t="str">
        <f>IF(Table14[[#This Row],[Resolution_Time]]&gt;Table14[[#This Row],[SLA_Target]],"No", "Yes")</f>
        <v>Yes</v>
      </c>
      <c r="S359" t="str">
        <f>IF(Table14[[#This Row],[Calculated_SLA]]=Table14[[#This Row],[SLA_Met]],"Match","Mismatch")</f>
        <v>Match</v>
      </c>
      <c r="T359">
        <f>IF(Table14[[#This Row],[Calculated_SLA]]="Yes",1,0)</f>
        <v>1</v>
      </c>
      <c r="U359" t="str">
        <f>IF(COUNTIFS(Reference_data!A:A,Table14[[#This Row],[Category]],Reference_data!B:B,Table14[[#This Row],[Subcategory]])&gt;0,"Valid","Invalid")</f>
        <v>Valid</v>
      </c>
    </row>
    <row r="360" spans="1:21">
      <c r="A360" t="s">
        <v>1140</v>
      </c>
      <c r="B360" t="s">
        <v>121</v>
      </c>
      <c r="C360" s="31" t="s">
        <v>1951</v>
      </c>
      <c r="D360" s="32" t="s">
        <v>2206</v>
      </c>
      <c r="E360" t="s">
        <v>35</v>
      </c>
      <c r="F360" t="s">
        <v>36</v>
      </c>
      <c r="G360" t="s">
        <v>23</v>
      </c>
      <c r="H360" t="s">
        <v>37</v>
      </c>
      <c r="I360" t="s">
        <v>38</v>
      </c>
      <c r="J360">
        <v>11.2</v>
      </c>
      <c r="K360">
        <v>24</v>
      </c>
      <c r="L360" t="s">
        <v>26</v>
      </c>
      <c r="M360">
        <v>4</v>
      </c>
      <c r="N360" t="s">
        <v>27</v>
      </c>
      <c r="O360" t="s">
        <v>28</v>
      </c>
      <c r="P360" t="s">
        <v>29</v>
      </c>
      <c r="Q360" t="s">
        <v>101</v>
      </c>
      <c r="R360" t="str">
        <f>IF(Table14[[#This Row],[Resolution_Time]]&gt;Table14[[#This Row],[SLA_Target]],"No", "Yes")</f>
        <v>Yes</v>
      </c>
      <c r="S360" t="str">
        <f>IF(Table14[[#This Row],[Calculated_SLA]]=Table14[[#This Row],[SLA_Met]],"Match","Mismatch")</f>
        <v>Match</v>
      </c>
      <c r="T360">
        <f>IF(Table14[[#This Row],[Calculated_SLA]]="Yes",1,0)</f>
        <v>1</v>
      </c>
      <c r="U360" t="str">
        <f>IF(COUNTIFS(Reference_data!A:A,Table14[[#This Row],[Category]],Reference_data!B:B,Table14[[#This Row],[Subcategory]])&gt;0,"Valid","Invalid")</f>
        <v>Valid</v>
      </c>
    </row>
    <row r="361" spans="1:21">
      <c r="A361" t="s">
        <v>1143</v>
      </c>
      <c r="B361" t="s">
        <v>60</v>
      </c>
      <c r="C361" s="31" t="s">
        <v>1960</v>
      </c>
      <c r="D361" s="32" t="s">
        <v>2348</v>
      </c>
      <c r="E361" t="s">
        <v>78</v>
      </c>
      <c r="F361" t="s">
        <v>191</v>
      </c>
      <c r="G361" t="s">
        <v>54</v>
      </c>
      <c r="H361" t="s">
        <v>37</v>
      </c>
      <c r="I361" t="s">
        <v>38</v>
      </c>
      <c r="J361">
        <v>10</v>
      </c>
      <c r="K361">
        <v>4</v>
      </c>
      <c r="L361" t="s">
        <v>27</v>
      </c>
      <c r="M361">
        <v>3</v>
      </c>
      <c r="N361" t="s">
        <v>27</v>
      </c>
      <c r="O361" t="s">
        <v>28</v>
      </c>
      <c r="P361" t="s">
        <v>1670</v>
      </c>
      <c r="Q361" t="s">
        <v>39</v>
      </c>
      <c r="R361" t="str">
        <f>IF(Table14[[#This Row],[Resolution_Time]]&gt;Table14[[#This Row],[SLA_Target]],"No", "Yes")</f>
        <v>No</v>
      </c>
      <c r="S361" t="str">
        <f>IF(Table14[[#This Row],[Calculated_SLA]]=Table14[[#This Row],[SLA_Met]],"Match","Mismatch")</f>
        <v>Match</v>
      </c>
      <c r="T361">
        <f>IF(Table14[[#This Row],[Calculated_SLA]]="Yes",1,0)</f>
        <v>0</v>
      </c>
      <c r="U361" t="str">
        <f>IF(COUNTIFS(Reference_data!A:A,Table14[[#This Row],[Category]],Reference_data!B:B,Table14[[#This Row],[Subcategory]])&gt;0,"Valid","Invalid")</f>
        <v>Valid</v>
      </c>
    </row>
    <row r="362" spans="1:21">
      <c r="A362" t="s">
        <v>1146</v>
      </c>
      <c r="B362" t="s">
        <v>18</v>
      </c>
      <c r="C362" s="31" t="s">
        <v>1961</v>
      </c>
      <c r="D362" s="32" t="s">
        <v>1902</v>
      </c>
      <c r="E362" t="s">
        <v>21</v>
      </c>
      <c r="F362" t="s">
        <v>22</v>
      </c>
      <c r="G362" t="s">
        <v>23</v>
      </c>
      <c r="H362" t="s">
        <v>70</v>
      </c>
      <c r="I362" t="s">
        <v>25</v>
      </c>
      <c r="J362">
        <v>6.3</v>
      </c>
      <c r="K362">
        <v>24</v>
      </c>
      <c r="L362" t="s">
        <v>26</v>
      </c>
      <c r="M362">
        <v>5</v>
      </c>
      <c r="N362" t="s">
        <v>27</v>
      </c>
      <c r="O362" t="s">
        <v>28</v>
      </c>
      <c r="P362" t="s">
        <v>29</v>
      </c>
      <c r="Q362" t="s">
        <v>39</v>
      </c>
      <c r="R362" t="str">
        <f>IF(Table14[[#This Row],[Resolution_Time]]&gt;Table14[[#This Row],[SLA_Target]],"No", "Yes")</f>
        <v>Yes</v>
      </c>
      <c r="S362" t="str">
        <f>IF(Table14[[#This Row],[Calculated_SLA]]=Table14[[#This Row],[SLA_Met]],"Match","Mismatch")</f>
        <v>Match</v>
      </c>
      <c r="T362">
        <f>IF(Table14[[#This Row],[Calculated_SLA]]="Yes",1,0)</f>
        <v>1</v>
      </c>
      <c r="U362" t="str">
        <f>IF(COUNTIFS(Reference_data!A:A,Table14[[#This Row],[Category]],Reference_data!B:B,Table14[[#This Row],[Subcategory]])&gt;0,"Valid","Invalid")</f>
        <v>Valid</v>
      </c>
    </row>
    <row r="363" spans="1:21">
      <c r="A363" t="s">
        <v>1149</v>
      </c>
      <c r="B363" t="s">
        <v>121</v>
      </c>
      <c r="C363" s="31" t="s">
        <v>1962</v>
      </c>
      <c r="D363" s="32" t="s">
        <v>2121</v>
      </c>
      <c r="E363" t="s">
        <v>21</v>
      </c>
      <c r="F363" t="s">
        <v>63</v>
      </c>
      <c r="G363" t="s">
        <v>46</v>
      </c>
      <c r="H363" t="s">
        <v>64</v>
      </c>
      <c r="I363" t="s">
        <v>25</v>
      </c>
      <c r="J363">
        <v>7.4</v>
      </c>
      <c r="K363">
        <v>8</v>
      </c>
      <c r="L363" t="s">
        <v>26</v>
      </c>
      <c r="M363">
        <v>4</v>
      </c>
      <c r="N363" t="s">
        <v>27</v>
      </c>
      <c r="O363" t="s">
        <v>28</v>
      </c>
      <c r="P363" t="s">
        <v>29</v>
      </c>
      <c r="Q363" t="s">
        <v>30</v>
      </c>
      <c r="R363" t="str">
        <f>IF(Table14[[#This Row],[Resolution_Time]]&gt;Table14[[#This Row],[SLA_Target]],"No", "Yes")</f>
        <v>Yes</v>
      </c>
      <c r="S363" t="str">
        <f>IF(Table14[[#This Row],[Calculated_SLA]]=Table14[[#This Row],[SLA_Met]],"Match","Mismatch")</f>
        <v>Match</v>
      </c>
      <c r="T363">
        <f>IF(Table14[[#This Row],[Calculated_SLA]]="Yes",1,0)</f>
        <v>1</v>
      </c>
      <c r="U363" t="str">
        <f>IF(COUNTIFS(Reference_data!A:A,Table14[[#This Row],[Category]],Reference_data!B:B,Table14[[#This Row],[Subcategory]])&gt;0,"Valid","Invalid")</f>
        <v>Valid</v>
      </c>
    </row>
    <row r="364" spans="1:21">
      <c r="A364" t="s">
        <v>1152</v>
      </c>
      <c r="B364" t="s">
        <v>75</v>
      </c>
      <c r="C364" s="31" t="s">
        <v>1889</v>
      </c>
      <c r="D364" s="32" t="s">
        <v>2331</v>
      </c>
      <c r="E364" t="s">
        <v>78</v>
      </c>
      <c r="F364" t="s">
        <v>166</v>
      </c>
      <c r="G364" t="s">
        <v>46</v>
      </c>
      <c r="H364" t="s">
        <v>37</v>
      </c>
      <c r="I364" t="s">
        <v>80</v>
      </c>
      <c r="J364">
        <v>17.600000000000001</v>
      </c>
      <c r="K364">
        <v>8</v>
      </c>
      <c r="L364" t="s">
        <v>27</v>
      </c>
      <c r="M364">
        <v>1</v>
      </c>
      <c r="N364" t="s">
        <v>27</v>
      </c>
      <c r="O364" t="s">
        <v>28</v>
      </c>
      <c r="P364" t="s">
        <v>57</v>
      </c>
      <c r="Q364" t="s">
        <v>39</v>
      </c>
      <c r="R364" t="str">
        <f>IF(Table14[[#This Row],[Resolution_Time]]&gt;Table14[[#This Row],[SLA_Target]],"No", "Yes")</f>
        <v>No</v>
      </c>
      <c r="S364" t="str">
        <f>IF(Table14[[#This Row],[Calculated_SLA]]=Table14[[#This Row],[SLA_Met]],"Match","Mismatch")</f>
        <v>Match</v>
      </c>
      <c r="T364">
        <f>IF(Table14[[#This Row],[Calculated_SLA]]="Yes",1,0)</f>
        <v>0</v>
      </c>
      <c r="U364" t="str">
        <f>IF(COUNTIFS(Reference_data!A:A,Table14[[#This Row],[Category]],Reference_data!B:B,Table14[[#This Row],[Subcategory]])&gt;0,"Valid","Invalid")</f>
        <v>Valid</v>
      </c>
    </row>
    <row r="365" spans="1:21">
      <c r="A365" t="s">
        <v>1155</v>
      </c>
      <c r="B365" t="s">
        <v>106</v>
      </c>
      <c r="C365" s="31" t="s">
        <v>1818</v>
      </c>
      <c r="D365" s="32" t="s">
        <v>2349</v>
      </c>
      <c r="E365" t="s">
        <v>21</v>
      </c>
      <c r="F365" t="s">
        <v>22</v>
      </c>
      <c r="G365" t="s">
        <v>54</v>
      </c>
      <c r="H365" t="s">
        <v>86</v>
      </c>
      <c r="I365" t="s">
        <v>25</v>
      </c>
      <c r="J365">
        <v>8.1999999999999993</v>
      </c>
      <c r="K365">
        <v>4</v>
      </c>
      <c r="L365" t="s">
        <v>27</v>
      </c>
      <c r="M365">
        <v>1</v>
      </c>
      <c r="N365" t="s">
        <v>27</v>
      </c>
      <c r="O365" t="s">
        <v>28</v>
      </c>
      <c r="P365" t="s">
        <v>57</v>
      </c>
      <c r="Q365" t="s">
        <v>39</v>
      </c>
      <c r="R365" t="str">
        <f>IF(Table14[[#This Row],[Resolution_Time]]&gt;Table14[[#This Row],[SLA_Target]],"No", "Yes")</f>
        <v>No</v>
      </c>
      <c r="S365" t="str">
        <f>IF(Table14[[#This Row],[Calculated_SLA]]=Table14[[#This Row],[SLA_Met]],"Match","Mismatch")</f>
        <v>Match</v>
      </c>
      <c r="T365">
        <f>IF(Table14[[#This Row],[Calculated_SLA]]="Yes",1,0)</f>
        <v>0</v>
      </c>
      <c r="U365" t="str">
        <f>IF(COUNTIFS(Reference_data!A:A,Table14[[#This Row],[Category]],Reference_data!B:B,Table14[[#This Row],[Subcategory]])&gt;0,"Valid","Invalid")</f>
        <v>Valid</v>
      </c>
    </row>
    <row r="366" spans="1:21">
      <c r="A366" t="s">
        <v>1158</v>
      </c>
      <c r="B366" t="s">
        <v>60</v>
      </c>
      <c r="C366" s="31" t="s">
        <v>1963</v>
      </c>
      <c r="D366" s="32" t="s">
        <v>2050</v>
      </c>
      <c r="E366" t="s">
        <v>21</v>
      </c>
      <c r="F366" t="s">
        <v>69</v>
      </c>
      <c r="G366" t="s">
        <v>46</v>
      </c>
      <c r="H366" t="s">
        <v>47</v>
      </c>
      <c r="I366" t="s">
        <v>25</v>
      </c>
      <c r="J366">
        <v>8.3000000000000007</v>
      </c>
      <c r="K366">
        <v>8</v>
      </c>
      <c r="L366" t="s">
        <v>27</v>
      </c>
      <c r="M366">
        <v>2</v>
      </c>
      <c r="N366" t="s">
        <v>27</v>
      </c>
      <c r="O366" t="s">
        <v>28</v>
      </c>
      <c r="P366" t="s">
        <v>57</v>
      </c>
      <c r="Q366" t="s">
        <v>58</v>
      </c>
      <c r="R366" t="str">
        <f>IF(Table14[[#This Row],[Resolution_Time]]&gt;Table14[[#This Row],[SLA_Target]],"No", "Yes")</f>
        <v>No</v>
      </c>
      <c r="S366" t="str">
        <f>IF(Table14[[#This Row],[Calculated_SLA]]=Table14[[#This Row],[SLA_Met]],"Match","Mismatch")</f>
        <v>Match</v>
      </c>
      <c r="T366">
        <f>IF(Table14[[#This Row],[Calculated_SLA]]="Yes",1,0)</f>
        <v>0</v>
      </c>
      <c r="U366" t="str">
        <f>IF(COUNTIFS(Reference_data!A:A,Table14[[#This Row],[Category]],Reference_data!B:B,Table14[[#This Row],[Subcategory]])&gt;0,"Valid","Invalid")</f>
        <v>Valid</v>
      </c>
    </row>
    <row r="367" spans="1:21">
      <c r="A367" t="s">
        <v>1161</v>
      </c>
      <c r="B367" t="s">
        <v>121</v>
      </c>
      <c r="C367" s="31" t="s">
        <v>1816</v>
      </c>
      <c r="D367" s="32" t="s">
        <v>2350</v>
      </c>
      <c r="E367" t="s">
        <v>35</v>
      </c>
      <c r="F367" t="s">
        <v>127</v>
      </c>
      <c r="G367" t="s">
        <v>46</v>
      </c>
      <c r="H367" t="s">
        <v>86</v>
      </c>
      <c r="I367" t="s">
        <v>56</v>
      </c>
      <c r="J367">
        <v>12</v>
      </c>
      <c r="K367">
        <v>8</v>
      </c>
      <c r="L367" t="s">
        <v>27</v>
      </c>
      <c r="M367">
        <v>2</v>
      </c>
      <c r="N367" t="s">
        <v>27</v>
      </c>
      <c r="O367" t="s">
        <v>28</v>
      </c>
      <c r="P367" t="s">
        <v>1670</v>
      </c>
      <c r="Q367" t="s">
        <v>101</v>
      </c>
      <c r="R367" t="str">
        <f>IF(Table14[[#This Row],[Resolution_Time]]&gt;Table14[[#This Row],[SLA_Target]],"No", "Yes")</f>
        <v>No</v>
      </c>
      <c r="S367" t="str">
        <f>IF(Table14[[#This Row],[Calculated_SLA]]=Table14[[#This Row],[SLA_Met]],"Match","Mismatch")</f>
        <v>Match</v>
      </c>
      <c r="T367">
        <f>IF(Table14[[#This Row],[Calculated_SLA]]="Yes",1,0)</f>
        <v>0</v>
      </c>
      <c r="U367" t="str">
        <f>IF(COUNTIFS(Reference_data!A:A,Table14[[#This Row],[Category]],Reference_data!B:B,Table14[[#This Row],[Subcategory]])&gt;0,"Valid","Invalid")</f>
        <v>Valid</v>
      </c>
    </row>
    <row r="368" spans="1:21">
      <c r="A368" t="s">
        <v>1164</v>
      </c>
      <c r="B368" t="s">
        <v>60</v>
      </c>
      <c r="C368" s="31" t="s">
        <v>1715</v>
      </c>
      <c r="D368" s="32" t="s">
        <v>2351</v>
      </c>
      <c r="E368" t="s">
        <v>21</v>
      </c>
      <c r="F368" t="s">
        <v>69</v>
      </c>
      <c r="G368" t="s">
        <v>46</v>
      </c>
      <c r="H368" t="s">
        <v>55</v>
      </c>
      <c r="I368" t="s">
        <v>25</v>
      </c>
      <c r="J368">
        <v>14.4</v>
      </c>
      <c r="K368">
        <v>8</v>
      </c>
      <c r="L368" t="s">
        <v>27</v>
      </c>
      <c r="M368">
        <v>2</v>
      </c>
      <c r="N368" t="s">
        <v>26</v>
      </c>
      <c r="O368" t="s">
        <v>28</v>
      </c>
      <c r="P368" t="s">
        <v>57</v>
      </c>
      <c r="Q368" t="s">
        <v>39</v>
      </c>
      <c r="R368" t="str">
        <f>IF(Table14[[#This Row],[Resolution_Time]]&gt;Table14[[#This Row],[SLA_Target]],"No", "Yes")</f>
        <v>No</v>
      </c>
      <c r="S368" t="str">
        <f>IF(Table14[[#This Row],[Calculated_SLA]]=Table14[[#This Row],[SLA_Met]],"Match","Mismatch")</f>
        <v>Match</v>
      </c>
      <c r="T368">
        <f>IF(Table14[[#This Row],[Calculated_SLA]]="Yes",1,0)</f>
        <v>0</v>
      </c>
      <c r="U368" t="str">
        <f>IF(COUNTIFS(Reference_data!A:A,Table14[[#This Row],[Category]],Reference_data!B:B,Table14[[#This Row],[Subcategory]])&gt;0,"Valid","Invalid")</f>
        <v>Valid</v>
      </c>
    </row>
    <row r="369" spans="1:21">
      <c r="A369" t="s">
        <v>1167</v>
      </c>
      <c r="B369" t="s">
        <v>135</v>
      </c>
      <c r="C369" s="31" t="s">
        <v>1964</v>
      </c>
      <c r="D369" s="32" t="s">
        <v>2352</v>
      </c>
      <c r="E369" t="s">
        <v>78</v>
      </c>
      <c r="F369" t="s">
        <v>191</v>
      </c>
      <c r="G369" t="s">
        <v>46</v>
      </c>
      <c r="H369" t="s">
        <v>64</v>
      </c>
      <c r="I369" t="s">
        <v>38</v>
      </c>
      <c r="J369">
        <v>11.7</v>
      </c>
      <c r="K369">
        <v>8</v>
      </c>
      <c r="L369" t="s">
        <v>27</v>
      </c>
      <c r="M369">
        <v>3</v>
      </c>
      <c r="N369" t="s">
        <v>27</v>
      </c>
      <c r="O369" t="s">
        <v>28</v>
      </c>
      <c r="P369" t="s">
        <v>57</v>
      </c>
      <c r="Q369" t="s">
        <v>58</v>
      </c>
      <c r="R369" t="str">
        <f>IF(Table14[[#This Row],[Resolution_Time]]&gt;Table14[[#This Row],[SLA_Target]],"No", "Yes")</f>
        <v>No</v>
      </c>
      <c r="S369" t="str">
        <f>IF(Table14[[#This Row],[Calculated_SLA]]=Table14[[#This Row],[SLA_Met]],"Match","Mismatch")</f>
        <v>Match</v>
      </c>
      <c r="T369">
        <f>IF(Table14[[#This Row],[Calculated_SLA]]="Yes",1,0)</f>
        <v>0</v>
      </c>
      <c r="U369" t="str">
        <f>IF(COUNTIFS(Reference_data!A:A,Table14[[#This Row],[Category]],Reference_data!B:B,Table14[[#This Row],[Subcategory]])&gt;0,"Valid","Invalid")</f>
        <v>Valid</v>
      </c>
    </row>
    <row r="370" spans="1:21">
      <c r="A370" t="s">
        <v>1170</v>
      </c>
      <c r="B370" t="s">
        <v>41</v>
      </c>
      <c r="C370" s="31" t="s">
        <v>1689</v>
      </c>
      <c r="D370" s="32" t="s">
        <v>2223</v>
      </c>
      <c r="E370" t="s">
        <v>44</v>
      </c>
      <c r="F370" t="s">
        <v>109</v>
      </c>
      <c r="G370" t="s">
        <v>54</v>
      </c>
      <c r="H370" t="s">
        <v>64</v>
      </c>
      <c r="I370" t="s">
        <v>48</v>
      </c>
      <c r="J370">
        <v>2.6</v>
      </c>
      <c r="K370">
        <v>4</v>
      </c>
      <c r="L370" t="s">
        <v>26</v>
      </c>
      <c r="M370">
        <v>5</v>
      </c>
      <c r="N370" t="s">
        <v>27</v>
      </c>
      <c r="O370" t="s">
        <v>28</v>
      </c>
      <c r="P370" t="s">
        <v>29</v>
      </c>
      <c r="Q370" t="s">
        <v>39</v>
      </c>
      <c r="R370" t="str">
        <f>IF(Table14[[#This Row],[Resolution_Time]]&gt;Table14[[#This Row],[SLA_Target]],"No", "Yes")</f>
        <v>Yes</v>
      </c>
      <c r="S370" t="str">
        <f>IF(Table14[[#This Row],[Calculated_SLA]]=Table14[[#This Row],[SLA_Met]],"Match","Mismatch")</f>
        <v>Match</v>
      </c>
      <c r="T370">
        <f>IF(Table14[[#This Row],[Calculated_SLA]]="Yes",1,0)</f>
        <v>1</v>
      </c>
      <c r="U370" t="str">
        <f>IF(COUNTIFS(Reference_data!A:A,Table14[[#This Row],[Category]],Reference_data!B:B,Table14[[#This Row],[Subcategory]])&gt;0,"Valid","Invalid")</f>
        <v>Valid</v>
      </c>
    </row>
    <row r="371" spans="1:21">
      <c r="A371" t="s">
        <v>1173</v>
      </c>
      <c r="B371" t="s">
        <v>50</v>
      </c>
      <c r="C371" s="31" t="s">
        <v>1842</v>
      </c>
      <c r="D371" s="32" t="s">
        <v>2258</v>
      </c>
      <c r="E371" t="s">
        <v>21</v>
      </c>
      <c r="F371" t="s">
        <v>22</v>
      </c>
      <c r="G371" t="s">
        <v>46</v>
      </c>
      <c r="H371" t="s">
        <v>91</v>
      </c>
      <c r="I371" t="s">
        <v>25</v>
      </c>
      <c r="J371">
        <v>9.1</v>
      </c>
      <c r="K371">
        <v>8</v>
      </c>
      <c r="L371" t="s">
        <v>27</v>
      </c>
      <c r="M371">
        <v>1</v>
      </c>
      <c r="N371" t="s">
        <v>26</v>
      </c>
      <c r="O371" t="s">
        <v>28</v>
      </c>
      <c r="P371" t="s">
        <v>57</v>
      </c>
      <c r="Q371" t="s">
        <v>30</v>
      </c>
      <c r="R371" t="str">
        <f>IF(Table14[[#This Row],[Resolution_Time]]&gt;Table14[[#This Row],[SLA_Target]],"No", "Yes")</f>
        <v>No</v>
      </c>
      <c r="S371" t="str">
        <f>IF(Table14[[#This Row],[Calculated_SLA]]=Table14[[#This Row],[SLA_Met]],"Match","Mismatch")</f>
        <v>Match</v>
      </c>
      <c r="T371">
        <f>IF(Table14[[#This Row],[Calculated_SLA]]="Yes",1,0)</f>
        <v>0</v>
      </c>
      <c r="U371" t="str">
        <f>IF(COUNTIFS(Reference_data!A:A,Table14[[#This Row],[Category]],Reference_data!B:B,Table14[[#This Row],[Subcategory]])&gt;0,"Valid","Invalid")</f>
        <v>Valid</v>
      </c>
    </row>
    <row r="372" spans="1:21">
      <c r="A372" t="s">
        <v>1176</v>
      </c>
      <c r="B372" t="s">
        <v>18</v>
      </c>
      <c r="C372" s="31" t="s">
        <v>1908</v>
      </c>
      <c r="D372" s="32" t="s">
        <v>2353</v>
      </c>
      <c r="E372" t="s">
        <v>78</v>
      </c>
      <c r="F372" t="s">
        <v>191</v>
      </c>
      <c r="G372" t="s">
        <v>23</v>
      </c>
      <c r="H372" t="s">
        <v>55</v>
      </c>
      <c r="I372" t="s">
        <v>38</v>
      </c>
      <c r="J372">
        <v>12.9</v>
      </c>
      <c r="K372">
        <v>24</v>
      </c>
      <c r="L372" t="s">
        <v>26</v>
      </c>
      <c r="M372">
        <v>4</v>
      </c>
      <c r="N372" t="s">
        <v>27</v>
      </c>
      <c r="O372" t="s">
        <v>28</v>
      </c>
      <c r="P372" t="s">
        <v>29</v>
      </c>
      <c r="Q372" t="s">
        <v>58</v>
      </c>
      <c r="R372" t="str">
        <f>IF(Table14[[#This Row],[Resolution_Time]]&gt;Table14[[#This Row],[SLA_Target]],"No", "Yes")</f>
        <v>Yes</v>
      </c>
      <c r="S372" t="str">
        <f>IF(Table14[[#This Row],[Calculated_SLA]]=Table14[[#This Row],[SLA_Met]],"Match","Mismatch")</f>
        <v>Match</v>
      </c>
      <c r="T372">
        <f>IF(Table14[[#This Row],[Calculated_SLA]]="Yes",1,0)</f>
        <v>1</v>
      </c>
      <c r="U372" t="str">
        <f>IF(COUNTIFS(Reference_data!A:A,Table14[[#This Row],[Category]],Reference_data!B:B,Table14[[#This Row],[Subcategory]])&gt;0,"Valid","Invalid")</f>
        <v>Valid</v>
      </c>
    </row>
    <row r="373" spans="1:21">
      <c r="A373" t="s">
        <v>1179</v>
      </c>
      <c r="B373" t="s">
        <v>32</v>
      </c>
      <c r="C373" s="31" t="s">
        <v>1965</v>
      </c>
      <c r="D373" s="32" t="s">
        <v>2354</v>
      </c>
      <c r="E373" t="s">
        <v>35</v>
      </c>
      <c r="F373" t="s">
        <v>53</v>
      </c>
      <c r="G373" t="s">
        <v>46</v>
      </c>
      <c r="H373" t="s">
        <v>234</v>
      </c>
      <c r="I373" t="s">
        <v>56</v>
      </c>
      <c r="J373">
        <v>10.5</v>
      </c>
      <c r="K373">
        <v>8</v>
      </c>
      <c r="L373" t="s">
        <v>27</v>
      </c>
      <c r="M373">
        <v>1</v>
      </c>
      <c r="N373" t="s">
        <v>26</v>
      </c>
      <c r="O373" t="s">
        <v>28</v>
      </c>
      <c r="P373" t="s">
        <v>57</v>
      </c>
      <c r="Q373" t="s">
        <v>101</v>
      </c>
      <c r="R373" t="str">
        <f>IF(Table14[[#This Row],[Resolution_Time]]&gt;Table14[[#This Row],[SLA_Target]],"No", "Yes")</f>
        <v>No</v>
      </c>
      <c r="S373" t="str">
        <f>IF(Table14[[#This Row],[Calculated_SLA]]=Table14[[#This Row],[SLA_Met]],"Match","Mismatch")</f>
        <v>Match</v>
      </c>
      <c r="T373">
        <f>IF(Table14[[#This Row],[Calculated_SLA]]="Yes",1,0)</f>
        <v>0</v>
      </c>
      <c r="U373" t="str">
        <f>IF(COUNTIFS(Reference_data!A:A,Table14[[#This Row],[Category]],Reference_data!B:B,Table14[[#This Row],[Subcategory]])&gt;0,"Valid","Invalid")</f>
        <v>Valid</v>
      </c>
    </row>
    <row r="374" spans="1:21">
      <c r="A374" t="s">
        <v>1182</v>
      </c>
      <c r="B374" t="s">
        <v>60</v>
      </c>
      <c r="C374" s="31" t="s">
        <v>1966</v>
      </c>
      <c r="D374" s="32" t="s">
        <v>2355</v>
      </c>
      <c r="E374" t="s">
        <v>35</v>
      </c>
      <c r="F374" t="s">
        <v>53</v>
      </c>
      <c r="G374" t="s">
        <v>46</v>
      </c>
      <c r="H374" t="s">
        <v>55</v>
      </c>
      <c r="I374" t="s">
        <v>56</v>
      </c>
      <c r="J374">
        <v>8.8000000000000007</v>
      </c>
      <c r="K374">
        <v>8</v>
      </c>
      <c r="L374" t="s">
        <v>27</v>
      </c>
      <c r="M374">
        <v>1</v>
      </c>
      <c r="N374" t="s">
        <v>26</v>
      </c>
      <c r="O374" t="s">
        <v>28</v>
      </c>
      <c r="P374" t="s">
        <v>1670</v>
      </c>
      <c r="Q374" t="s">
        <v>30</v>
      </c>
      <c r="R374" t="str">
        <f>IF(Table14[[#This Row],[Resolution_Time]]&gt;Table14[[#This Row],[SLA_Target]],"No", "Yes")</f>
        <v>No</v>
      </c>
      <c r="S374" t="str">
        <f>IF(Table14[[#This Row],[Calculated_SLA]]=Table14[[#This Row],[SLA_Met]],"Match","Mismatch")</f>
        <v>Match</v>
      </c>
      <c r="T374">
        <f>IF(Table14[[#This Row],[Calculated_SLA]]="Yes",1,0)</f>
        <v>0</v>
      </c>
      <c r="U374" t="str">
        <f>IF(COUNTIFS(Reference_data!A:A,Table14[[#This Row],[Category]],Reference_data!B:B,Table14[[#This Row],[Subcategory]])&gt;0,"Valid","Invalid")</f>
        <v>Valid</v>
      </c>
    </row>
    <row r="375" spans="1:21">
      <c r="A375" t="s">
        <v>1185</v>
      </c>
      <c r="B375" t="s">
        <v>41</v>
      </c>
      <c r="C375" s="31" t="s">
        <v>1967</v>
      </c>
      <c r="D375" s="32" t="s">
        <v>2028</v>
      </c>
      <c r="E375" t="s">
        <v>35</v>
      </c>
      <c r="F375" t="s">
        <v>53</v>
      </c>
      <c r="G375" t="s">
        <v>23</v>
      </c>
      <c r="H375" t="s">
        <v>24</v>
      </c>
      <c r="I375" t="s">
        <v>56</v>
      </c>
      <c r="J375">
        <v>17.7</v>
      </c>
      <c r="K375">
        <v>24</v>
      </c>
      <c r="L375" t="s">
        <v>26</v>
      </c>
      <c r="M375">
        <v>4</v>
      </c>
      <c r="N375" t="s">
        <v>27</v>
      </c>
      <c r="O375" t="s">
        <v>28</v>
      </c>
      <c r="P375" t="s">
        <v>29</v>
      </c>
      <c r="Q375" t="s">
        <v>58</v>
      </c>
      <c r="R375" t="str">
        <f>IF(Table14[[#This Row],[Resolution_Time]]&gt;Table14[[#This Row],[SLA_Target]],"No", "Yes")</f>
        <v>Yes</v>
      </c>
      <c r="S375" t="str">
        <f>IF(Table14[[#This Row],[Calculated_SLA]]=Table14[[#This Row],[SLA_Met]],"Match","Mismatch")</f>
        <v>Match</v>
      </c>
      <c r="T375">
        <f>IF(Table14[[#This Row],[Calculated_SLA]]="Yes",1,0)</f>
        <v>1</v>
      </c>
      <c r="U375" t="str">
        <f>IF(COUNTIFS(Reference_data!A:A,Table14[[#This Row],[Category]],Reference_data!B:B,Table14[[#This Row],[Subcategory]])&gt;0,"Valid","Invalid")</f>
        <v>Valid</v>
      </c>
    </row>
    <row r="376" spans="1:21">
      <c r="A376" t="s">
        <v>1188</v>
      </c>
      <c r="B376" t="s">
        <v>32</v>
      </c>
      <c r="C376" s="31" t="s">
        <v>1703</v>
      </c>
      <c r="D376" s="32" t="s">
        <v>2069</v>
      </c>
      <c r="E376" t="s">
        <v>78</v>
      </c>
      <c r="F376" t="s">
        <v>191</v>
      </c>
      <c r="G376" t="s">
        <v>46</v>
      </c>
      <c r="H376" t="s">
        <v>37</v>
      </c>
      <c r="I376" t="s">
        <v>38</v>
      </c>
      <c r="J376">
        <v>8.9</v>
      </c>
      <c r="K376">
        <v>8</v>
      </c>
      <c r="L376" t="s">
        <v>27</v>
      </c>
      <c r="M376">
        <v>3</v>
      </c>
      <c r="N376" t="s">
        <v>26</v>
      </c>
      <c r="O376" t="s">
        <v>28</v>
      </c>
      <c r="P376" t="s">
        <v>57</v>
      </c>
      <c r="Q376" t="s">
        <v>58</v>
      </c>
      <c r="R376" t="str">
        <f>IF(Table14[[#This Row],[Resolution_Time]]&gt;Table14[[#This Row],[SLA_Target]],"No", "Yes")</f>
        <v>No</v>
      </c>
      <c r="S376" t="str">
        <f>IF(Table14[[#This Row],[Calculated_SLA]]=Table14[[#This Row],[SLA_Met]],"Match","Mismatch")</f>
        <v>Match</v>
      </c>
      <c r="T376">
        <f>IF(Table14[[#This Row],[Calculated_SLA]]="Yes",1,0)</f>
        <v>0</v>
      </c>
      <c r="U376" t="str">
        <f>IF(COUNTIFS(Reference_data!A:A,Table14[[#This Row],[Category]],Reference_data!B:B,Table14[[#This Row],[Subcategory]])&gt;0,"Valid","Invalid")</f>
        <v>Valid</v>
      </c>
    </row>
    <row r="377" spans="1:21">
      <c r="A377" t="s">
        <v>1191</v>
      </c>
      <c r="B377" t="s">
        <v>75</v>
      </c>
      <c r="C377" s="31" t="s">
        <v>1968</v>
      </c>
      <c r="D377" s="32" t="s">
        <v>2087</v>
      </c>
      <c r="E377" t="s">
        <v>44</v>
      </c>
      <c r="F377" t="s">
        <v>45</v>
      </c>
      <c r="G377" t="s">
        <v>23</v>
      </c>
      <c r="H377" t="s">
        <v>55</v>
      </c>
      <c r="I377" t="s">
        <v>48</v>
      </c>
      <c r="J377">
        <v>3.2</v>
      </c>
      <c r="K377">
        <v>24</v>
      </c>
      <c r="L377" t="s">
        <v>26</v>
      </c>
      <c r="M377">
        <v>5</v>
      </c>
      <c r="N377" t="s">
        <v>27</v>
      </c>
      <c r="O377" t="s">
        <v>28</v>
      </c>
      <c r="P377" t="s">
        <v>29</v>
      </c>
      <c r="Q377" t="s">
        <v>39</v>
      </c>
      <c r="R377" t="str">
        <f>IF(Table14[[#This Row],[Resolution_Time]]&gt;Table14[[#This Row],[SLA_Target]],"No", "Yes")</f>
        <v>Yes</v>
      </c>
      <c r="S377" t="str">
        <f>IF(Table14[[#This Row],[Calculated_SLA]]=Table14[[#This Row],[SLA_Met]],"Match","Mismatch")</f>
        <v>Match</v>
      </c>
      <c r="T377">
        <f>IF(Table14[[#This Row],[Calculated_SLA]]="Yes",1,0)</f>
        <v>1</v>
      </c>
      <c r="U377" t="str">
        <f>IF(COUNTIFS(Reference_data!A:A,Table14[[#This Row],[Category]],Reference_data!B:B,Table14[[#This Row],[Subcategory]])&gt;0,"Valid","Invalid")</f>
        <v>Valid</v>
      </c>
    </row>
    <row r="378" spans="1:21">
      <c r="A378" t="s">
        <v>1194</v>
      </c>
      <c r="B378" t="s">
        <v>75</v>
      </c>
      <c r="C378" s="31" t="s">
        <v>1969</v>
      </c>
      <c r="D378" s="32" t="s">
        <v>2356</v>
      </c>
      <c r="E378" t="s">
        <v>21</v>
      </c>
      <c r="F378" t="s">
        <v>63</v>
      </c>
      <c r="G378" t="s">
        <v>46</v>
      </c>
      <c r="H378" t="s">
        <v>91</v>
      </c>
      <c r="I378" t="s">
        <v>25</v>
      </c>
      <c r="J378">
        <v>15.9</v>
      </c>
      <c r="K378">
        <v>8</v>
      </c>
      <c r="L378" t="s">
        <v>27</v>
      </c>
      <c r="M378">
        <v>2</v>
      </c>
      <c r="N378" t="s">
        <v>26</v>
      </c>
      <c r="O378" t="s">
        <v>28</v>
      </c>
      <c r="P378" t="s">
        <v>1670</v>
      </c>
      <c r="Q378" t="s">
        <v>39</v>
      </c>
      <c r="R378" t="str">
        <f>IF(Table14[[#This Row],[Resolution_Time]]&gt;Table14[[#This Row],[SLA_Target]],"No", "Yes")</f>
        <v>No</v>
      </c>
      <c r="S378" t="str">
        <f>IF(Table14[[#This Row],[Calculated_SLA]]=Table14[[#This Row],[SLA_Met]],"Match","Mismatch")</f>
        <v>Match</v>
      </c>
      <c r="T378">
        <f>IF(Table14[[#This Row],[Calculated_SLA]]="Yes",1,0)</f>
        <v>0</v>
      </c>
      <c r="U378" t="str">
        <f>IF(COUNTIFS(Reference_data!A:A,Table14[[#This Row],[Category]],Reference_data!B:B,Table14[[#This Row],[Subcategory]])&gt;0,"Valid","Invalid")</f>
        <v>Valid</v>
      </c>
    </row>
    <row r="379" spans="1:21">
      <c r="A379" t="s">
        <v>1197</v>
      </c>
      <c r="B379" t="s">
        <v>135</v>
      </c>
      <c r="C379" s="31" t="s">
        <v>1970</v>
      </c>
      <c r="D379" s="32" t="s">
        <v>2357</v>
      </c>
      <c r="E379" t="s">
        <v>21</v>
      </c>
      <c r="F379" t="s">
        <v>69</v>
      </c>
      <c r="G379" t="s">
        <v>23</v>
      </c>
      <c r="H379" t="s">
        <v>64</v>
      </c>
      <c r="I379" t="s">
        <v>25</v>
      </c>
      <c r="J379">
        <v>10.5</v>
      </c>
      <c r="K379">
        <v>24</v>
      </c>
      <c r="L379" t="s">
        <v>26</v>
      </c>
      <c r="M379">
        <v>4</v>
      </c>
      <c r="N379" t="s">
        <v>27</v>
      </c>
      <c r="O379" t="s">
        <v>28</v>
      </c>
      <c r="P379" t="s">
        <v>29</v>
      </c>
      <c r="Q379" t="s">
        <v>39</v>
      </c>
      <c r="R379" t="str">
        <f>IF(Table14[[#This Row],[Resolution_Time]]&gt;Table14[[#This Row],[SLA_Target]],"No", "Yes")</f>
        <v>Yes</v>
      </c>
      <c r="S379" t="str">
        <f>IF(Table14[[#This Row],[Calculated_SLA]]=Table14[[#This Row],[SLA_Met]],"Match","Mismatch")</f>
        <v>Match</v>
      </c>
      <c r="T379">
        <f>IF(Table14[[#This Row],[Calculated_SLA]]="Yes",1,0)</f>
        <v>1</v>
      </c>
      <c r="U379" t="str">
        <f>IF(COUNTIFS(Reference_data!A:A,Table14[[#This Row],[Category]],Reference_data!B:B,Table14[[#This Row],[Subcategory]])&gt;0,"Valid","Invalid")</f>
        <v>Valid</v>
      </c>
    </row>
    <row r="380" spans="1:21">
      <c r="A380" t="s">
        <v>1200</v>
      </c>
      <c r="B380" t="s">
        <v>32</v>
      </c>
      <c r="C380" s="31" t="s">
        <v>1712</v>
      </c>
      <c r="D380" s="32" t="s">
        <v>2358</v>
      </c>
      <c r="E380" t="s">
        <v>78</v>
      </c>
      <c r="F380" t="s">
        <v>166</v>
      </c>
      <c r="G380" t="s">
        <v>54</v>
      </c>
      <c r="H380" t="s">
        <v>37</v>
      </c>
      <c r="I380" t="s">
        <v>80</v>
      </c>
      <c r="J380">
        <v>17.399999999999999</v>
      </c>
      <c r="K380">
        <v>4</v>
      </c>
      <c r="L380" t="s">
        <v>27</v>
      </c>
      <c r="M380">
        <v>2</v>
      </c>
      <c r="N380" t="s">
        <v>26</v>
      </c>
      <c r="O380" t="s">
        <v>28</v>
      </c>
      <c r="P380" t="s">
        <v>57</v>
      </c>
      <c r="Q380" t="s">
        <v>58</v>
      </c>
      <c r="R380" t="str">
        <f>IF(Table14[[#This Row],[Resolution_Time]]&gt;Table14[[#This Row],[SLA_Target]],"No", "Yes")</f>
        <v>No</v>
      </c>
      <c r="S380" t="str">
        <f>IF(Table14[[#This Row],[Calculated_SLA]]=Table14[[#This Row],[SLA_Met]],"Match","Mismatch")</f>
        <v>Match</v>
      </c>
      <c r="T380">
        <f>IF(Table14[[#This Row],[Calculated_SLA]]="Yes",1,0)</f>
        <v>0</v>
      </c>
      <c r="U380" t="str">
        <f>IF(COUNTIFS(Reference_data!A:A,Table14[[#This Row],[Category]],Reference_data!B:B,Table14[[#This Row],[Subcategory]])&gt;0,"Valid","Invalid")</f>
        <v>Valid</v>
      </c>
    </row>
    <row r="381" spans="1:21">
      <c r="A381" t="s">
        <v>1203</v>
      </c>
      <c r="B381" t="s">
        <v>32</v>
      </c>
      <c r="C381" s="31" t="s">
        <v>1971</v>
      </c>
      <c r="D381" s="32" t="s">
        <v>2226</v>
      </c>
      <c r="E381" t="s">
        <v>21</v>
      </c>
      <c r="F381" t="s">
        <v>22</v>
      </c>
      <c r="G381" t="s">
        <v>23</v>
      </c>
      <c r="H381" t="s">
        <v>55</v>
      </c>
      <c r="I381" t="s">
        <v>25</v>
      </c>
      <c r="J381">
        <v>14.8</v>
      </c>
      <c r="K381">
        <v>24</v>
      </c>
      <c r="L381" t="s">
        <v>26</v>
      </c>
      <c r="M381">
        <v>4</v>
      </c>
      <c r="N381" t="s">
        <v>27</v>
      </c>
      <c r="O381" t="s">
        <v>28</v>
      </c>
      <c r="P381" t="s">
        <v>29</v>
      </c>
      <c r="Q381" t="s">
        <v>101</v>
      </c>
      <c r="R381" t="str">
        <f>IF(Table14[[#This Row],[Resolution_Time]]&gt;Table14[[#This Row],[SLA_Target]],"No", "Yes")</f>
        <v>Yes</v>
      </c>
      <c r="S381" t="str">
        <f>IF(Table14[[#This Row],[Calculated_SLA]]=Table14[[#This Row],[SLA_Met]],"Match","Mismatch")</f>
        <v>Match</v>
      </c>
      <c r="T381">
        <f>IF(Table14[[#This Row],[Calculated_SLA]]="Yes",1,0)</f>
        <v>1</v>
      </c>
      <c r="U381" t="str">
        <f>IF(COUNTIFS(Reference_data!A:A,Table14[[#This Row],[Category]],Reference_data!B:B,Table14[[#This Row],[Subcategory]])&gt;0,"Valid","Invalid")</f>
        <v>Valid</v>
      </c>
    </row>
    <row r="382" spans="1:21">
      <c r="A382" t="s">
        <v>1206</v>
      </c>
      <c r="B382" t="s">
        <v>66</v>
      </c>
      <c r="C382" s="31" t="s">
        <v>1972</v>
      </c>
      <c r="D382" s="32" t="s">
        <v>2359</v>
      </c>
      <c r="E382" t="s">
        <v>78</v>
      </c>
      <c r="F382" t="s">
        <v>166</v>
      </c>
      <c r="G382" t="s">
        <v>46</v>
      </c>
      <c r="H382" t="s">
        <v>86</v>
      </c>
      <c r="I382" t="s">
        <v>80</v>
      </c>
      <c r="J382">
        <v>17.899999999999999</v>
      </c>
      <c r="K382">
        <v>8</v>
      </c>
      <c r="L382" t="s">
        <v>27</v>
      </c>
      <c r="M382">
        <v>1</v>
      </c>
      <c r="N382" t="s">
        <v>26</v>
      </c>
      <c r="O382" t="s">
        <v>28</v>
      </c>
      <c r="P382" t="s">
        <v>1670</v>
      </c>
      <c r="Q382" t="s">
        <v>30</v>
      </c>
      <c r="R382" t="str">
        <f>IF(Table14[[#This Row],[Resolution_Time]]&gt;Table14[[#This Row],[SLA_Target]],"No", "Yes")</f>
        <v>No</v>
      </c>
      <c r="S382" t="str">
        <f>IF(Table14[[#This Row],[Calculated_SLA]]=Table14[[#This Row],[SLA_Met]],"Match","Mismatch")</f>
        <v>Match</v>
      </c>
      <c r="T382">
        <f>IF(Table14[[#This Row],[Calculated_SLA]]="Yes",1,0)</f>
        <v>0</v>
      </c>
      <c r="U382" t="str">
        <f>IF(COUNTIFS(Reference_data!A:A,Table14[[#This Row],[Category]],Reference_data!B:B,Table14[[#This Row],[Subcategory]])&gt;0,"Valid","Invalid")</f>
        <v>Valid</v>
      </c>
    </row>
    <row r="383" spans="1:21">
      <c r="A383" t="s">
        <v>1209</v>
      </c>
      <c r="B383" t="s">
        <v>60</v>
      </c>
      <c r="C383" s="31" t="s">
        <v>1973</v>
      </c>
      <c r="D383" s="32" t="s">
        <v>2360</v>
      </c>
      <c r="E383" t="s">
        <v>35</v>
      </c>
      <c r="F383" t="s">
        <v>36</v>
      </c>
      <c r="G383" t="s">
        <v>54</v>
      </c>
      <c r="H383" t="s">
        <v>234</v>
      </c>
      <c r="I383" t="s">
        <v>38</v>
      </c>
      <c r="J383">
        <v>7.7</v>
      </c>
      <c r="K383">
        <v>4</v>
      </c>
      <c r="L383" t="s">
        <v>27</v>
      </c>
      <c r="M383">
        <v>3</v>
      </c>
      <c r="N383" t="s">
        <v>27</v>
      </c>
      <c r="O383" t="s">
        <v>28</v>
      </c>
      <c r="P383" t="s">
        <v>1670</v>
      </c>
      <c r="Q383" t="s">
        <v>30</v>
      </c>
      <c r="R383" t="str">
        <f>IF(Table14[[#This Row],[Resolution_Time]]&gt;Table14[[#This Row],[SLA_Target]],"No", "Yes")</f>
        <v>No</v>
      </c>
      <c r="S383" t="str">
        <f>IF(Table14[[#This Row],[Calculated_SLA]]=Table14[[#This Row],[SLA_Met]],"Match","Mismatch")</f>
        <v>Match</v>
      </c>
      <c r="T383">
        <f>IF(Table14[[#This Row],[Calculated_SLA]]="Yes",1,0)</f>
        <v>0</v>
      </c>
      <c r="U383" t="str">
        <f>IF(COUNTIFS(Reference_data!A:A,Table14[[#This Row],[Category]],Reference_data!B:B,Table14[[#This Row],[Subcategory]])&gt;0,"Valid","Invalid")</f>
        <v>Valid</v>
      </c>
    </row>
    <row r="384" spans="1:21">
      <c r="A384" t="s">
        <v>1212</v>
      </c>
      <c r="B384" t="s">
        <v>50</v>
      </c>
      <c r="C384" s="31" t="s">
        <v>1974</v>
      </c>
      <c r="D384" s="32" t="s">
        <v>2361</v>
      </c>
      <c r="E384" t="s">
        <v>84</v>
      </c>
      <c r="F384" t="s">
        <v>116</v>
      </c>
      <c r="G384" t="s">
        <v>54</v>
      </c>
      <c r="H384" t="s">
        <v>86</v>
      </c>
      <c r="I384" t="s">
        <v>87</v>
      </c>
      <c r="J384">
        <v>4.9000000000000004</v>
      </c>
      <c r="K384">
        <v>4</v>
      </c>
      <c r="L384" t="s">
        <v>27</v>
      </c>
      <c r="M384">
        <v>3</v>
      </c>
      <c r="N384" t="s">
        <v>27</v>
      </c>
      <c r="O384" t="s">
        <v>28</v>
      </c>
      <c r="P384" t="s">
        <v>1670</v>
      </c>
      <c r="Q384" t="s">
        <v>39</v>
      </c>
      <c r="R384" t="str">
        <f>IF(Table14[[#This Row],[Resolution_Time]]&gt;Table14[[#This Row],[SLA_Target]],"No", "Yes")</f>
        <v>No</v>
      </c>
      <c r="S384" t="str">
        <f>IF(Table14[[#This Row],[Calculated_SLA]]=Table14[[#This Row],[SLA_Met]],"Match","Mismatch")</f>
        <v>Match</v>
      </c>
      <c r="T384">
        <f>IF(Table14[[#This Row],[Calculated_SLA]]="Yes",1,0)</f>
        <v>0</v>
      </c>
      <c r="U384" t="str">
        <f>IF(COUNTIFS(Reference_data!A:A,Table14[[#This Row],[Category]],Reference_data!B:B,Table14[[#This Row],[Subcategory]])&gt;0,"Valid","Invalid")</f>
        <v>Valid</v>
      </c>
    </row>
    <row r="385" spans="1:21">
      <c r="A385" t="s">
        <v>1215</v>
      </c>
      <c r="B385" t="s">
        <v>60</v>
      </c>
      <c r="C385" s="31" t="s">
        <v>1975</v>
      </c>
      <c r="D385" s="32" t="s">
        <v>1988</v>
      </c>
      <c r="E385" t="s">
        <v>21</v>
      </c>
      <c r="F385" t="s">
        <v>69</v>
      </c>
      <c r="G385" t="s">
        <v>54</v>
      </c>
      <c r="H385" t="s">
        <v>24</v>
      </c>
      <c r="I385" t="s">
        <v>25</v>
      </c>
      <c r="J385">
        <v>17.399999999999999</v>
      </c>
      <c r="K385">
        <v>4</v>
      </c>
      <c r="L385" t="s">
        <v>27</v>
      </c>
      <c r="M385">
        <v>1</v>
      </c>
      <c r="N385" t="s">
        <v>27</v>
      </c>
      <c r="O385" t="s">
        <v>28</v>
      </c>
      <c r="P385" t="s">
        <v>57</v>
      </c>
      <c r="Q385" t="s">
        <v>58</v>
      </c>
      <c r="R385" t="str">
        <f>IF(Table14[[#This Row],[Resolution_Time]]&gt;Table14[[#This Row],[SLA_Target]],"No", "Yes")</f>
        <v>No</v>
      </c>
      <c r="S385" t="str">
        <f>IF(Table14[[#This Row],[Calculated_SLA]]=Table14[[#This Row],[SLA_Met]],"Match","Mismatch")</f>
        <v>Match</v>
      </c>
      <c r="T385">
        <f>IF(Table14[[#This Row],[Calculated_SLA]]="Yes",1,0)</f>
        <v>0</v>
      </c>
      <c r="U385" t="str">
        <f>IF(COUNTIFS(Reference_data!A:A,Table14[[#This Row],[Category]],Reference_data!B:B,Table14[[#This Row],[Subcategory]])&gt;0,"Valid","Invalid")</f>
        <v>Valid</v>
      </c>
    </row>
    <row r="386" spans="1:21">
      <c r="A386" t="s">
        <v>1218</v>
      </c>
      <c r="B386" t="s">
        <v>75</v>
      </c>
      <c r="C386" s="31" t="s">
        <v>1976</v>
      </c>
      <c r="D386" s="32" t="s">
        <v>2355</v>
      </c>
      <c r="E386" t="s">
        <v>21</v>
      </c>
      <c r="F386" t="s">
        <v>63</v>
      </c>
      <c r="G386" t="s">
        <v>54</v>
      </c>
      <c r="H386" t="s">
        <v>70</v>
      </c>
      <c r="I386" t="s">
        <v>25</v>
      </c>
      <c r="J386">
        <v>14.3</v>
      </c>
      <c r="K386">
        <v>4</v>
      </c>
      <c r="L386" t="s">
        <v>27</v>
      </c>
      <c r="M386">
        <v>3</v>
      </c>
      <c r="N386" t="s">
        <v>26</v>
      </c>
      <c r="O386" t="s">
        <v>28</v>
      </c>
      <c r="P386" t="s">
        <v>1670</v>
      </c>
      <c r="Q386" t="s">
        <v>39</v>
      </c>
      <c r="R386" t="str">
        <f>IF(Table14[[#This Row],[Resolution_Time]]&gt;Table14[[#This Row],[SLA_Target]],"No", "Yes")</f>
        <v>No</v>
      </c>
      <c r="S386" t="str">
        <f>IF(Table14[[#This Row],[Calculated_SLA]]=Table14[[#This Row],[SLA_Met]],"Match","Mismatch")</f>
        <v>Match</v>
      </c>
      <c r="T386">
        <f>IF(Table14[[#This Row],[Calculated_SLA]]="Yes",1,0)</f>
        <v>0</v>
      </c>
      <c r="U386" t="str">
        <f>IF(COUNTIFS(Reference_data!A:A,Table14[[#This Row],[Category]],Reference_data!B:B,Table14[[#This Row],[Subcategory]])&gt;0,"Valid","Invalid")</f>
        <v>Valid</v>
      </c>
    </row>
    <row r="387" spans="1:21">
      <c r="A387" t="s">
        <v>1221</v>
      </c>
      <c r="B387" t="s">
        <v>135</v>
      </c>
      <c r="C387" s="31" t="s">
        <v>1977</v>
      </c>
      <c r="D387" s="32" t="s">
        <v>2362</v>
      </c>
      <c r="E387" t="s">
        <v>84</v>
      </c>
      <c r="F387" t="s">
        <v>116</v>
      </c>
      <c r="G387" t="s">
        <v>46</v>
      </c>
      <c r="H387" t="s">
        <v>138</v>
      </c>
      <c r="I387" t="s">
        <v>87</v>
      </c>
      <c r="J387">
        <v>6.4</v>
      </c>
      <c r="K387">
        <v>8</v>
      </c>
      <c r="L387" t="s">
        <v>26</v>
      </c>
      <c r="M387">
        <v>4</v>
      </c>
      <c r="N387" t="s">
        <v>27</v>
      </c>
      <c r="O387" t="s">
        <v>28</v>
      </c>
      <c r="P387" t="s">
        <v>29</v>
      </c>
      <c r="Q387" t="s">
        <v>101</v>
      </c>
      <c r="R387" t="str">
        <f>IF(Table14[[#This Row],[Resolution_Time]]&gt;Table14[[#This Row],[SLA_Target]],"No", "Yes")</f>
        <v>Yes</v>
      </c>
      <c r="S387" t="str">
        <f>IF(Table14[[#This Row],[Calculated_SLA]]=Table14[[#This Row],[SLA_Met]],"Match","Mismatch")</f>
        <v>Match</v>
      </c>
      <c r="T387">
        <f>IF(Table14[[#This Row],[Calculated_SLA]]="Yes",1,0)</f>
        <v>1</v>
      </c>
      <c r="U387" t="str">
        <f>IF(COUNTIFS(Reference_data!A:A,Table14[[#This Row],[Category]],Reference_data!B:B,Table14[[#This Row],[Subcategory]])&gt;0,"Valid","Invalid")</f>
        <v>Valid</v>
      </c>
    </row>
    <row r="388" spans="1:21">
      <c r="A388" t="s">
        <v>1224</v>
      </c>
      <c r="B388" t="s">
        <v>50</v>
      </c>
      <c r="C388" s="31" t="s">
        <v>1978</v>
      </c>
      <c r="D388" s="32" t="s">
        <v>2363</v>
      </c>
      <c r="E388" t="s">
        <v>35</v>
      </c>
      <c r="F388" t="s">
        <v>53</v>
      </c>
      <c r="G388" t="s">
        <v>46</v>
      </c>
      <c r="H388" t="s">
        <v>86</v>
      </c>
      <c r="I388" t="s">
        <v>56</v>
      </c>
      <c r="J388">
        <v>8.1</v>
      </c>
      <c r="K388">
        <v>8</v>
      </c>
      <c r="L388" t="s">
        <v>27</v>
      </c>
      <c r="M388">
        <v>3</v>
      </c>
      <c r="N388" t="s">
        <v>26</v>
      </c>
      <c r="O388" t="s">
        <v>28</v>
      </c>
      <c r="P388" t="s">
        <v>1670</v>
      </c>
      <c r="Q388" t="s">
        <v>30</v>
      </c>
      <c r="R388" t="str">
        <f>IF(Table14[[#This Row],[Resolution_Time]]&gt;Table14[[#This Row],[SLA_Target]],"No", "Yes")</f>
        <v>No</v>
      </c>
      <c r="S388" t="str">
        <f>IF(Table14[[#This Row],[Calculated_SLA]]=Table14[[#This Row],[SLA_Met]],"Match","Mismatch")</f>
        <v>Match</v>
      </c>
      <c r="T388">
        <f>IF(Table14[[#This Row],[Calculated_SLA]]="Yes",1,0)</f>
        <v>0</v>
      </c>
      <c r="U388" t="str">
        <f>IF(COUNTIFS(Reference_data!A:A,Table14[[#This Row],[Category]],Reference_data!B:B,Table14[[#This Row],[Subcategory]])&gt;0,"Valid","Invalid")</f>
        <v>Valid</v>
      </c>
    </row>
    <row r="389" spans="1:21">
      <c r="A389" t="s">
        <v>1227</v>
      </c>
      <c r="B389" t="s">
        <v>50</v>
      </c>
      <c r="C389" s="31" t="s">
        <v>1979</v>
      </c>
      <c r="D389" s="32" t="s">
        <v>2060</v>
      </c>
      <c r="E389" t="s">
        <v>35</v>
      </c>
      <c r="F389" t="s">
        <v>127</v>
      </c>
      <c r="G389" t="s">
        <v>23</v>
      </c>
      <c r="H389" t="s">
        <v>37</v>
      </c>
      <c r="I389" t="s">
        <v>56</v>
      </c>
      <c r="J389">
        <v>9.1</v>
      </c>
      <c r="K389">
        <v>24</v>
      </c>
      <c r="L389" t="s">
        <v>26</v>
      </c>
      <c r="M389">
        <v>4</v>
      </c>
      <c r="N389" t="s">
        <v>27</v>
      </c>
      <c r="O389" t="s">
        <v>28</v>
      </c>
      <c r="P389" t="s">
        <v>29</v>
      </c>
      <c r="Q389" t="s">
        <v>58</v>
      </c>
      <c r="R389" t="str">
        <f>IF(Table14[[#This Row],[Resolution_Time]]&gt;Table14[[#This Row],[SLA_Target]],"No", "Yes")</f>
        <v>Yes</v>
      </c>
      <c r="S389" t="str">
        <f>IF(Table14[[#This Row],[Calculated_SLA]]=Table14[[#This Row],[SLA_Met]],"Match","Mismatch")</f>
        <v>Match</v>
      </c>
      <c r="T389">
        <f>IF(Table14[[#This Row],[Calculated_SLA]]="Yes",1,0)</f>
        <v>1</v>
      </c>
      <c r="U389" t="str">
        <f>IF(COUNTIFS(Reference_data!A:A,Table14[[#This Row],[Category]],Reference_data!B:B,Table14[[#This Row],[Subcategory]])&gt;0,"Valid","Invalid")</f>
        <v>Valid</v>
      </c>
    </row>
    <row r="390" spans="1:21">
      <c r="A390" t="s">
        <v>1230</v>
      </c>
      <c r="B390" t="s">
        <v>41</v>
      </c>
      <c r="C390" s="31" t="s">
        <v>1980</v>
      </c>
      <c r="D390" s="32" t="s">
        <v>2364</v>
      </c>
      <c r="E390" t="s">
        <v>35</v>
      </c>
      <c r="F390" t="s">
        <v>36</v>
      </c>
      <c r="G390" t="s">
        <v>54</v>
      </c>
      <c r="H390" t="s">
        <v>47</v>
      </c>
      <c r="I390" t="s">
        <v>38</v>
      </c>
      <c r="J390">
        <v>4.2</v>
      </c>
      <c r="K390">
        <v>4</v>
      </c>
      <c r="L390" t="s">
        <v>27</v>
      </c>
      <c r="M390">
        <v>2</v>
      </c>
      <c r="N390" t="s">
        <v>26</v>
      </c>
      <c r="O390" t="s">
        <v>28</v>
      </c>
      <c r="P390" t="s">
        <v>1670</v>
      </c>
      <c r="Q390" t="s">
        <v>39</v>
      </c>
      <c r="R390" t="str">
        <f>IF(Table14[[#This Row],[Resolution_Time]]&gt;Table14[[#This Row],[SLA_Target]],"No", "Yes")</f>
        <v>No</v>
      </c>
      <c r="S390" t="str">
        <f>IF(Table14[[#This Row],[Calculated_SLA]]=Table14[[#This Row],[SLA_Met]],"Match","Mismatch")</f>
        <v>Match</v>
      </c>
      <c r="T390">
        <f>IF(Table14[[#This Row],[Calculated_SLA]]="Yes",1,0)</f>
        <v>0</v>
      </c>
      <c r="U390" t="str">
        <f>IF(COUNTIFS(Reference_data!A:A,Table14[[#This Row],[Category]],Reference_data!B:B,Table14[[#This Row],[Subcategory]])&gt;0,"Valid","Invalid")</f>
        <v>Valid</v>
      </c>
    </row>
    <row r="391" spans="1:21">
      <c r="A391" t="s">
        <v>1233</v>
      </c>
      <c r="B391" t="s">
        <v>50</v>
      </c>
      <c r="C391" s="31" t="s">
        <v>1981</v>
      </c>
      <c r="D391" s="32" t="s">
        <v>2365</v>
      </c>
      <c r="E391" t="s">
        <v>78</v>
      </c>
      <c r="F391" t="s">
        <v>166</v>
      </c>
      <c r="G391" t="s">
        <v>23</v>
      </c>
      <c r="H391" t="s">
        <v>138</v>
      </c>
      <c r="I391" t="s">
        <v>80</v>
      </c>
      <c r="J391">
        <v>13.5</v>
      </c>
      <c r="K391">
        <v>24</v>
      </c>
      <c r="L391" t="s">
        <v>26</v>
      </c>
      <c r="M391">
        <v>4</v>
      </c>
      <c r="N391" t="s">
        <v>27</v>
      </c>
      <c r="O391" t="s">
        <v>28</v>
      </c>
      <c r="P391" t="s">
        <v>29</v>
      </c>
      <c r="Q391" t="s">
        <v>39</v>
      </c>
      <c r="R391" t="str">
        <f>IF(Table14[[#This Row],[Resolution_Time]]&gt;Table14[[#This Row],[SLA_Target]],"No", "Yes")</f>
        <v>Yes</v>
      </c>
      <c r="S391" t="str">
        <f>IF(Table14[[#This Row],[Calculated_SLA]]=Table14[[#This Row],[SLA_Met]],"Match","Mismatch")</f>
        <v>Match</v>
      </c>
      <c r="T391">
        <f>IF(Table14[[#This Row],[Calculated_SLA]]="Yes",1,0)</f>
        <v>1</v>
      </c>
      <c r="U391" t="str">
        <f>IF(COUNTIFS(Reference_data!A:A,Table14[[#This Row],[Category]],Reference_data!B:B,Table14[[#This Row],[Subcategory]])&gt;0,"Valid","Invalid")</f>
        <v>Valid</v>
      </c>
    </row>
    <row r="392" spans="1:21">
      <c r="A392" t="s">
        <v>1236</v>
      </c>
      <c r="B392" t="s">
        <v>60</v>
      </c>
      <c r="C392" s="31" t="s">
        <v>1779</v>
      </c>
      <c r="D392" s="32" t="s">
        <v>2366</v>
      </c>
      <c r="E392" t="s">
        <v>21</v>
      </c>
      <c r="F392" t="s">
        <v>63</v>
      </c>
      <c r="G392" t="s">
        <v>46</v>
      </c>
      <c r="H392" t="s">
        <v>55</v>
      </c>
      <c r="I392" t="s">
        <v>25</v>
      </c>
      <c r="J392">
        <v>14.9</v>
      </c>
      <c r="K392">
        <v>8</v>
      </c>
      <c r="L392" t="s">
        <v>27</v>
      </c>
      <c r="M392">
        <v>2</v>
      </c>
      <c r="N392" t="s">
        <v>26</v>
      </c>
      <c r="O392" t="s">
        <v>28</v>
      </c>
      <c r="P392" t="s">
        <v>1670</v>
      </c>
      <c r="Q392" t="s">
        <v>30</v>
      </c>
      <c r="R392" t="str">
        <f>IF(Table14[[#This Row],[Resolution_Time]]&gt;Table14[[#This Row],[SLA_Target]],"No", "Yes")</f>
        <v>No</v>
      </c>
      <c r="S392" t="str">
        <f>IF(Table14[[#This Row],[Calculated_SLA]]=Table14[[#This Row],[SLA_Met]],"Match","Mismatch")</f>
        <v>Match</v>
      </c>
      <c r="T392">
        <f>IF(Table14[[#This Row],[Calculated_SLA]]="Yes",1,0)</f>
        <v>0</v>
      </c>
      <c r="U392" t="str">
        <f>IF(COUNTIFS(Reference_data!A:A,Table14[[#This Row],[Category]],Reference_data!B:B,Table14[[#This Row],[Subcategory]])&gt;0,"Valid","Invalid")</f>
        <v>Valid</v>
      </c>
    </row>
    <row r="393" spans="1:21">
      <c r="A393" t="s">
        <v>1239</v>
      </c>
      <c r="B393" t="s">
        <v>60</v>
      </c>
      <c r="C393" s="31" t="s">
        <v>1982</v>
      </c>
      <c r="D393" s="32" t="s">
        <v>2367</v>
      </c>
      <c r="E393" t="s">
        <v>35</v>
      </c>
      <c r="F393" t="s">
        <v>53</v>
      </c>
      <c r="G393" t="s">
        <v>46</v>
      </c>
      <c r="H393" t="s">
        <v>64</v>
      </c>
      <c r="I393" t="s">
        <v>56</v>
      </c>
      <c r="J393">
        <v>6.6</v>
      </c>
      <c r="K393">
        <v>8</v>
      </c>
      <c r="L393" t="s">
        <v>26</v>
      </c>
      <c r="M393">
        <v>5</v>
      </c>
      <c r="N393" t="s">
        <v>27</v>
      </c>
      <c r="O393" t="s">
        <v>28</v>
      </c>
      <c r="P393" t="s">
        <v>29</v>
      </c>
      <c r="Q393" t="s">
        <v>58</v>
      </c>
      <c r="R393" t="str">
        <f>IF(Table14[[#This Row],[Resolution_Time]]&gt;Table14[[#This Row],[SLA_Target]],"No", "Yes")</f>
        <v>Yes</v>
      </c>
      <c r="S393" t="str">
        <f>IF(Table14[[#This Row],[Calculated_SLA]]=Table14[[#This Row],[SLA_Met]],"Match","Mismatch")</f>
        <v>Match</v>
      </c>
      <c r="T393">
        <f>IF(Table14[[#This Row],[Calculated_SLA]]="Yes",1,0)</f>
        <v>1</v>
      </c>
      <c r="U393" t="str">
        <f>IF(COUNTIFS(Reference_data!A:A,Table14[[#This Row],[Category]],Reference_data!B:B,Table14[[#This Row],[Subcategory]])&gt;0,"Valid","Invalid")</f>
        <v>Valid</v>
      </c>
    </row>
    <row r="394" spans="1:21">
      <c r="A394" t="s">
        <v>1242</v>
      </c>
      <c r="B394" t="s">
        <v>50</v>
      </c>
      <c r="C394" s="31" t="s">
        <v>1983</v>
      </c>
      <c r="D394" s="32" t="s">
        <v>1713</v>
      </c>
      <c r="E394" t="s">
        <v>35</v>
      </c>
      <c r="F394" t="s">
        <v>53</v>
      </c>
      <c r="G394" t="s">
        <v>46</v>
      </c>
      <c r="H394" t="s">
        <v>64</v>
      </c>
      <c r="I394" t="s">
        <v>56</v>
      </c>
      <c r="J394">
        <v>6.4</v>
      </c>
      <c r="K394">
        <v>8</v>
      </c>
      <c r="L394" t="s">
        <v>26</v>
      </c>
      <c r="M394">
        <v>4</v>
      </c>
      <c r="N394" t="s">
        <v>27</v>
      </c>
      <c r="O394" t="s">
        <v>28</v>
      </c>
      <c r="P394" t="s">
        <v>29</v>
      </c>
      <c r="Q394" t="s">
        <v>39</v>
      </c>
      <c r="R394" t="str">
        <f>IF(Table14[[#This Row],[Resolution_Time]]&gt;Table14[[#This Row],[SLA_Target]],"No", "Yes")</f>
        <v>Yes</v>
      </c>
      <c r="S394" t="str">
        <f>IF(Table14[[#This Row],[Calculated_SLA]]=Table14[[#This Row],[SLA_Met]],"Match","Mismatch")</f>
        <v>Match</v>
      </c>
      <c r="T394">
        <f>IF(Table14[[#This Row],[Calculated_SLA]]="Yes",1,0)</f>
        <v>1</v>
      </c>
      <c r="U394" t="str">
        <f>IF(COUNTIFS(Reference_data!A:A,Table14[[#This Row],[Category]],Reference_data!B:B,Table14[[#This Row],[Subcategory]])&gt;0,"Valid","Invalid")</f>
        <v>Valid</v>
      </c>
    </row>
    <row r="395" spans="1:21">
      <c r="A395" t="s">
        <v>1245</v>
      </c>
      <c r="B395" t="s">
        <v>50</v>
      </c>
      <c r="C395" s="31" t="s">
        <v>1984</v>
      </c>
      <c r="D395" s="32" t="s">
        <v>2368</v>
      </c>
      <c r="E395" t="s">
        <v>21</v>
      </c>
      <c r="F395" t="s">
        <v>22</v>
      </c>
      <c r="G395" t="s">
        <v>46</v>
      </c>
      <c r="H395" t="s">
        <v>86</v>
      </c>
      <c r="I395" t="s">
        <v>25</v>
      </c>
      <c r="J395">
        <v>13.3</v>
      </c>
      <c r="K395">
        <v>8</v>
      </c>
      <c r="L395" t="s">
        <v>27</v>
      </c>
      <c r="M395">
        <v>1</v>
      </c>
      <c r="N395" t="s">
        <v>27</v>
      </c>
      <c r="O395" t="s">
        <v>28</v>
      </c>
      <c r="P395" t="s">
        <v>1670</v>
      </c>
      <c r="Q395" t="s">
        <v>30</v>
      </c>
      <c r="R395" t="str">
        <f>IF(Table14[[#This Row],[Resolution_Time]]&gt;Table14[[#This Row],[SLA_Target]],"No", "Yes")</f>
        <v>No</v>
      </c>
      <c r="S395" t="str">
        <f>IF(Table14[[#This Row],[Calculated_SLA]]=Table14[[#This Row],[SLA_Met]],"Match","Mismatch")</f>
        <v>Match</v>
      </c>
      <c r="T395">
        <f>IF(Table14[[#This Row],[Calculated_SLA]]="Yes",1,0)</f>
        <v>0</v>
      </c>
      <c r="U395" t="str">
        <f>IF(COUNTIFS(Reference_data!A:A,Table14[[#This Row],[Category]],Reference_data!B:B,Table14[[#This Row],[Subcategory]])&gt;0,"Valid","Invalid")</f>
        <v>Valid</v>
      </c>
    </row>
    <row r="396" spans="1:21">
      <c r="A396" t="s">
        <v>1248</v>
      </c>
      <c r="B396" t="s">
        <v>32</v>
      </c>
      <c r="C396" s="31" t="s">
        <v>1985</v>
      </c>
      <c r="D396" s="32" t="s">
        <v>2369</v>
      </c>
      <c r="E396" t="s">
        <v>35</v>
      </c>
      <c r="F396" t="s">
        <v>36</v>
      </c>
      <c r="G396" t="s">
        <v>46</v>
      </c>
      <c r="H396" t="s">
        <v>55</v>
      </c>
      <c r="I396" t="s">
        <v>38</v>
      </c>
      <c r="J396">
        <v>11.9</v>
      </c>
      <c r="K396">
        <v>8</v>
      </c>
      <c r="L396" t="s">
        <v>27</v>
      </c>
      <c r="M396">
        <v>2</v>
      </c>
      <c r="N396" t="s">
        <v>27</v>
      </c>
      <c r="O396" t="s">
        <v>28</v>
      </c>
      <c r="P396" t="s">
        <v>57</v>
      </c>
      <c r="Q396" t="s">
        <v>101</v>
      </c>
      <c r="R396" t="str">
        <f>IF(Table14[[#This Row],[Resolution_Time]]&gt;Table14[[#This Row],[SLA_Target]],"No", "Yes")</f>
        <v>No</v>
      </c>
      <c r="S396" t="str">
        <f>IF(Table14[[#This Row],[Calculated_SLA]]=Table14[[#This Row],[SLA_Met]],"Match","Mismatch")</f>
        <v>Match</v>
      </c>
      <c r="T396">
        <f>IF(Table14[[#This Row],[Calculated_SLA]]="Yes",1,0)</f>
        <v>0</v>
      </c>
      <c r="U396" t="str">
        <f>IF(COUNTIFS(Reference_data!A:A,Table14[[#This Row],[Category]],Reference_data!B:B,Table14[[#This Row],[Subcategory]])&gt;0,"Valid","Invalid")</f>
        <v>Valid</v>
      </c>
    </row>
    <row r="397" spans="1:21">
      <c r="A397" t="s">
        <v>1251</v>
      </c>
      <c r="B397" t="s">
        <v>75</v>
      </c>
      <c r="C397" s="31" t="s">
        <v>1757</v>
      </c>
      <c r="D397" s="32" t="s">
        <v>2370</v>
      </c>
      <c r="E397" t="s">
        <v>84</v>
      </c>
      <c r="F397" t="s">
        <v>116</v>
      </c>
      <c r="G397" t="s">
        <v>54</v>
      </c>
      <c r="H397" t="s">
        <v>138</v>
      </c>
      <c r="I397" t="s">
        <v>87</v>
      </c>
      <c r="J397">
        <v>7.3</v>
      </c>
      <c r="K397">
        <v>4</v>
      </c>
      <c r="L397" t="s">
        <v>27</v>
      </c>
      <c r="M397">
        <v>1</v>
      </c>
      <c r="N397" t="s">
        <v>27</v>
      </c>
      <c r="O397" t="s">
        <v>28</v>
      </c>
      <c r="P397" t="s">
        <v>1670</v>
      </c>
      <c r="Q397" t="s">
        <v>58</v>
      </c>
      <c r="R397" t="str">
        <f>IF(Table14[[#This Row],[Resolution_Time]]&gt;Table14[[#This Row],[SLA_Target]],"No", "Yes")</f>
        <v>No</v>
      </c>
      <c r="S397" t="str">
        <f>IF(Table14[[#This Row],[Calculated_SLA]]=Table14[[#This Row],[SLA_Met]],"Match","Mismatch")</f>
        <v>Match</v>
      </c>
      <c r="T397">
        <f>IF(Table14[[#This Row],[Calculated_SLA]]="Yes",1,0)</f>
        <v>0</v>
      </c>
      <c r="U397" t="str">
        <f>IF(COUNTIFS(Reference_data!A:A,Table14[[#This Row],[Category]],Reference_data!B:B,Table14[[#This Row],[Subcategory]])&gt;0,"Valid","Invalid")</f>
        <v>Valid</v>
      </c>
    </row>
    <row r="398" spans="1:21">
      <c r="A398" t="s">
        <v>1254</v>
      </c>
      <c r="B398" t="s">
        <v>75</v>
      </c>
      <c r="C398" s="31" t="s">
        <v>1986</v>
      </c>
      <c r="D398" s="32" t="s">
        <v>2082</v>
      </c>
      <c r="E398" t="s">
        <v>44</v>
      </c>
      <c r="F398" t="s">
        <v>45</v>
      </c>
      <c r="G398" t="s">
        <v>46</v>
      </c>
      <c r="H398" t="s">
        <v>138</v>
      </c>
      <c r="I398" t="s">
        <v>48</v>
      </c>
      <c r="J398">
        <v>3.5</v>
      </c>
      <c r="K398">
        <v>8</v>
      </c>
      <c r="L398" t="s">
        <v>26</v>
      </c>
      <c r="M398">
        <v>4</v>
      </c>
      <c r="N398" t="s">
        <v>27</v>
      </c>
      <c r="O398" t="s">
        <v>28</v>
      </c>
      <c r="P398" t="s">
        <v>29</v>
      </c>
      <c r="Q398" t="s">
        <v>101</v>
      </c>
      <c r="R398" t="str">
        <f>IF(Table14[[#This Row],[Resolution_Time]]&gt;Table14[[#This Row],[SLA_Target]],"No", "Yes")</f>
        <v>Yes</v>
      </c>
      <c r="S398" t="str">
        <f>IF(Table14[[#This Row],[Calculated_SLA]]=Table14[[#This Row],[SLA_Met]],"Match","Mismatch")</f>
        <v>Match</v>
      </c>
      <c r="T398">
        <f>IF(Table14[[#This Row],[Calculated_SLA]]="Yes",1,0)</f>
        <v>1</v>
      </c>
      <c r="U398" t="str">
        <f>IF(COUNTIFS(Reference_data!A:A,Table14[[#This Row],[Category]],Reference_data!B:B,Table14[[#This Row],[Subcategory]])&gt;0,"Valid","Invalid")</f>
        <v>Valid</v>
      </c>
    </row>
    <row r="399" spans="1:21">
      <c r="A399" t="s">
        <v>1257</v>
      </c>
      <c r="B399" t="s">
        <v>18</v>
      </c>
      <c r="C399" s="31" t="s">
        <v>1825</v>
      </c>
      <c r="D399" s="32" t="s">
        <v>2371</v>
      </c>
      <c r="E399" t="s">
        <v>78</v>
      </c>
      <c r="F399" t="s">
        <v>79</v>
      </c>
      <c r="G399" t="s">
        <v>23</v>
      </c>
      <c r="H399" t="s">
        <v>138</v>
      </c>
      <c r="I399" t="s">
        <v>80</v>
      </c>
      <c r="J399">
        <v>15</v>
      </c>
      <c r="K399">
        <v>24</v>
      </c>
      <c r="L399" t="s">
        <v>26</v>
      </c>
      <c r="M399">
        <v>4</v>
      </c>
      <c r="N399" t="s">
        <v>27</v>
      </c>
      <c r="O399" t="s">
        <v>28</v>
      </c>
      <c r="P399" t="s">
        <v>29</v>
      </c>
      <c r="Q399" t="s">
        <v>30</v>
      </c>
      <c r="R399" t="str">
        <f>IF(Table14[[#This Row],[Resolution_Time]]&gt;Table14[[#This Row],[SLA_Target]],"No", "Yes")</f>
        <v>Yes</v>
      </c>
      <c r="S399" t="str">
        <f>IF(Table14[[#This Row],[Calculated_SLA]]=Table14[[#This Row],[SLA_Met]],"Match","Mismatch")</f>
        <v>Match</v>
      </c>
      <c r="T399">
        <f>IF(Table14[[#This Row],[Calculated_SLA]]="Yes",1,0)</f>
        <v>1</v>
      </c>
      <c r="U399" t="str">
        <f>IF(COUNTIFS(Reference_data!A:A,Table14[[#This Row],[Category]],Reference_data!B:B,Table14[[#This Row],[Subcategory]])&gt;0,"Valid","Invalid")</f>
        <v>Valid</v>
      </c>
    </row>
    <row r="400" spans="1:21">
      <c r="A400" t="s">
        <v>1260</v>
      </c>
      <c r="B400" t="s">
        <v>32</v>
      </c>
      <c r="C400" s="31" t="s">
        <v>1987</v>
      </c>
      <c r="D400" s="32" t="s">
        <v>2372</v>
      </c>
      <c r="E400" t="s">
        <v>21</v>
      </c>
      <c r="F400" t="s">
        <v>69</v>
      </c>
      <c r="G400" t="s">
        <v>46</v>
      </c>
      <c r="H400" t="s">
        <v>64</v>
      </c>
      <c r="I400" t="s">
        <v>25</v>
      </c>
      <c r="J400">
        <v>6.9</v>
      </c>
      <c r="K400">
        <v>8</v>
      </c>
      <c r="L400" t="s">
        <v>26</v>
      </c>
      <c r="M400">
        <v>5</v>
      </c>
      <c r="N400" t="s">
        <v>27</v>
      </c>
      <c r="O400" t="s">
        <v>28</v>
      </c>
      <c r="P400" t="s">
        <v>29</v>
      </c>
      <c r="Q400" t="s">
        <v>101</v>
      </c>
      <c r="R400" t="str">
        <f>IF(Table14[[#This Row],[Resolution_Time]]&gt;Table14[[#This Row],[SLA_Target]],"No", "Yes")</f>
        <v>Yes</v>
      </c>
      <c r="S400" t="str">
        <f>IF(Table14[[#This Row],[Calculated_SLA]]=Table14[[#This Row],[SLA_Met]],"Match","Mismatch")</f>
        <v>Match</v>
      </c>
      <c r="T400">
        <f>IF(Table14[[#This Row],[Calculated_SLA]]="Yes",1,0)</f>
        <v>1</v>
      </c>
      <c r="U400" t="str">
        <f>IF(COUNTIFS(Reference_data!A:A,Table14[[#This Row],[Category]],Reference_data!B:B,Table14[[#This Row],[Subcategory]])&gt;0,"Valid","Invalid")</f>
        <v>Valid</v>
      </c>
    </row>
    <row r="401" spans="1:21">
      <c r="A401" t="s">
        <v>1263</v>
      </c>
      <c r="B401" t="s">
        <v>75</v>
      </c>
      <c r="C401" s="31" t="s">
        <v>1988</v>
      </c>
      <c r="D401" s="32" t="s">
        <v>2262</v>
      </c>
      <c r="E401" t="s">
        <v>35</v>
      </c>
      <c r="F401" t="s">
        <v>127</v>
      </c>
      <c r="G401" t="s">
        <v>46</v>
      </c>
      <c r="H401" t="s">
        <v>37</v>
      </c>
      <c r="I401" t="s">
        <v>56</v>
      </c>
      <c r="J401">
        <v>10.3</v>
      </c>
      <c r="K401">
        <v>8</v>
      </c>
      <c r="L401" t="s">
        <v>27</v>
      </c>
      <c r="M401">
        <v>1</v>
      </c>
      <c r="N401" t="s">
        <v>27</v>
      </c>
      <c r="O401" t="s">
        <v>28</v>
      </c>
      <c r="P401" t="s">
        <v>1670</v>
      </c>
      <c r="Q401" t="s">
        <v>39</v>
      </c>
      <c r="R401" t="str">
        <f>IF(Table14[[#This Row],[Resolution_Time]]&gt;Table14[[#This Row],[SLA_Target]],"No", "Yes")</f>
        <v>No</v>
      </c>
      <c r="S401" t="str">
        <f>IF(Table14[[#This Row],[Calculated_SLA]]=Table14[[#This Row],[SLA_Met]],"Match","Mismatch")</f>
        <v>Match</v>
      </c>
      <c r="T401">
        <f>IF(Table14[[#This Row],[Calculated_SLA]]="Yes",1,0)</f>
        <v>0</v>
      </c>
      <c r="U401" t="str">
        <f>IF(COUNTIFS(Reference_data!A:A,Table14[[#This Row],[Category]],Reference_data!B:B,Table14[[#This Row],[Subcategory]])&gt;0,"Valid","Invalid")</f>
        <v>Valid</v>
      </c>
    </row>
    <row r="402" spans="1:21">
      <c r="A402" t="s">
        <v>1266</v>
      </c>
      <c r="B402" t="s">
        <v>32</v>
      </c>
      <c r="C402" s="31" t="s">
        <v>1989</v>
      </c>
      <c r="D402" s="32" t="s">
        <v>2373</v>
      </c>
      <c r="E402" t="s">
        <v>21</v>
      </c>
      <c r="F402" t="s">
        <v>22</v>
      </c>
      <c r="G402" t="s">
        <v>23</v>
      </c>
      <c r="H402" t="s">
        <v>64</v>
      </c>
      <c r="I402" t="s">
        <v>25</v>
      </c>
      <c r="J402">
        <v>10.4</v>
      </c>
      <c r="K402">
        <v>24</v>
      </c>
      <c r="L402" t="s">
        <v>26</v>
      </c>
      <c r="M402">
        <v>4</v>
      </c>
      <c r="N402" t="s">
        <v>27</v>
      </c>
      <c r="O402" t="s">
        <v>28</v>
      </c>
      <c r="P402" t="s">
        <v>29</v>
      </c>
      <c r="Q402" t="s">
        <v>58</v>
      </c>
      <c r="R402" t="str">
        <f>IF(Table14[[#This Row],[Resolution_Time]]&gt;Table14[[#This Row],[SLA_Target]],"No", "Yes")</f>
        <v>Yes</v>
      </c>
      <c r="S402" t="str">
        <f>IF(Table14[[#This Row],[Calculated_SLA]]=Table14[[#This Row],[SLA_Met]],"Match","Mismatch")</f>
        <v>Match</v>
      </c>
      <c r="T402">
        <f>IF(Table14[[#This Row],[Calculated_SLA]]="Yes",1,0)</f>
        <v>1</v>
      </c>
      <c r="U402" t="str">
        <f>IF(COUNTIFS(Reference_data!A:A,Table14[[#This Row],[Category]],Reference_data!B:B,Table14[[#This Row],[Subcategory]])&gt;0,"Valid","Invalid")</f>
        <v>Valid</v>
      </c>
    </row>
    <row r="403" spans="1:21">
      <c r="A403" t="s">
        <v>1269</v>
      </c>
      <c r="B403" t="s">
        <v>50</v>
      </c>
      <c r="C403" s="31" t="s">
        <v>1891</v>
      </c>
      <c r="D403" s="32" t="s">
        <v>2374</v>
      </c>
      <c r="E403" t="s">
        <v>35</v>
      </c>
      <c r="F403" t="s">
        <v>36</v>
      </c>
      <c r="G403" t="s">
        <v>23</v>
      </c>
      <c r="H403" t="s">
        <v>70</v>
      </c>
      <c r="I403" t="s">
        <v>38</v>
      </c>
      <c r="J403">
        <v>8</v>
      </c>
      <c r="K403">
        <v>24</v>
      </c>
      <c r="L403" t="s">
        <v>26</v>
      </c>
      <c r="M403">
        <v>4</v>
      </c>
      <c r="N403" t="s">
        <v>27</v>
      </c>
      <c r="O403" t="s">
        <v>28</v>
      </c>
      <c r="P403" t="s">
        <v>29</v>
      </c>
      <c r="Q403" t="s">
        <v>30</v>
      </c>
      <c r="R403" t="str">
        <f>IF(Table14[[#This Row],[Resolution_Time]]&gt;Table14[[#This Row],[SLA_Target]],"No", "Yes")</f>
        <v>Yes</v>
      </c>
      <c r="S403" t="str">
        <f>IF(Table14[[#This Row],[Calculated_SLA]]=Table14[[#This Row],[SLA_Met]],"Match","Mismatch")</f>
        <v>Match</v>
      </c>
      <c r="T403">
        <f>IF(Table14[[#This Row],[Calculated_SLA]]="Yes",1,0)</f>
        <v>1</v>
      </c>
      <c r="U403" t="str">
        <f>IF(COUNTIFS(Reference_data!A:A,Table14[[#This Row],[Category]],Reference_data!B:B,Table14[[#This Row],[Subcategory]])&gt;0,"Valid","Invalid")</f>
        <v>Valid</v>
      </c>
    </row>
    <row r="404" spans="1:21">
      <c r="A404" t="s">
        <v>1272</v>
      </c>
      <c r="B404" t="s">
        <v>32</v>
      </c>
      <c r="C404" s="31" t="s">
        <v>1934</v>
      </c>
      <c r="D404" s="32" t="s">
        <v>2375</v>
      </c>
      <c r="E404" t="s">
        <v>21</v>
      </c>
      <c r="F404" t="s">
        <v>22</v>
      </c>
      <c r="G404" t="s">
        <v>46</v>
      </c>
      <c r="H404" t="s">
        <v>70</v>
      </c>
      <c r="I404" t="s">
        <v>25</v>
      </c>
      <c r="J404">
        <v>10.1</v>
      </c>
      <c r="K404">
        <v>8</v>
      </c>
      <c r="L404" t="s">
        <v>27</v>
      </c>
      <c r="M404">
        <v>2</v>
      </c>
      <c r="N404" t="s">
        <v>27</v>
      </c>
      <c r="O404" t="s">
        <v>28</v>
      </c>
      <c r="P404" t="s">
        <v>1670</v>
      </c>
      <c r="Q404" t="s">
        <v>58</v>
      </c>
      <c r="R404" t="str">
        <f>IF(Table14[[#This Row],[Resolution_Time]]&gt;Table14[[#This Row],[SLA_Target]],"No", "Yes")</f>
        <v>No</v>
      </c>
      <c r="S404" t="str">
        <f>IF(Table14[[#This Row],[Calculated_SLA]]=Table14[[#This Row],[SLA_Met]],"Match","Mismatch")</f>
        <v>Match</v>
      </c>
      <c r="T404">
        <f>IF(Table14[[#This Row],[Calculated_SLA]]="Yes",1,0)</f>
        <v>0</v>
      </c>
      <c r="U404" t="str">
        <f>IF(COUNTIFS(Reference_data!A:A,Table14[[#This Row],[Category]],Reference_data!B:B,Table14[[#This Row],[Subcategory]])&gt;0,"Valid","Invalid")</f>
        <v>Valid</v>
      </c>
    </row>
    <row r="405" spans="1:21">
      <c r="A405" t="s">
        <v>1275</v>
      </c>
      <c r="B405" t="s">
        <v>66</v>
      </c>
      <c r="C405" s="31" t="s">
        <v>1990</v>
      </c>
      <c r="D405" s="32" t="s">
        <v>2376</v>
      </c>
      <c r="E405" t="s">
        <v>78</v>
      </c>
      <c r="F405" t="s">
        <v>191</v>
      </c>
      <c r="G405" t="s">
        <v>54</v>
      </c>
      <c r="H405" t="s">
        <v>138</v>
      </c>
      <c r="I405" t="s">
        <v>38</v>
      </c>
      <c r="J405">
        <v>16.600000000000001</v>
      </c>
      <c r="K405">
        <v>4</v>
      </c>
      <c r="L405" t="s">
        <v>27</v>
      </c>
      <c r="M405">
        <v>2</v>
      </c>
      <c r="N405" t="s">
        <v>27</v>
      </c>
      <c r="O405" t="s">
        <v>28</v>
      </c>
      <c r="P405" t="s">
        <v>1670</v>
      </c>
      <c r="Q405" t="s">
        <v>39</v>
      </c>
      <c r="R405" t="str">
        <f>IF(Table14[[#This Row],[Resolution_Time]]&gt;Table14[[#This Row],[SLA_Target]],"No", "Yes")</f>
        <v>No</v>
      </c>
      <c r="S405" t="str">
        <f>IF(Table14[[#This Row],[Calculated_SLA]]=Table14[[#This Row],[SLA_Met]],"Match","Mismatch")</f>
        <v>Match</v>
      </c>
      <c r="T405">
        <f>IF(Table14[[#This Row],[Calculated_SLA]]="Yes",1,0)</f>
        <v>0</v>
      </c>
      <c r="U405" t="str">
        <f>IF(COUNTIFS(Reference_data!A:A,Table14[[#This Row],[Category]],Reference_data!B:B,Table14[[#This Row],[Subcategory]])&gt;0,"Valid","Invalid")</f>
        <v>Valid</v>
      </c>
    </row>
    <row r="406" spans="1:21">
      <c r="A406" t="s">
        <v>1278</v>
      </c>
      <c r="B406" t="s">
        <v>60</v>
      </c>
      <c r="C406" s="31" t="s">
        <v>1991</v>
      </c>
      <c r="D406" s="32" t="s">
        <v>2173</v>
      </c>
      <c r="E406" t="s">
        <v>21</v>
      </c>
      <c r="F406" t="s">
        <v>63</v>
      </c>
      <c r="G406" t="s">
        <v>46</v>
      </c>
      <c r="H406" t="s">
        <v>64</v>
      </c>
      <c r="I406" t="s">
        <v>25</v>
      </c>
      <c r="J406">
        <v>5.6</v>
      </c>
      <c r="K406">
        <v>8</v>
      </c>
      <c r="L406" t="s">
        <v>26</v>
      </c>
      <c r="M406">
        <v>4</v>
      </c>
      <c r="N406" t="s">
        <v>27</v>
      </c>
      <c r="O406" t="s">
        <v>28</v>
      </c>
      <c r="P406" t="s">
        <v>29</v>
      </c>
      <c r="Q406" t="s">
        <v>30</v>
      </c>
      <c r="R406" t="str">
        <f>IF(Table14[[#This Row],[Resolution_Time]]&gt;Table14[[#This Row],[SLA_Target]],"No", "Yes")</f>
        <v>Yes</v>
      </c>
      <c r="S406" t="str">
        <f>IF(Table14[[#This Row],[Calculated_SLA]]=Table14[[#This Row],[SLA_Met]],"Match","Mismatch")</f>
        <v>Match</v>
      </c>
      <c r="T406">
        <f>IF(Table14[[#This Row],[Calculated_SLA]]="Yes",1,0)</f>
        <v>1</v>
      </c>
      <c r="U406" t="str">
        <f>IF(COUNTIFS(Reference_data!A:A,Table14[[#This Row],[Category]],Reference_data!B:B,Table14[[#This Row],[Subcategory]])&gt;0,"Valid","Invalid")</f>
        <v>Valid</v>
      </c>
    </row>
    <row r="407" spans="1:21">
      <c r="A407" t="s">
        <v>1281</v>
      </c>
      <c r="B407" t="s">
        <v>41</v>
      </c>
      <c r="C407" s="31" t="s">
        <v>1970</v>
      </c>
      <c r="D407" s="32" t="s">
        <v>2039</v>
      </c>
      <c r="E407" t="s">
        <v>84</v>
      </c>
      <c r="F407" t="s">
        <v>85</v>
      </c>
      <c r="G407" t="s">
        <v>46</v>
      </c>
      <c r="H407" t="s">
        <v>234</v>
      </c>
      <c r="I407" t="s">
        <v>87</v>
      </c>
      <c r="J407">
        <v>6.5</v>
      </c>
      <c r="K407">
        <v>8</v>
      </c>
      <c r="L407" t="s">
        <v>26</v>
      </c>
      <c r="M407">
        <v>5</v>
      </c>
      <c r="N407" t="s">
        <v>27</v>
      </c>
      <c r="O407" t="s">
        <v>28</v>
      </c>
      <c r="P407" t="s">
        <v>29</v>
      </c>
      <c r="Q407" t="s">
        <v>101</v>
      </c>
      <c r="R407" t="str">
        <f>IF(Table14[[#This Row],[Resolution_Time]]&gt;Table14[[#This Row],[SLA_Target]],"No", "Yes")</f>
        <v>Yes</v>
      </c>
      <c r="S407" t="str">
        <f>IF(Table14[[#This Row],[Calculated_SLA]]=Table14[[#This Row],[SLA_Met]],"Match","Mismatch")</f>
        <v>Match</v>
      </c>
      <c r="T407">
        <f>IF(Table14[[#This Row],[Calculated_SLA]]="Yes",1,0)</f>
        <v>1</v>
      </c>
      <c r="U407" t="str">
        <f>IF(COUNTIFS(Reference_data!A:A,Table14[[#This Row],[Category]],Reference_data!B:B,Table14[[#This Row],[Subcategory]])&gt;0,"Valid","Invalid")</f>
        <v>Valid</v>
      </c>
    </row>
    <row r="408" spans="1:21">
      <c r="A408" t="s">
        <v>1284</v>
      </c>
      <c r="B408" t="s">
        <v>32</v>
      </c>
      <c r="C408" s="31" t="s">
        <v>1992</v>
      </c>
      <c r="D408" s="32" t="s">
        <v>2377</v>
      </c>
      <c r="E408" t="s">
        <v>84</v>
      </c>
      <c r="F408" t="s">
        <v>85</v>
      </c>
      <c r="G408" t="s">
        <v>46</v>
      </c>
      <c r="H408" t="s">
        <v>55</v>
      </c>
      <c r="I408" t="s">
        <v>87</v>
      </c>
      <c r="J408">
        <v>6.9</v>
      </c>
      <c r="K408">
        <v>8</v>
      </c>
      <c r="L408" t="s">
        <v>26</v>
      </c>
      <c r="M408">
        <v>4</v>
      </c>
      <c r="N408" t="s">
        <v>27</v>
      </c>
      <c r="O408" t="s">
        <v>28</v>
      </c>
      <c r="P408" t="s">
        <v>29</v>
      </c>
      <c r="Q408" t="s">
        <v>58</v>
      </c>
      <c r="R408" t="str">
        <f>IF(Table14[[#This Row],[Resolution_Time]]&gt;Table14[[#This Row],[SLA_Target]],"No", "Yes")</f>
        <v>Yes</v>
      </c>
      <c r="S408" t="str">
        <f>IF(Table14[[#This Row],[Calculated_SLA]]=Table14[[#This Row],[SLA_Met]],"Match","Mismatch")</f>
        <v>Match</v>
      </c>
      <c r="T408">
        <f>IF(Table14[[#This Row],[Calculated_SLA]]="Yes",1,0)</f>
        <v>1</v>
      </c>
      <c r="U408" t="str">
        <f>IF(COUNTIFS(Reference_data!A:A,Table14[[#This Row],[Category]],Reference_data!B:B,Table14[[#This Row],[Subcategory]])&gt;0,"Valid","Invalid")</f>
        <v>Valid</v>
      </c>
    </row>
    <row r="409" spans="1:21">
      <c r="A409" t="s">
        <v>1287</v>
      </c>
      <c r="B409" t="s">
        <v>32</v>
      </c>
      <c r="C409" s="31" t="s">
        <v>1760</v>
      </c>
      <c r="D409" s="32" t="s">
        <v>2378</v>
      </c>
      <c r="E409" t="s">
        <v>78</v>
      </c>
      <c r="F409" t="s">
        <v>191</v>
      </c>
      <c r="G409" t="s">
        <v>54</v>
      </c>
      <c r="H409" t="s">
        <v>55</v>
      </c>
      <c r="I409" t="s">
        <v>38</v>
      </c>
      <c r="J409">
        <v>8.5</v>
      </c>
      <c r="K409">
        <v>4</v>
      </c>
      <c r="L409" t="s">
        <v>27</v>
      </c>
      <c r="M409">
        <v>3</v>
      </c>
      <c r="N409" t="s">
        <v>26</v>
      </c>
      <c r="O409" t="s">
        <v>28</v>
      </c>
      <c r="P409" t="s">
        <v>57</v>
      </c>
      <c r="Q409" t="s">
        <v>58</v>
      </c>
      <c r="R409" t="str">
        <f>IF(Table14[[#This Row],[Resolution_Time]]&gt;Table14[[#This Row],[SLA_Target]],"No", "Yes")</f>
        <v>No</v>
      </c>
      <c r="S409" t="str">
        <f>IF(Table14[[#This Row],[Calculated_SLA]]=Table14[[#This Row],[SLA_Met]],"Match","Mismatch")</f>
        <v>Match</v>
      </c>
      <c r="T409">
        <f>IF(Table14[[#This Row],[Calculated_SLA]]="Yes",1,0)</f>
        <v>0</v>
      </c>
      <c r="U409" t="str">
        <f>IF(COUNTIFS(Reference_data!A:A,Table14[[#This Row],[Category]],Reference_data!B:B,Table14[[#This Row],[Subcategory]])&gt;0,"Valid","Invalid")</f>
        <v>Valid</v>
      </c>
    </row>
    <row r="410" spans="1:21">
      <c r="A410" t="s">
        <v>1290</v>
      </c>
      <c r="B410" t="s">
        <v>60</v>
      </c>
      <c r="C410" s="31" t="s">
        <v>1993</v>
      </c>
      <c r="D410" s="32" t="s">
        <v>2379</v>
      </c>
      <c r="E410" t="s">
        <v>78</v>
      </c>
      <c r="F410" t="s">
        <v>79</v>
      </c>
      <c r="G410" t="s">
        <v>54</v>
      </c>
      <c r="H410" t="s">
        <v>91</v>
      </c>
      <c r="I410" t="s">
        <v>80</v>
      </c>
      <c r="J410">
        <v>18</v>
      </c>
      <c r="K410">
        <v>4</v>
      </c>
      <c r="L410" t="s">
        <v>27</v>
      </c>
      <c r="M410">
        <v>2</v>
      </c>
      <c r="N410" t="s">
        <v>26</v>
      </c>
      <c r="O410" t="s">
        <v>28</v>
      </c>
      <c r="P410" t="s">
        <v>57</v>
      </c>
      <c r="Q410" t="s">
        <v>58</v>
      </c>
      <c r="R410" t="str">
        <f>IF(Table14[[#This Row],[Resolution_Time]]&gt;Table14[[#This Row],[SLA_Target]],"No", "Yes")</f>
        <v>No</v>
      </c>
      <c r="S410" t="str">
        <f>IF(Table14[[#This Row],[Calculated_SLA]]=Table14[[#This Row],[SLA_Met]],"Match","Mismatch")</f>
        <v>Match</v>
      </c>
      <c r="T410">
        <f>IF(Table14[[#This Row],[Calculated_SLA]]="Yes",1,0)</f>
        <v>0</v>
      </c>
      <c r="U410" t="str">
        <f>IF(COUNTIFS(Reference_data!A:A,Table14[[#This Row],[Category]],Reference_data!B:B,Table14[[#This Row],[Subcategory]])&gt;0,"Valid","Invalid")</f>
        <v>Valid</v>
      </c>
    </row>
    <row r="411" spans="1:21">
      <c r="A411" t="s">
        <v>1293</v>
      </c>
      <c r="B411" t="s">
        <v>75</v>
      </c>
      <c r="C411" s="31" t="s">
        <v>1994</v>
      </c>
      <c r="D411" s="32" t="s">
        <v>2380</v>
      </c>
      <c r="E411" t="s">
        <v>35</v>
      </c>
      <c r="F411" t="s">
        <v>36</v>
      </c>
      <c r="G411" t="s">
        <v>46</v>
      </c>
      <c r="H411" t="s">
        <v>24</v>
      </c>
      <c r="I411" t="s">
        <v>38</v>
      </c>
      <c r="J411">
        <v>9</v>
      </c>
      <c r="K411">
        <v>8</v>
      </c>
      <c r="L411" t="s">
        <v>27</v>
      </c>
      <c r="M411">
        <v>1</v>
      </c>
      <c r="N411" t="s">
        <v>26</v>
      </c>
      <c r="O411" t="s">
        <v>28</v>
      </c>
      <c r="P411" t="s">
        <v>57</v>
      </c>
      <c r="Q411" t="s">
        <v>58</v>
      </c>
      <c r="R411" t="str">
        <f>IF(Table14[[#This Row],[Resolution_Time]]&gt;Table14[[#This Row],[SLA_Target]],"No", "Yes")</f>
        <v>No</v>
      </c>
      <c r="S411" t="str">
        <f>IF(Table14[[#This Row],[Calculated_SLA]]=Table14[[#This Row],[SLA_Met]],"Match","Mismatch")</f>
        <v>Match</v>
      </c>
      <c r="T411">
        <f>IF(Table14[[#This Row],[Calculated_SLA]]="Yes",1,0)</f>
        <v>0</v>
      </c>
      <c r="U411" t="str">
        <f>IF(COUNTIFS(Reference_data!A:A,Table14[[#This Row],[Category]],Reference_data!B:B,Table14[[#This Row],[Subcategory]])&gt;0,"Valid","Invalid")</f>
        <v>Valid</v>
      </c>
    </row>
    <row r="412" spans="1:21">
      <c r="A412" t="s">
        <v>1296</v>
      </c>
      <c r="B412" t="s">
        <v>50</v>
      </c>
      <c r="C412" s="31" t="s">
        <v>1995</v>
      </c>
      <c r="D412" s="32" t="s">
        <v>2287</v>
      </c>
      <c r="E412" t="s">
        <v>21</v>
      </c>
      <c r="F412" t="s">
        <v>63</v>
      </c>
      <c r="G412" t="s">
        <v>54</v>
      </c>
      <c r="H412" t="s">
        <v>47</v>
      </c>
      <c r="I412" t="s">
        <v>25</v>
      </c>
      <c r="J412">
        <v>10.3</v>
      </c>
      <c r="K412">
        <v>4</v>
      </c>
      <c r="L412" t="s">
        <v>27</v>
      </c>
      <c r="M412">
        <v>3</v>
      </c>
      <c r="N412" t="s">
        <v>27</v>
      </c>
      <c r="O412" t="s">
        <v>28</v>
      </c>
      <c r="P412" t="s">
        <v>57</v>
      </c>
      <c r="Q412" t="s">
        <v>101</v>
      </c>
      <c r="R412" t="str">
        <f>IF(Table14[[#This Row],[Resolution_Time]]&gt;Table14[[#This Row],[SLA_Target]],"No", "Yes")</f>
        <v>No</v>
      </c>
      <c r="S412" t="str">
        <f>IF(Table14[[#This Row],[Calculated_SLA]]=Table14[[#This Row],[SLA_Met]],"Match","Mismatch")</f>
        <v>Match</v>
      </c>
      <c r="T412">
        <f>IF(Table14[[#This Row],[Calculated_SLA]]="Yes",1,0)</f>
        <v>0</v>
      </c>
      <c r="U412" t="str">
        <f>IF(COUNTIFS(Reference_data!A:A,Table14[[#This Row],[Category]],Reference_data!B:B,Table14[[#This Row],[Subcategory]])&gt;0,"Valid","Invalid")</f>
        <v>Valid</v>
      </c>
    </row>
    <row r="413" spans="1:21">
      <c r="A413" t="s">
        <v>1299</v>
      </c>
      <c r="B413" t="s">
        <v>41</v>
      </c>
      <c r="C413" s="31" t="s">
        <v>1996</v>
      </c>
      <c r="D413" s="32" t="s">
        <v>2381</v>
      </c>
      <c r="E413" t="s">
        <v>78</v>
      </c>
      <c r="F413" t="s">
        <v>79</v>
      </c>
      <c r="G413" t="s">
        <v>23</v>
      </c>
      <c r="H413" t="s">
        <v>70</v>
      </c>
      <c r="I413" t="s">
        <v>80</v>
      </c>
      <c r="J413">
        <v>14</v>
      </c>
      <c r="K413">
        <v>24</v>
      </c>
      <c r="L413" t="s">
        <v>26</v>
      </c>
      <c r="M413">
        <v>4</v>
      </c>
      <c r="N413" t="s">
        <v>27</v>
      </c>
      <c r="O413" t="s">
        <v>28</v>
      </c>
      <c r="P413" t="s">
        <v>29</v>
      </c>
      <c r="Q413" t="s">
        <v>101</v>
      </c>
      <c r="R413" t="str">
        <f>IF(Table14[[#This Row],[Resolution_Time]]&gt;Table14[[#This Row],[SLA_Target]],"No", "Yes")</f>
        <v>Yes</v>
      </c>
      <c r="S413" t="str">
        <f>IF(Table14[[#This Row],[Calculated_SLA]]=Table14[[#This Row],[SLA_Met]],"Match","Mismatch")</f>
        <v>Match</v>
      </c>
      <c r="T413">
        <f>IF(Table14[[#This Row],[Calculated_SLA]]="Yes",1,0)</f>
        <v>1</v>
      </c>
      <c r="U413" t="str">
        <f>IF(COUNTIFS(Reference_data!A:A,Table14[[#This Row],[Category]],Reference_data!B:B,Table14[[#This Row],[Subcategory]])&gt;0,"Valid","Invalid")</f>
        <v>Valid</v>
      </c>
    </row>
    <row r="414" spans="1:21">
      <c r="A414" t="s">
        <v>1302</v>
      </c>
      <c r="B414" t="s">
        <v>41</v>
      </c>
      <c r="C414" s="31" t="s">
        <v>1997</v>
      </c>
      <c r="D414" s="32" t="s">
        <v>2382</v>
      </c>
      <c r="E414" t="s">
        <v>21</v>
      </c>
      <c r="F414" t="s">
        <v>69</v>
      </c>
      <c r="G414" t="s">
        <v>46</v>
      </c>
      <c r="H414" t="s">
        <v>55</v>
      </c>
      <c r="I414" t="s">
        <v>25</v>
      </c>
      <c r="J414">
        <v>14.6</v>
      </c>
      <c r="K414">
        <v>8</v>
      </c>
      <c r="L414" t="s">
        <v>27</v>
      </c>
      <c r="M414">
        <v>1</v>
      </c>
      <c r="N414" t="s">
        <v>26</v>
      </c>
      <c r="O414" t="s">
        <v>28</v>
      </c>
      <c r="P414" t="s">
        <v>1670</v>
      </c>
      <c r="Q414" t="s">
        <v>30</v>
      </c>
      <c r="R414" t="str">
        <f>IF(Table14[[#This Row],[Resolution_Time]]&gt;Table14[[#This Row],[SLA_Target]],"No", "Yes")</f>
        <v>No</v>
      </c>
      <c r="S414" t="str">
        <f>IF(Table14[[#This Row],[Calculated_SLA]]=Table14[[#This Row],[SLA_Met]],"Match","Mismatch")</f>
        <v>Match</v>
      </c>
      <c r="T414">
        <f>IF(Table14[[#This Row],[Calculated_SLA]]="Yes",1,0)</f>
        <v>0</v>
      </c>
      <c r="U414" t="str">
        <f>IF(COUNTIFS(Reference_data!A:A,Table14[[#This Row],[Category]],Reference_data!B:B,Table14[[#This Row],[Subcategory]])&gt;0,"Valid","Invalid")</f>
        <v>Valid</v>
      </c>
    </row>
    <row r="415" spans="1:21">
      <c r="A415" t="s">
        <v>1305</v>
      </c>
      <c r="B415" t="s">
        <v>18</v>
      </c>
      <c r="C415" s="31" t="s">
        <v>1998</v>
      </c>
      <c r="D415" s="32" t="s">
        <v>2383</v>
      </c>
      <c r="E415" t="s">
        <v>44</v>
      </c>
      <c r="F415" t="s">
        <v>109</v>
      </c>
      <c r="G415" t="s">
        <v>46</v>
      </c>
      <c r="H415" t="s">
        <v>37</v>
      </c>
      <c r="I415" t="s">
        <v>48</v>
      </c>
      <c r="J415">
        <v>4.8</v>
      </c>
      <c r="K415">
        <v>8</v>
      </c>
      <c r="L415" t="s">
        <v>26</v>
      </c>
      <c r="M415">
        <v>4</v>
      </c>
      <c r="N415" t="s">
        <v>27</v>
      </c>
      <c r="O415" t="s">
        <v>28</v>
      </c>
      <c r="P415" t="s">
        <v>29</v>
      </c>
      <c r="Q415" t="s">
        <v>39</v>
      </c>
      <c r="R415" t="str">
        <f>IF(Table14[[#This Row],[Resolution_Time]]&gt;Table14[[#This Row],[SLA_Target]],"No", "Yes")</f>
        <v>Yes</v>
      </c>
      <c r="S415" t="str">
        <f>IF(Table14[[#This Row],[Calculated_SLA]]=Table14[[#This Row],[SLA_Met]],"Match","Mismatch")</f>
        <v>Match</v>
      </c>
      <c r="T415">
        <f>IF(Table14[[#This Row],[Calculated_SLA]]="Yes",1,0)</f>
        <v>1</v>
      </c>
      <c r="U415" t="str">
        <f>IF(COUNTIFS(Reference_data!A:A,Table14[[#This Row],[Category]],Reference_data!B:B,Table14[[#This Row],[Subcategory]])&gt;0,"Valid","Invalid")</f>
        <v>Valid</v>
      </c>
    </row>
    <row r="416" spans="1:21">
      <c r="A416" t="s">
        <v>1308</v>
      </c>
      <c r="B416" t="s">
        <v>60</v>
      </c>
      <c r="C416" s="31" t="s">
        <v>1999</v>
      </c>
      <c r="D416" s="32" t="s">
        <v>2223</v>
      </c>
      <c r="E416" t="s">
        <v>84</v>
      </c>
      <c r="F416" t="s">
        <v>116</v>
      </c>
      <c r="G416" t="s">
        <v>46</v>
      </c>
      <c r="H416" t="s">
        <v>234</v>
      </c>
      <c r="I416" t="s">
        <v>87</v>
      </c>
      <c r="J416">
        <v>6.2</v>
      </c>
      <c r="K416">
        <v>8</v>
      </c>
      <c r="L416" t="s">
        <v>26</v>
      </c>
      <c r="M416">
        <v>5</v>
      </c>
      <c r="N416" t="s">
        <v>27</v>
      </c>
      <c r="O416" t="s">
        <v>28</v>
      </c>
      <c r="P416" t="s">
        <v>29</v>
      </c>
      <c r="Q416" t="s">
        <v>30</v>
      </c>
      <c r="R416" t="str">
        <f>IF(Table14[[#This Row],[Resolution_Time]]&gt;Table14[[#This Row],[SLA_Target]],"No", "Yes")</f>
        <v>Yes</v>
      </c>
      <c r="S416" t="str">
        <f>IF(Table14[[#This Row],[Calculated_SLA]]=Table14[[#This Row],[SLA_Met]],"Match","Mismatch")</f>
        <v>Match</v>
      </c>
      <c r="T416">
        <f>IF(Table14[[#This Row],[Calculated_SLA]]="Yes",1,0)</f>
        <v>1</v>
      </c>
      <c r="U416" t="str">
        <f>IF(COUNTIFS(Reference_data!A:A,Table14[[#This Row],[Category]],Reference_data!B:B,Table14[[#This Row],[Subcategory]])&gt;0,"Valid","Invalid")</f>
        <v>Valid</v>
      </c>
    </row>
    <row r="417" spans="1:21">
      <c r="A417" t="s">
        <v>1311</v>
      </c>
      <c r="B417" t="s">
        <v>60</v>
      </c>
      <c r="C417" s="31" t="s">
        <v>1818</v>
      </c>
      <c r="D417" s="32" t="s">
        <v>2384</v>
      </c>
      <c r="E417" t="s">
        <v>21</v>
      </c>
      <c r="F417" t="s">
        <v>63</v>
      </c>
      <c r="G417" t="s">
        <v>46</v>
      </c>
      <c r="H417" t="s">
        <v>138</v>
      </c>
      <c r="I417" t="s">
        <v>25</v>
      </c>
      <c r="J417">
        <v>12.2</v>
      </c>
      <c r="K417">
        <v>8</v>
      </c>
      <c r="L417" t="s">
        <v>27</v>
      </c>
      <c r="M417">
        <v>2</v>
      </c>
      <c r="N417" t="s">
        <v>26</v>
      </c>
      <c r="O417" t="s">
        <v>28</v>
      </c>
      <c r="P417" t="s">
        <v>57</v>
      </c>
      <c r="Q417" t="s">
        <v>39</v>
      </c>
      <c r="R417" t="str">
        <f>IF(Table14[[#This Row],[Resolution_Time]]&gt;Table14[[#This Row],[SLA_Target]],"No", "Yes")</f>
        <v>No</v>
      </c>
      <c r="S417" t="str">
        <f>IF(Table14[[#This Row],[Calculated_SLA]]=Table14[[#This Row],[SLA_Met]],"Match","Mismatch")</f>
        <v>Match</v>
      </c>
      <c r="T417">
        <f>IF(Table14[[#This Row],[Calculated_SLA]]="Yes",1,0)</f>
        <v>0</v>
      </c>
      <c r="U417" t="str">
        <f>IF(COUNTIFS(Reference_data!A:A,Table14[[#This Row],[Category]],Reference_data!B:B,Table14[[#This Row],[Subcategory]])&gt;0,"Valid","Invalid")</f>
        <v>Valid</v>
      </c>
    </row>
    <row r="418" spans="1:21">
      <c r="A418" t="s">
        <v>1314</v>
      </c>
      <c r="B418" t="s">
        <v>75</v>
      </c>
      <c r="C418" s="31" t="s">
        <v>1960</v>
      </c>
      <c r="D418" s="32" t="s">
        <v>2147</v>
      </c>
      <c r="E418" t="s">
        <v>21</v>
      </c>
      <c r="F418" t="s">
        <v>63</v>
      </c>
      <c r="G418" t="s">
        <v>46</v>
      </c>
      <c r="H418" t="s">
        <v>234</v>
      </c>
      <c r="I418" t="s">
        <v>25</v>
      </c>
      <c r="J418">
        <v>9.4</v>
      </c>
      <c r="K418">
        <v>8</v>
      </c>
      <c r="L418" t="s">
        <v>27</v>
      </c>
      <c r="M418">
        <v>2</v>
      </c>
      <c r="N418" t="s">
        <v>26</v>
      </c>
      <c r="O418" t="s">
        <v>28</v>
      </c>
      <c r="P418" t="s">
        <v>1670</v>
      </c>
      <c r="Q418" t="s">
        <v>30</v>
      </c>
      <c r="R418" t="str">
        <f>IF(Table14[[#This Row],[Resolution_Time]]&gt;Table14[[#This Row],[SLA_Target]],"No", "Yes")</f>
        <v>No</v>
      </c>
      <c r="S418" t="str">
        <f>IF(Table14[[#This Row],[Calculated_SLA]]=Table14[[#This Row],[SLA_Met]],"Match","Mismatch")</f>
        <v>Match</v>
      </c>
      <c r="T418">
        <f>IF(Table14[[#This Row],[Calculated_SLA]]="Yes",1,0)</f>
        <v>0</v>
      </c>
      <c r="U418" t="str">
        <f>IF(COUNTIFS(Reference_data!A:A,Table14[[#This Row],[Category]],Reference_data!B:B,Table14[[#This Row],[Subcategory]])&gt;0,"Valid","Invalid")</f>
        <v>Valid</v>
      </c>
    </row>
    <row r="419" spans="1:21">
      <c r="A419" t="s">
        <v>1317</v>
      </c>
      <c r="B419" t="s">
        <v>66</v>
      </c>
      <c r="C419" s="31" t="s">
        <v>2000</v>
      </c>
      <c r="D419" s="32" t="s">
        <v>2385</v>
      </c>
      <c r="E419" t="s">
        <v>35</v>
      </c>
      <c r="F419" t="s">
        <v>53</v>
      </c>
      <c r="G419" t="s">
        <v>46</v>
      </c>
      <c r="H419" t="s">
        <v>47</v>
      </c>
      <c r="I419" t="s">
        <v>56</v>
      </c>
      <c r="J419">
        <v>5.5</v>
      </c>
      <c r="K419">
        <v>8</v>
      </c>
      <c r="L419" t="s">
        <v>26</v>
      </c>
      <c r="M419">
        <v>5</v>
      </c>
      <c r="N419" t="s">
        <v>27</v>
      </c>
      <c r="O419" t="s">
        <v>28</v>
      </c>
      <c r="P419" t="s">
        <v>29</v>
      </c>
      <c r="Q419" t="s">
        <v>101</v>
      </c>
      <c r="R419" t="str">
        <f>IF(Table14[[#This Row],[Resolution_Time]]&gt;Table14[[#This Row],[SLA_Target]],"No", "Yes")</f>
        <v>Yes</v>
      </c>
      <c r="S419" t="str">
        <f>IF(Table14[[#This Row],[Calculated_SLA]]=Table14[[#This Row],[SLA_Met]],"Match","Mismatch")</f>
        <v>Match</v>
      </c>
      <c r="T419">
        <f>IF(Table14[[#This Row],[Calculated_SLA]]="Yes",1,0)</f>
        <v>1</v>
      </c>
      <c r="U419" t="str">
        <f>IF(COUNTIFS(Reference_data!A:A,Table14[[#This Row],[Category]],Reference_data!B:B,Table14[[#This Row],[Subcategory]])&gt;0,"Valid","Invalid")</f>
        <v>Valid</v>
      </c>
    </row>
    <row r="420" spans="1:21">
      <c r="A420" t="s">
        <v>1320</v>
      </c>
      <c r="B420" t="s">
        <v>75</v>
      </c>
      <c r="C420" s="31" t="s">
        <v>2001</v>
      </c>
      <c r="D420" s="32" t="s">
        <v>2386</v>
      </c>
      <c r="E420" t="s">
        <v>21</v>
      </c>
      <c r="F420" t="s">
        <v>63</v>
      </c>
      <c r="G420" t="s">
        <v>23</v>
      </c>
      <c r="H420" t="s">
        <v>47</v>
      </c>
      <c r="I420" t="s">
        <v>25</v>
      </c>
      <c r="J420">
        <v>7.4</v>
      </c>
      <c r="K420">
        <v>24</v>
      </c>
      <c r="L420" t="s">
        <v>26</v>
      </c>
      <c r="M420">
        <v>4</v>
      </c>
      <c r="N420" t="s">
        <v>27</v>
      </c>
      <c r="O420" t="s">
        <v>28</v>
      </c>
      <c r="P420" t="s">
        <v>29</v>
      </c>
      <c r="Q420" t="s">
        <v>101</v>
      </c>
      <c r="R420" t="str">
        <f>IF(Table14[[#This Row],[Resolution_Time]]&gt;Table14[[#This Row],[SLA_Target]],"No", "Yes")</f>
        <v>Yes</v>
      </c>
      <c r="S420" t="str">
        <f>IF(Table14[[#This Row],[Calculated_SLA]]=Table14[[#This Row],[SLA_Met]],"Match","Mismatch")</f>
        <v>Match</v>
      </c>
      <c r="T420">
        <f>IF(Table14[[#This Row],[Calculated_SLA]]="Yes",1,0)</f>
        <v>1</v>
      </c>
      <c r="U420" t="str">
        <f>IF(COUNTIFS(Reference_data!A:A,Table14[[#This Row],[Category]],Reference_data!B:B,Table14[[#This Row],[Subcategory]])&gt;0,"Valid","Invalid")</f>
        <v>Valid</v>
      </c>
    </row>
    <row r="421" spans="1:21">
      <c r="A421" t="s">
        <v>1323</v>
      </c>
      <c r="B421" t="s">
        <v>32</v>
      </c>
      <c r="C421" s="31" t="s">
        <v>2002</v>
      </c>
      <c r="D421" s="32" t="s">
        <v>2387</v>
      </c>
      <c r="E421" t="s">
        <v>78</v>
      </c>
      <c r="F421" t="s">
        <v>191</v>
      </c>
      <c r="G421" t="s">
        <v>46</v>
      </c>
      <c r="H421" t="s">
        <v>64</v>
      </c>
      <c r="I421" t="s">
        <v>38</v>
      </c>
      <c r="J421">
        <v>12.1</v>
      </c>
      <c r="K421">
        <v>8</v>
      </c>
      <c r="L421" t="s">
        <v>27</v>
      </c>
      <c r="M421">
        <v>3</v>
      </c>
      <c r="N421" t="s">
        <v>27</v>
      </c>
      <c r="O421" t="s">
        <v>28</v>
      </c>
      <c r="P421" t="s">
        <v>1670</v>
      </c>
      <c r="Q421" t="s">
        <v>30</v>
      </c>
      <c r="R421" t="str">
        <f>IF(Table14[[#This Row],[Resolution_Time]]&gt;Table14[[#This Row],[SLA_Target]],"No", "Yes")</f>
        <v>No</v>
      </c>
      <c r="S421" t="str">
        <f>IF(Table14[[#This Row],[Calculated_SLA]]=Table14[[#This Row],[SLA_Met]],"Match","Mismatch")</f>
        <v>Match</v>
      </c>
      <c r="T421">
        <f>IF(Table14[[#This Row],[Calculated_SLA]]="Yes",1,0)</f>
        <v>0</v>
      </c>
      <c r="U421" t="str">
        <f>IF(COUNTIFS(Reference_data!A:A,Table14[[#This Row],[Category]],Reference_data!B:B,Table14[[#This Row],[Subcategory]])&gt;0,"Valid","Invalid")</f>
        <v>Valid</v>
      </c>
    </row>
    <row r="422" spans="1:21">
      <c r="A422" t="s">
        <v>1326</v>
      </c>
      <c r="B422" t="s">
        <v>50</v>
      </c>
      <c r="C422" s="31" t="s">
        <v>2003</v>
      </c>
      <c r="D422" s="32" t="s">
        <v>2388</v>
      </c>
      <c r="E422" t="s">
        <v>84</v>
      </c>
      <c r="F422" t="s">
        <v>116</v>
      </c>
      <c r="G422" t="s">
        <v>46</v>
      </c>
      <c r="H422" t="s">
        <v>234</v>
      </c>
      <c r="I422" t="s">
        <v>87</v>
      </c>
      <c r="J422">
        <v>9.3000000000000007</v>
      </c>
      <c r="K422">
        <v>8</v>
      </c>
      <c r="L422" t="s">
        <v>27</v>
      </c>
      <c r="M422">
        <v>2</v>
      </c>
      <c r="N422" t="s">
        <v>27</v>
      </c>
      <c r="O422" t="s">
        <v>28</v>
      </c>
      <c r="P422" t="s">
        <v>57</v>
      </c>
      <c r="Q422" t="s">
        <v>39</v>
      </c>
      <c r="R422" t="str">
        <f>IF(Table14[[#This Row],[Resolution_Time]]&gt;Table14[[#This Row],[SLA_Target]],"No", "Yes")</f>
        <v>No</v>
      </c>
      <c r="S422" t="str">
        <f>IF(Table14[[#This Row],[Calculated_SLA]]=Table14[[#This Row],[SLA_Met]],"Match","Mismatch")</f>
        <v>Match</v>
      </c>
      <c r="T422">
        <f>IF(Table14[[#This Row],[Calculated_SLA]]="Yes",1,0)</f>
        <v>0</v>
      </c>
      <c r="U422" t="str">
        <f>IF(COUNTIFS(Reference_data!A:A,Table14[[#This Row],[Category]],Reference_data!B:B,Table14[[#This Row],[Subcategory]])&gt;0,"Valid","Invalid")</f>
        <v>Valid</v>
      </c>
    </row>
    <row r="423" spans="1:21">
      <c r="A423" t="s">
        <v>1329</v>
      </c>
      <c r="B423" t="s">
        <v>32</v>
      </c>
      <c r="C423" s="31" t="s">
        <v>2004</v>
      </c>
      <c r="D423" s="32" t="s">
        <v>2389</v>
      </c>
      <c r="E423" t="s">
        <v>21</v>
      </c>
      <c r="F423" t="s">
        <v>69</v>
      </c>
      <c r="G423" t="s">
        <v>54</v>
      </c>
      <c r="H423" t="s">
        <v>55</v>
      </c>
      <c r="I423" t="s">
        <v>25</v>
      </c>
      <c r="J423">
        <v>9.8000000000000007</v>
      </c>
      <c r="K423">
        <v>4</v>
      </c>
      <c r="L423" t="s">
        <v>27</v>
      </c>
      <c r="M423">
        <v>1</v>
      </c>
      <c r="N423" t="s">
        <v>26</v>
      </c>
      <c r="O423" t="s">
        <v>28</v>
      </c>
      <c r="P423" t="s">
        <v>57</v>
      </c>
      <c r="Q423" t="s">
        <v>101</v>
      </c>
      <c r="R423" t="str">
        <f>IF(Table14[[#This Row],[Resolution_Time]]&gt;Table14[[#This Row],[SLA_Target]],"No", "Yes")</f>
        <v>No</v>
      </c>
      <c r="S423" t="str">
        <f>IF(Table14[[#This Row],[Calculated_SLA]]=Table14[[#This Row],[SLA_Met]],"Match","Mismatch")</f>
        <v>Match</v>
      </c>
      <c r="T423">
        <f>IF(Table14[[#This Row],[Calculated_SLA]]="Yes",1,0)</f>
        <v>0</v>
      </c>
      <c r="U423" t="str">
        <f>IF(COUNTIFS(Reference_data!A:A,Table14[[#This Row],[Category]],Reference_data!B:B,Table14[[#This Row],[Subcategory]])&gt;0,"Valid","Invalid")</f>
        <v>Valid</v>
      </c>
    </row>
    <row r="424" spans="1:21">
      <c r="A424" t="s">
        <v>1332</v>
      </c>
      <c r="B424" t="s">
        <v>32</v>
      </c>
      <c r="C424" s="31" t="s">
        <v>1807</v>
      </c>
      <c r="D424" s="32" t="s">
        <v>2390</v>
      </c>
      <c r="E424" t="s">
        <v>44</v>
      </c>
      <c r="F424" t="s">
        <v>109</v>
      </c>
      <c r="G424" t="s">
        <v>46</v>
      </c>
      <c r="H424" t="s">
        <v>24</v>
      </c>
      <c r="I424" t="s">
        <v>48</v>
      </c>
      <c r="J424">
        <v>2.6</v>
      </c>
      <c r="K424">
        <v>8</v>
      </c>
      <c r="L424" t="s">
        <v>26</v>
      </c>
      <c r="M424">
        <v>4</v>
      </c>
      <c r="N424" t="s">
        <v>27</v>
      </c>
      <c r="O424" t="s">
        <v>28</v>
      </c>
      <c r="P424" t="s">
        <v>29</v>
      </c>
      <c r="Q424" t="s">
        <v>58</v>
      </c>
      <c r="R424" t="str">
        <f>IF(Table14[[#This Row],[Resolution_Time]]&gt;Table14[[#This Row],[SLA_Target]],"No", "Yes")</f>
        <v>Yes</v>
      </c>
      <c r="S424" t="str">
        <f>IF(Table14[[#This Row],[Calculated_SLA]]=Table14[[#This Row],[SLA_Met]],"Match","Mismatch")</f>
        <v>Match</v>
      </c>
      <c r="T424">
        <f>IF(Table14[[#This Row],[Calculated_SLA]]="Yes",1,0)</f>
        <v>1</v>
      </c>
      <c r="U424" t="str">
        <f>IF(COUNTIFS(Reference_data!A:A,Table14[[#This Row],[Category]],Reference_data!B:B,Table14[[#This Row],[Subcategory]])&gt;0,"Valid","Invalid")</f>
        <v>Valid</v>
      </c>
    </row>
    <row r="425" spans="1:21">
      <c r="A425" t="s">
        <v>1335</v>
      </c>
      <c r="B425" t="s">
        <v>50</v>
      </c>
      <c r="C425" s="31" t="s">
        <v>2005</v>
      </c>
      <c r="D425" s="32" t="s">
        <v>2391</v>
      </c>
      <c r="E425" t="s">
        <v>21</v>
      </c>
      <c r="F425" t="s">
        <v>63</v>
      </c>
      <c r="G425" t="s">
        <v>46</v>
      </c>
      <c r="H425" t="s">
        <v>138</v>
      </c>
      <c r="I425" t="s">
        <v>25</v>
      </c>
      <c r="J425">
        <v>8.5</v>
      </c>
      <c r="K425">
        <v>8</v>
      </c>
      <c r="L425" t="s">
        <v>27</v>
      </c>
      <c r="M425">
        <v>2</v>
      </c>
      <c r="N425" t="s">
        <v>26</v>
      </c>
      <c r="O425" t="s">
        <v>28</v>
      </c>
      <c r="P425" t="s">
        <v>57</v>
      </c>
      <c r="Q425" t="s">
        <v>101</v>
      </c>
      <c r="R425" t="str">
        <f>IF(Table14[[#This Row],[Resolution_Time]]&gt;Table14[[#This Row],[SLA_Target]],"No", "Yes")</f>
        <v>No</v>
      </c>
      <c r="S425" t="str">
        <f>IF(Table14[[#This Row],[Calculated_SLA]]=Table14[[#This Row],[SLA_Met]],"Match","Mismatch")</f>
        <v>Match</v>
      </c>
      <c r="T425">
        <f>IF(Table14[[#This Row],[Calculated_SLA]]="Yes",1,0)</f>
        <v>0</v>
      </c>
      <c r="U425" t="str">
        <f>IF(COUNTIFS(Reference_data!A:A,Table14[[#This Row],[Category]],Reference_data!B:B,Table14[[#This Row],[Subcategory]])&gt;0,"Valid","Invalid")</f>
        <v>Valid</v>
      </c>
    </row>
    <row r="426" spans="1:21">
      <c r="A426" t="s">
        <v>1338</v>
      </c>
      <c r="B426" t="s">
        <v>66</v>
      </c>
      <c r="C426" s="31" t="s">
        <v>2006</v>
      </c>
      <c r="D426" s="32" t="s">
        <v>2392</v>
      </c>
      <c r="E426" t="s">
        <v>21</v>
      </c>
      <c r="F426" t="s">
        <v>63</v>
      </c>
      <c r="G426" t="s">
        <v>46</v>
      </c>
      <c r="H426" t="s">
        <v>86</v>
      </c>
      <c r="I426" t="s">
        <v>25</v>
      </c>
      <c r="J426">
        <v>10.4</v>
      </c>
      <c r="K426">
        <v>8</v>
      </c>
      <c r="L426" t="s">
        <v>27</v>
      </c>
      <c r="M426">
        <v>3</v>
      </c>
      <c r="N426" t="s">
        <v>27</v>
      </c>
      <c r="O426" t="s">
        <v>28</v>
      </c>
      <c r="P426" t="s">
        <v>1670</v>
      </c>
      <c r="Q426" t="s">
        <v>39</v>
      </c>
      <c r="R426" t="str">
        <f>IF(Table14[[#This Row],[Resolution_Time]]&gt;Table14[[#This Row],[SLA_Target]],"No", "Yes")</f>
        <v>No</v>
      </c>
      <c r="S426" t="str">
        <f>IF(Table14[[#This Row],[Calculated_SLA]]=Table14[[#This Row],[SLA_Met]],"Match","Mismatch")</f>
        <v>Match</v>
      </c>
      <c r="T426">
        <f>IF(Table14[[#This Row],[Calculated_SLA]]="Yes",1,0)</f>
        <v>0</v>
      </c>
      <c r="U426" t="str">
        <f>IF(COUNTIFS(Reference_data!A:A,Table14[[#This Row],[Category]],Reference_data!B:B,Table14[[#This Row],[Subcategory]])&gt;0,"Valid","Invalid")</f>
        <v>Valid</v>
      </c>
    </row>
    <row r="427" spans="1:21">
      <c r="A427" t="s">
        <v>1341</v>
      </c>
      <c r="B427" t="s">
        <v>18</v>
      </c>
      <c r="C427" s="31" t="s">
        <v>1805</v>
      </c>
      <c r="D427" s="32" t="s">
        <v>2386</v>
      </c>
      <c r="E427" t="s">
        <v>35</v>
      </c>
      <c r="F427" t="s">
        <v>36</v>
      </c>
      <c r="G427" t="s">
        <v>46</v>
      </c>
      <c r="H427" t="s">
        <v>138</v>
      </c>
      <c r="I427" t="s">
        <v>38</v>
      </c>
      <c r="J427">
        <v>10.5</v>
      </c>
      <c r="K427">
        <v>8</v>
      </c>
      <c r="L427" t="s">
        <v>27</v>
      </c>
      <c r="M427">
        <v>3</v>
      </c>
      <c r="N427" t="s">
        <v>26</v>
      </c>
      <c r="O427" t="s">
        <v>28</v>
      </c>
      <c r="P427" t="s">
        <v>1670</v>
      </c>
      <c r="Q427" t="s">
        <v>58</v>
      </c>
      <c r="R427" t="str">
        <f>IF(Table14[[#This Row],[Resolution_Time]]&gt;Table14[[#This Row],[SLA_Target]],"No", "Yes")</f>
        <v>No</v>
      </c>
      <c r="S427" t="str">
        <f>IF(Table14[[#This Row],[Calculated_SLA]]=Table14[[#This Row],[SLA_Met]],"Match","Mismatch")</f>
        <v>Match</v>
      </c>
      <c r="T427">
        <f>IF(Table14[[#This Row],[Calculated_SLA]]="Yes",1,0)</f>
        <v>0</v>
      </c>
      <c r="U427" t="str">
        <f>IF(COUNTIFS(Reference_data!A:A,Table14[[#This Row],[Category]],Reference_data!B:B,Table14[[#This Row],[Subcategory]])&gt;0,"Valid","Invalid")</f>
        <v>Valid</v>
      </c>
    </row>
    <row r="428" spans="1:21">
      <c r="A428" t="s">
        <v>1343</v>
      </c>
      <c r="B428" t="s">
        <v>41</v>
      </c>
      <c r="C428" s="31" t="s">
        <v>2007</v>
      </c>
      <c r="D428" s="32" t="s">
        <v>2393</v>
      </c>
      <c r="E428" t="s">
        <v>35</v>
      </c>
      <c r="F428" t="s">
        <v>53</v>
      </c>
      <c r="G428" t="s">
        <v>54</v>
      </c>
      <c r="H428" t="s">
        <v>37</v>
      </c>
      <c r="I428" t="s">
        <v>56</v>
      </c>
      <c r="J428">
        <v>4.9000000000000004</v>
      </c>
      <c r="K428">
        <v>4</v>
      </c>
      <c r="L428" t="s">
        <v>27</v>
      </c>
      <c r="M428">
        <v>1</v>
      </c>
      <c r="N428" t="s">
        <v>26</v>
      </c>
      <c r="O428" t="s">
        <v>28</v>
      </c>
      <c r="P428" t="s">
        <v>57</v>
      </c>
      <c r="Q428" t="s">
        <v>30</v>
      </c>
      <c r="R428" t="str">
        <f>IF(Table14[[#This Row],[Resolution_Time]]&gt;Table14[[#This Row],[SLA_Target]],"No", "Yes")</f>
        <v>No</v>
      </c>
      <c r="S428" t="str">
        <f>IF(Table14[[#This Row],[Calculated_SLA]]=Table14[[#This Row],[SLA_Met]],"Match","Mismatch")</f>
        <v>Match</v>
      </c>
      <c r="T428">
        <f>IF(Table14[[#This Row],[Calculated_SLA]]="Yes",1,0)</f>
        <v>0</v>
      </c>
      <c r="U428" t="str">
        <f>IF(COUNTIFS(Reference_data!A:A,Table14[[#This Row],[Category]],Reference_data!B:B,Table14[[#This Row],[Subcategory]])&gt;0,"Valid","Invalid")</f>
        <v>Valid</v>
      </c>
    </row>
    <row r="429" spans="1:21">
      <c r="A429" t="s">
        <v>1346</v>
      </c>
      <c r="B429" t="s">
        <v>66</v>
      </c>
      <c r="C429" s="31" t="s">
        <v>2008</v>
      </c>
      <c r="D429" s="32" t="s">
        <v>2394</v>
      </c>
      <c r="E429" t="s">
        <v>84</v>
      </c>
      <c r="F429" t="s">
        <v>116</v>
      </c>
      <c r="G429" t="s">
        <v>46</v>
      </c>
      <c r="H429" t="s">
        <v>234</v>
      </c>
      <c r="I429" t="s">
        <v>87</v>
      </c>
      <c r="J429">
        <v>5.0999999999999996</v>
      </c>
      <c r="K429">
        <v>8</v>
      </c>
      <c r="L429" t="s">
        <v>26</v>
      </c>
      <c r="M429">
        <v>5</v>
      </c>
      <c r="N429" t="s">
        <v>27</v>
      </c>
      <c r="O429" t="s">
        <v>28</v>
      </c>
      <c r="P429" t="s">
        <v>29</v>
      </c>
      <c r="Q429" t="s">
        <v>30</v>
      </c>
      <c r="R429" t="str">
        <f>IF(Table14[[#This Row],[Resolution_Time]]&gt;Table14[[#This Row],[SLA_Target]],"No", "Yes")</f>
        <v>Yes</v>
      </c>
      <c r="S429" t="str">
        <f>IF(Table14[[#This Row],[Calculated_SLA]]=Table14[[#This Row],[SLA_Met]],"Match","Mismatch")</f>
        <v>Match</v>
      </c>
      <c r="T429">
        <f>IF(Table14[[#This Row],[Calculated_SLA]]="Yes",1,0)</f>
        <v>1</v>
      </c>
      <c r="U429" t="str">
        <f>IF(COUNTIFS(Reference_data!A:A,Table14[[#This Row],[Category]],Reference_data!B:B,Table14[[#This Row],[Subcategory]])&gt;0,"Valid","Invalid")</f>
        <v>Valid</v>
      </c>
    </row>
    <row r="430" spans="1:21">
      <c r="A430" t="s">
        <v>1349</v>
      </c>
      <c r="B430" t="s">
        <v>60</v>
      </c>
      <c r="C430" s="31" t="s">
        <v>1743</v>
      </c>
      <c r="D430" s="32" t="s">
        <v>2395</v>
      </c>
      <c r="E430" t="s">
        <v>21</v>
      </c>
      <c r="F430" t="s">
        <v>22</v>
      </c>
      <c r="G430" t="s">
        <v>46</v>
      </c>
      <c r="H430" t="s">
        <v>138</v>
      </c>
      <c r="I430" t="s">
        <v>25</v>
      </c>
      <c r="J430">
        <v>15.8</v>
      </c>
      <c r="K430">
        <v>8</v>
      </c>
      <c r="L430" t="s">
        <v>27</v>
      </c>
      <c r="M430">
        <v>3</v>
      </c>
      <c r="N430" t="s">
        <v>27</v>
      </c>
      <c r="O430" t="s">
        <v>28</v>
      </c>
      <c r="P430" t="s">
        <v>57</v>
      </c>
      <c r="Q430" t="s">
        <v>58</v>
      </c>
      <c r="R430" t="str">
        <f>IF(Table14[[#This Row],[Resolution_Time]]&gt;Table14[[#This Row],[SLA_Target]],"No", "Yes")</f>
        <v>No</v>
      </c>
      <c r="S430" t="str">
        <f>IF(Table14[[#This Row],[Calculated_SLA]]=Table14[[#This Row],[SLA_Met]],"Match","Mismatch")</f>
        <v>Match</v>
      </c>
      <c r="T430">
        <f>IF(Table14[[#This Row],[Calculated_SLA]]="Yes",1,0)</f>
        <v>0</v>
      </c>
      <c r="U430" t="str">
        <f>IF(COUNTIFS(Reference_data!A:A,Table14[[#This Row],[Category]],Reference_data!B:B,Table14[[#This Row],[Subcategory]])&gt;0,"Valid","Invalid")</f>
        <v>Valid</v>
      </c>
    </row>
    <row r="431" spans="1:21">
      <c r="A431" t="s">
        <v>1352</v>
      </c>
      <c r="B431" t="s">
        <v>50</v>
      </c>
      <c r="C431" s="31" t="s">
        <v>2009</v>
      </c>
      <c r="D431" s="32" t="s">
        <v>2396</v>
      </c>
      <c r="E431" t="s">
        <v>21</v>
      </c>
      <c r="F431" t="s">
        <v>63</v>
      </c>
      <c r="G431" t="s">
        <v>54</v>
      </c>
      <c r="H431" t="s">
        <v>55</v>
      </c>
      <c r="I431" t="s">
        <v>25</v>
      </c>
      <c r="J431">
        <v>13.9</v>
      </c>
      <c r="K431">
        <v>4</v>
      </c>
      <c r="L431" t="s">
        <v>27</v>
      </c>
      <c r="M431">
        <v>2</v>
      </c>
      <c r="N431" t="s">
        <v>26</v>
      </c>
      <c r="O431" t="s">
        <v>28</v>
      </c>
      <c r="P431" t="s">
        <v>1670</v>
      </c>
      <c r="Q431" t="s">
        <v>30</v>
      </c>
      <c r="R431" t="str">
        <f>IF(Table14[[#This Row],[Resolution_Time]]&gt;Table14[[#This Row],[SLA_Target]],"No", "Yes")</f>
        <v>No</v>
      </c>
      <c r="S431" t="str">
        <f>IF(Table14[[#This Row],[Calculated_SLA]]=Table14[[#This Row],[SLA_Met]],"Match","Mismatch")</f>
        <v>Match</v>
      </c>
      <c r="T431">
        <f>IF(Table14[[#This Row],[Calculated_SLA]]="Yes",1,0)</f>
        <v>0</v>
      </c>
      <c r="U431" t="str">
        <f>IF(COUNTIFS(Reference_data!A:A,Table14[[#This Row],[Category]],Reference_data!B:B,Table14[[#This Row],[Subcategory]])&gt;0,"Valid","Invalid")</f>
        <v>Valid</v>
      </c>
    </row>
    <row r="432" spans="1:21">
      <c r="A432" t="s">
        <v>1355</v>
      </c>
      <c r="B432" t="s">
        <v>75</v>
      </c>
      <c r="C432" s="31" t="s">
        <v>2010</v>
      </c>
      <c r="D432" s="32" t="s">
        <v>2397</v>
      </c>
      <c r="E432" t="s">
        <v>78</v>
      </c>
      <c r="F432" t="s">
        <v>166</v>
      </c>
      <c r="G432" t="s">
        <v>46</v>
      </c>
      <c r="H432" t="s">
        <v>91</v>
      </c>
      <c r="I432" t="s">
        <v>80</v>
      </c>
      <c r="J432">
        <v>18.3</v>
      </c>
      <c r="K432">
        <v>8</v>
      </c>
      <c r="L432" t="s">
        <v>27</v>
      </c>
      <c r="M432">
        <v>2</v>
      </c>
      <c r="N432" t="s">
        <v>26</v>
      </c>
      <c r="O432" t="s">
        <v>28</v>
      </c>
      <c r="P432" t="s">
        <v>1670</v>
      </c>
      <c r="Q432" t="s">
        <v>58</v>
      </c>
      <c r="R432" t="str">
        <f>IF(Table14[[#This Row],[Resolution_Time]]&gt;Table14[[#This Row],[SLA_Target]],"No", "Yes")</f>
        <v>No</v>
      </c>
      <c r="S432" t="str">
        <f>IF(Table14[[#This Row],[Calculated_SLA]]=Table14[[#This Row],[SLA_Met]],"Match","Mismatch")</f>
        <v>Match</v>
      </c>
      <c r="T432">
        <f>IF(Table14[[#This Row],[Calculated_SLA]]="Yes",1,0)</f>
        <v>0</v>
      </c>
      <c r="U432" t="str">
        <f>IF(COUNTIFS(Reference_data!A:A,Table14[[#This Row],[Category]],Reference_data!B:B,Table14[[#This Row],[Subcategory]])&gt;0,"Valid","Invalid")</f>
        <v>Valid</v>
      </c>
    </row>
    <row r="433" spans="1:21">
      <c r="A433" t="s">
        <v>1358</v>
      </c>
      <c r="B433" t="s">
        <v>75</v>
      </c>
      <c r="C433" s="31" t="s">
        <v>1816</v>
      </c>
      <c r="D433" s="32" t="s">
        <v>2222</v>
      </c>
      <c r="E433" t="s">
        <v>21</v>
      </c>
      <c r="F433" t="s">
        <v>69</v>
      </c>
      <c r="G433" t="s">
        <v>46</v>
      </c>
      <c r="H433" t="s">
        <v>138</v>
      </c>
      <c r="I433" t="s">
        <v>25</v>
      </c>
      <c r="J433">
        <v>10.199999999999999</v>
      </c>
      <c r="K433">
        <v>8</v>
      </c>
      <c r="L433" t="s">
        <v>27</v>
      </c>
      <c r="M433">
        <v>3</v>
      </c>
      <c r="N433" t="s">
        <v>27</v>
      </c>
      <c r="O433" t="s">
        <v>28</v>
      </c>
      <c r="P433" t="s">
        <v>57</v>
      </c>
      <c r="Q433" t="s">
        <v>58</v>
      </c>
      <c r="R433" t="str">
        <f>IF(Table14[[#This Row],[Resolution_Time]]&gt;Table14[[#This Row],[SLA_Target]],"No", "Yes")</f>
        <v>No</v>
      </c>
      <c r="S433" t="str">
        <f>IF(Table14[[#This Row],[Calculated_SLA]]=Table14[[#This Row],[SLA_Met]],"Match","Mismatch")</f>
        <v>Match</v>
      </c>
      <c r="T433">
        <f>IF(Table14[[#This Row],[Calculated_SLA]]="Yes",1,0)</f>
        <v>0</v>
      </c>
      <c r="U433" t="str">
        <f>IF(COUNTIFS(Reference_data!A:A,Table14[[#This Row],[Category]],Reference_data!B:B,Table14[[#This Row],[Subcategory]])&gt;0,"Valid","Invalid")</f>
        <v>Valid</v>
      </c>
    </row>
    <row r="434" spans="1:21">
      <c r="A434" t="s">
        <v>1361</v>
      </c>
      <c r="B434" t="s">
        <v>106</v>
      </c>
      <c r="C434" s="31" t="s">
        <v>2011</v>
      </c>
      <c r="D434" s="32" t="s">
        <v>2398</v>
      </c>
      <c r="E434" t="s">
        <v>78</v>
      </c>
      <c r="F434" t="s">
        <v>191</v>
      </c>
      <c r="G434" t="s">
        <v>46</v>
      </c>
      <c r="H434" t="s">
        <v>55</v>
      </c>
      <c r="I434" t="s">
        <v>38</v>
      </c>
      <c r="J434">
        <v>11.2</v>
      </c>
      <c r="K434">
        <v>8</v>
      </c>
      <c r="L434" t="s">
        <v>27</v>
      </c>
      <c r="M434">
        <v>1</v>
      </c>
      <c r="N434" t="s">
        <v>27</v>
      </c>
      <c r="O434" t="s">
        <v>28</v>
      </c>
      <c r="P434" t="s">
        <v>57</v>
      </c>
      <c r="Q434" t="s">
        <v>58</v>
      </c>
      <c r="R434" t="str">
        <f>IF(Table14[[#This Row],[Resolution_Time]]&gt;Table14[[#This Row],[SLA_Target]],"No", "Yes")</f>
        <v>No</v>
      </c>
      <c r="S434" t="str">
        <f>IF(Table14[[#This Row],[Calculated_SLA]]=Table14[[#This Row],[SLA_Met]],"Match","Mismatch")</f>
        <v>Match</v>
      </c>
      <c r="T434">
        <f>IF(Table14[[#This Row],[Calculated_SLA]]="Yes",1,0)</f>
        <v>0</v>
      </c>
      <c r="U434" t="str">
        <f>IF(COUNTIFS(Reference_data!A:A,Table14[[#This Row],[Category]],Reference_data!B:B,Table14[[#This Row],[Subcategory]])&gt;0,"Valid","Invalid")</f>
        <v>Valid</v>
      </c>
    </row>
    <row r="435" spans="1:21">
      <c r="A435" t="s">
        <v>1364</v>
      </c>
      <c r="B435" t="s">
        <v>106</v>
      </c>
      <c r="C435" s="31" t="s">
        <v>2012</v>
      </c>
      <c r="D435" s="32" t="s">
        <v>1746</v>
      </c>
      <c r="E435" t="s">
        <v>78</v>
      </c>
      <c r="F435" t="s">
        <v>191</v>
      </c>
      <c r="G435" t="s">
        <v>46</v>
      </c>
      <c r="H435" t="s">
        <v>86</v>
      </c>
      <c r="I435" t="s">
        <v>38</v>
      </c>
      <c r="J435">
        <v>21.6</v>
      </c>
      <c r="K435">
        <v>8</v>
      </c>
      <c r="L435" t="s">
        <v>27</v>
      </c>
      <c r="M435">
        <v>2</v>
      </c>
      <c r="N435" t="s">
        <v>26</v>
      </c>
      <c r="O435" t="s">
        <v>28</v>
      </c>
      <c r="P435" t="s">
        <v>1670</v>
      </c>
      <c r="Q435" t="s">
        <v>101</v>
      </c>
      <c r="R435" t="str">
        <f>IF(Table14[[#This Row],[Resolution_Time]]&gt;Table14[[#This Row],[SLA_Target]],"No", "Yes")</f>
        <v>No</v>
      </c>
      <c r="S435" t="str">
        <f>IF(Table14[[#This Row],[Calculated_SLA]]=Table14[[#This Row],[SLA_Met]],"Match","Mismatch")</f>
        <v>Match</v>
      </c>
      <c r="T435">
        <f>IF(Table14[[#This Row],[Calculated_SLA]]="Yes",1,0)</f>
        <v>0</v>
      </c>
      <c r="U435" t="str">
        <f>IF(COUNTIFS(Reference_data!A:A,Table14[[#This Row],[Category]],Reference_data!B:B,Table14[[#This Row],[Subcategory]])&gt;0,"Valid","Invalid")</f>
        <v>Valid</v>
      </c>
    </row>
    <row r="436" spans="1:21">
      <c r="A436" t="s">
        <v>1367</v>
      </c>
      <c r="B436" t="s">
        <v>135</v>
      </c>
      <c r="C436" s="31" t="s">
        <v>2013</v>
      </c>
      <c r="D436" s="32" t="s">
        <v>2399</v>
      </c>
      <c r="E436" t="s">
        <v>21</v>
      </c>
      <c r="F436" t="s">
        <v>69</v>
      </c>
      <c r="G436" t="s">
        <v>46</v>
      </c>
      <c r="H436" t="s">
        <v>64</v>
      </c>
      <c r="I436" t="s">
        <v>25</v>
      </c>
      <c r="J436">
        <v>8.5</v>
      </c>
      <c r="K436">
        <v>8</v>
      </c>
      <c r="L436" t="s">
        <v>27</v>
      </c>
      <c r="M436">
        <v>3</v>
      </c>
      <c r="N436" t="s">
        <v>27</v>
      </c>
      <c r="O436" t="s">
        <v>28</v>
      </c>
      <c r="P436" t="s">
        <v>57</v>
      </c>
      <c r="Q436" t="s">
        <v>30</v>
      </c>
      <c r="R436" t="str">
        <f>IF(Table14[[#This Row],[Resolution_Time]]&gt;Table14[[#This Row],[SLA_Target]],"No", "Yes")</f>
        <v>No</v>
      </c>
      <c r="S436" t="str">
        <f>IF(Table14[[#This Row],[Calculated_SLA]]=Table14[[#This Row],[SLA_Met]],"Match","Mismatch")</f>
        <v>Match</v>
      </c>
      <c r="T436">
        <f>IF(Table14[[#This Row],[Calculated_SLA]]="Yes",1,0)</f>
        <v>0</v>
      </c>
      <c r="U436" t="str">
        <f>IF(COUNTIFS(Reference_data!A:A,Table14[[#This Row],[Category]],Reference_data!B:B,Table14[[#This Row],[Subcategory]])&gt;0,"Valid","Invalid")</f>
        <v>Valid</v>
      </c>
    </row>
    <row r="437" spans="1:21">
      <c r="A437" t="s">
        <v>1370</v>
      </c>
      <c r="B437" t="s">
        <v>50</v>
      </c>
      <c r="C437" s="31" t="s">
        <v>2014</v>
      </c>
      <c r="D437" s="32" t="s">
        <v>2400</v>
      </c>
      <c r="E437" t="s">
        <v>78</v>
      </c>
      <c r="F437" t="s">
        <v>191</v>
      </c>
      <c r="G437" t="s">
        <v>23</v>
      </c>
      <c r="H437" t="s">
        <v>70</v>
      </c>
      <c r="I437" t="s">
        <v>38</v>
      </c>
      <c r="J437">
        <v>11.8</v>
      </c>
      <c r="K437">
        <v>24</v>
      </c>
      <c r="L437" t="s">
        <v>26</v>
      </c>
      <c r="M437">
        <v>4</v>
      </c>
      <c r="N437" t="s">
        <v>27</v>
      </c>
      <c r="O437" t="s">
        <v>28</v>
      </c>
      <c r="P437" t="s">
        <v>29</v>
      </c>
      <c r="Q437" t="s">
        <v>58</v>
      </c>
      <c r="R437" t="str">
        <f>IF(Table14[[#This Row],[Resolution_Time]]&gt;Table14[[#This Row],[SLA_Target]],"No", "Yes")</f>
        <v>Yes</v>
      </c>
      <c r="S437" t="str">
        <f>IF(Table14[[#This Row],[Calculated_SLA]]=Table14[[#This Row],[SLA_Met]],"Match","Mismatch")</f>
        <v>Match</v>
      </c>
      <c r="T437">
        <f>IF(Table14[[#This Row],[Calculated_SLA]]="Yes",1,0)</f>
        <v>1</v>
      </c>
      <c r="U437" t="str">
        <f>IF(COUNTIFS(Reference_data!A:A,Table14[[#This Row],[Category]],Reference_data!B:B,Table14[[#This Row],[Subcategory]])&gt;0,"Valid","Invalid")</f>
        <v>Valid</v>
      </c>
    </row>
    <row r="438" spans="1:21">
      <c r="A438" t="s">
        <v>1373</v>
      </c>
      <c r="B438" t="s">
        <v>75</v>
      </c>
      <c r="C438" s="31" t="s">
        <v>2015</v>
      </c>
      <c r="D438" s="32" t="s">
        <v>2401</v>
      </c>
      <c r="E438" t="s">
        <v>78</v>
      </c>
      <c r="F438" t="s">
        <v>79</v>
      </c>
      <c r="G438" t="s">
        <v>23</v>
      </c>
      <c r="H438" t="s">
        <v>37</v>
      </c>
      <c r="I438" t="s">
        <v>80</v>
      </c>
      <c r="J438">
        <v>10.3</v>
      </c>
      <c r="K438">
        <v>24</v>
      </c>
      <c r="L438" t="s">
        <v>26</v>
      </c>
      <c r="M438">
        <v>5</v>
      </c>
      <c r="N438" t="s">
        <v>27</v>
      </c>
      <c r="O438" t="s">
        <v>28</v>
      </c>
      <c r="P438" t="s">
        <v>29</v>
      </c>
      <c r="Q438" t="s">
        <v>101</v>
      </c>
      <c r="R438" t="str">
        <f>IF(Table14[[#This Row],[Resolution_Time]]&gt;Table14[[#This Row],[SLA_Target]],"No", "Yes")</f>
        <v>Yes</v>
      </c>
      <c r="S438" t="str">
        <f>IF(Table14[[#This Row],[Calculated_SLA]]=Table14[[#This Row],[SLA_Met]],"Match","Mismatch")</f>
        <v>Match</v>
      </c>
      <c r="T438">
        <f>IF(Table14[[#This Row],[Calculated_SLA]]="Yes",1,0)</f>
        <v>1</v>
      </c>
      <c r="U438" t="str">
        <f>IF(COUNTIFS(Reference_data!A:A,Table14[[#This Row],[Category]],Reference_data!B:B,Table14[[#This Row],[Subcategory]])&gt;0,"Valid","Invalid")</f>
        <v>Valid</v>
      </c>
    </row>
    <row r="439" spans="1:21">
      <c r="A439" t="s">
        <v>1376</v>
      </c>
      <c r="B439" t="s">
        <v>50</v>
      </c>
      <c r="C439" s="31" t="s">
        <v>2016</v>
      </c>
      <c r="D439" s="32" t="s">
        <v>2402</v>
      </c>
      <c r="E439" t="s">
        <v>35</v>
      </c>
      <c r="F439" t="s">
        <v>36</v>
      </c>
      <c r="G439" t="s">
        <v>46</v>
      </c>
      <c r="H439" t="s">
        <v>91</v>
      </c>
      <c r="I439" t="s">
        <v>38</v>
      </c>
      <c r="J439">
        <v>6.8</v>
      </c>
      <c r="K439">
        <v>8</v>
      </c>
      <c r="L439" t="s">
        <v>26</v>
      </c>
      <c r="M439">
        <v>4</v>
      </c>
      <c r="N439" t="s">
        <v>27</v>
      </c>
      <c r="O439" t="s">
        <v>28</v>
      </c>
      <c r="P439" t="s">
        <v>29</v>
      </c>
      <c r="Q439" t="s">
        <v>39</v>
      </c>
      <c r="R439" t="str">
        <f>IF(Table14[[#This Row],[Resolution_Time]]&gt;Table14[[#This Row],[SLA_Target]],"No", "Yes")</f>
        <v>Yes</v>
      </c>
      <c r="S439" t="str">
        <f>IF(Table14[[#This Row],[Calculated_SLA]]=Table14[[#This Row],[SLA_Met]],"Match","Mismatch")</f>
        <v>Match</v>
      </c>
      <c r="T439">
        <f>IF(Table14[[#This Row],[Calculated_SLA]]="Yes",1,0)</f>
        <v>1</v>
      </c>
      <c r="U439" t="str">
        <f>IF(COUNTIFS(Reference_data!A:A,Table14[[#This Row],[Category]],Reference_data!B:B,Table14[[#This Row],[Subcategory]])&gt;0,"Valid","Invalid")</f>
        <v>Valid</v>
      </c>
    </row>
    <row r="440" spans="1:21">
      <c r="A440" t="s">
        <v>1379</v>
      </c>
      <c r="B440" t="s">
        <v>32</v>
      </c>
      <c r="C440" s="31" t="s">
        <v>2017</v>
      </c>
      <c r="D440" s="32" t="s">
        <v>2403</v>
      </c>
      <c r="E440" t="s">
        <v>21</v>
      </c>
      <c r="F440" t="s">
        <v>69</v>
      </c>
      <c r="G440" t="s">
        <v>23</v>
      </c>
      <c r="H440" t="s">
        <v>138</v>
      </c>
      <c r="I440" t="s">
        <v>25</v>
      </c>
      <c r="J440">
        <v>6.8</v>
      </c>
      <c r="K440">
        <v>24</v>
      </c>
      <c r="L440" t="s">
        <v>26</v>
      </c>
      <c r="M440">
        <v>4</v>
      </c>
      <c r="N440" t="s">
        <v>27</v>
      </c>
      <c r="O440" t="s">
        <v>28</v>
      </c>
      <c r="P440" t="s">
        <v>29</v>
      </c>
      <c r="Q440" t="s">
        <v>58</v>
      </c>
      <c r="R440" t="str">
        <f>IF(Table14[[#This Row],[Resolution_Time]]&gt;Table14[[#This Row],[SLA_Target]],"No", "Yes")</f>
        <v>Yes</v>
      </c>
      <c r="S440" t="str">
        <f>IF(Table14[[#This Row],[Calculated_SLA]]=Table14[[#This Row],[SLA_Met]],"Match","Mismatch")</f>
        <v>Match</v>
      </c>
      <c r="T440">
        <f>IF(Table14[[#This Row],[Calculated_SLA]]="Yes",1,0)</f>
        <v>1</v>
      </c>
      <c r="U440" t="str">
        <f>IF(COUNTIFS(Reference_data!A:A,Table14[[#This Row],[Category]],Reference_data!B:B,Table14[[#This Row],[Subcategory]])&gt;0,"Valid","Invalid")</f>
        <v>Valid</v>
      </c>
    </row>
    <row r="441" spans="1:21">
      <c r="A441" t="s">
        <v>1382</v>
      </c>
      <c r="B441" t="s">
        <v>32</v>
      </c>
      <c r="C441" s="31" t="s">
        <v>2018</v>
      </c>
      <c r="D441" s="32" t="s">
        <v>2404</v>
      </c>
      <c r="E441" t="s">
        <v>21</v>
      </c>
      <c r="F441" t="s">
        <v>63</v>
      </c>
      <c r="G441" t="s">
        <v>46</v>
      </c>
      <c r="H441" t="s">
        <v>55</v>
      </c>
      <c r="I441" t="s">
        <v>25</v>
      </c>
      <c r="J441">
        <v>11.2</v>
      </c>
      <c r="K441">
        <v>8</v>
      </c>
      <c r="L441" t="s">
        <v>27</v>
      </c>
      <c r="M441">
        <v>2</v>
      </c>
      <c r="N441" t="s">
        <v>26</v>
      </c>
      <c r="O441" t="s">
        <v>28</v>
      </c>
      <c r="P441" t="s">
        <v>57</v>
      </c>
      <c r="Q441" t="s">
        <v>101</v>
      </c>
      <c r="R441" t="str">
        <f>IF(Table14[[#This Row],[Resolution_Time]]&gt;Table14[[#This Row],[SLA_Target]],"No", "Yes")</f>
        <v>No</v>
      </c>
      <c r="S441" t="str">
        <f>IF(Table14[[#This Row],[Calculated_SLA]]=Table14[[#This Row],[SLA_Met]],"Match","Mismatch")</f>
        <v>Match</v>
      </c>
      <c r="T441">
        <f>IF(Table14[[#This Row],[Calculated_SLA]]="Yes",1,0)</f>
        <v>0</v>
      </c>
      <c r="U441" t="str">
        <f>IF(COUNTIFS(Reference_data!A:A,Table14[[#This Row],[Category]],Reference_data!B:B,Table14[[#This Row],[Subcategory]])&gt;0,"Valid","Invalid")</f>
        <v>Valid</v>
      </c>
    </row>
    <row r="442" spans="1:21">
      <c r="A442" t="s">
        <v>1385</v>
      </c>
      <c r="B442" t="s">
        <v>50</v>
      </c>
      <c r="C442" s="31" t="s">
        <v>2019</v>
      </c>
      <c r="D442" s="32" t="s">
        <v>1949</v>
      </c>
      <c r="E442" t="s">
        <v>84</v>
      </c>
      <c r="F442" t="s">
        <v>85</v>
      </c>
      <c r="G442" t="s">
        <v>54</v>
      </c>
      <c r="H442" t="s">
        <v>37</v>
      </c>
      <c r="I442" t="s">
        <v>87</v>
      </c>
      <c r="J442">
        <v>6.6</v>
      </c>
      <c r="K442">
        <v>4</v>
      </c>
      <c r="L442" t="s">
        <v>27</v>
      </c>
      <c r="M442">
        <v>1</v>
      </c>
      <c r="N442" t="s">
        <v>26</v>
      </c>
      <c r="O442" t="s">
        <v>28</v>
      </c>
      <c r="P442" t="s">
        <v>57</v>
      </c>
      <c r="Q442" t="s">
        <v>39</v>
      </c>
      <c r="R442" t="str">
        <f>IF(Table14[[#This Row],[Resolution_Time]]&gt;Table14[[#This Row],[SLA_Target]],"No", "Yes")</f>
        <v>No</v>
      </c>
      <c r="S442" t="str">
        <f>IF(Table14[[#This Row],[Calculated_SLA]]=Table14[[#This Row],[SLA_Met]],"Match","Mismatch")</f>
        <v>Match</v>
      </c>
      <c r="T442">
        <f>IF(Table14[[#This Row],[Calculated_SLA]]="Yes",1,0)</f>
        <v>0</v>
      </c>
      <c r="U442" t="str">
        <f>IF(COUNTIFS(Reference_data!A:A,Table14[[#This Row],[Category]],Reference_data!B:B,Table14[[#This Row],[Subcategory]])&gt;0,"Valid","Invalid")</f>
        <v>Valid</v>
      </c>
    </row>
    <row r="443" spans="1:21">
      <c r="A443" t="s">
        <v>1388</v>
      </c>
      <c r="B443" t="s">
        <v>32</v>
      </c>
      <c r="C443" s="31" t="s">
        <v>2020</v>
      </c>
      <c r="D443" s="32" t="s">
        <v>2405</v>
      </c>
      <c r="E443" t="s">
        <v>44</v>
      </c>
      <c r="F443" t="s">
        <v>109</v>
      </c>
      <c r="G443" t="s">
        <v>54</v>
      </c>
      <c r="H443" t="s">
        <v>70</v>
      </c>
      <c r="I443" t="s">
        <v>48</v>
      </c>
      <c r="J443">
        <v>4.7</v>
      </c>
      <c r="K443">
        <v>4</v>
      </c>
      <c r="L443" t="s">
        <v>27</v>
      </c>
      <c r="M443">
        <v>3</v>
      </c>
      <c r="N443" t="s">
        <v>26</v>
      </c>
      <c r="O443" t="s">
        <v>28</v>
      </c>
      <c r="P443" t="s">
        <v>57</v>
      </c>
      <c r="Q443" t="s">
        <v>39</v>
      </c>
      <c r="R443" t="str">
        <f>IF(Table14[[#This Row],[Resolution_Time]]&gt;Table14[[#This Row],[SLA_Target]],"No", "Yes")</f>
        <v>No</v>
      </c>
      <c r="S443" t="str">
        <f>IF(Table14[[#This Row],[Calculated_SLA]]=Table14[[#This Row],[SLA_Met]],"Match","Mismatch")</f>
        <v>Match</v>
      </c>
      <c r="T443">
        <f>IF(Table14[[#This Row],[Calculated_SLA]]="Yes",1,0)</f>
        <v>0</v>
      </c>
      <c r="U443" t="str">
        <f>IF(COUNTIFS(Reference_data!A:A,Table14[[#This Row],[Category]],Reference_data!B:B,Table14[[#This Row],[Subcategory]])&gt;0,"Valid","Invalid")</f>
        <v>Valid</v>
      </c>
    </row>
    <row r="444" spans="1:21">
      <c r="A444" t="s">
        <v>1391</v>
      </c>
      <c r="B444" t="s">
        <v>32</v>
      </c>
      <c r="C444" s="31" t="s">
        <v>2021</v>
      </c>
      <c r="D444" s="32" t="s">
        <v>2406</v>
      </c>
      <c r="E444" t="s">
        <v>21</v>
      </c>
      <c r="F444" t="s">
        <v>63</v>
      </c>
      <c r="G444" t="s">
        <v>46</v>
      </c>
      <c r="H444" t="s">
        <v>91</v>
      </c>
      <c r="I444" t="s">
        <v>25</v>
      </c>
      <c r="J444">
        <v>11.1</v>
      </c>
      <c r="K444">
        <v>8</v>
      </c>
      <c r="L444" t="s">
        <v>27</v>
      </c>
      <c r="M444">
        <v>2</v>
      </c>
      <c r="N444" t="s">
        <v>27</v>
      </c>
      <c r="O444" t="s">
        <v>28</v>
      </c>
      <c r="P444" t="s">
        <v>57</v>
      </c>
      <c r="Q444" t="s">
        <v>39</v>
      </c>
      <c r="R444" t="str">
        <f>IF(Table14[[#This Row],[Resolution_Time]]&gt;Table14[[#This Row],[SLA_Target]],"No", "Yes")</f>
        <v>No</v>
      </c>
      <c r="S444" t="str">
        <f>IF(Table14[[#This Row],[Calculated_SLA]]=Table14[[#This Row],[SLA_Met]],"Match","Mismatch")</f>
        <v>Match</v>
      </c>
      <c r="T444">
        <f>IF(Table14[[#This Row],[Calculated_SLA]]="Yes",1,0)</f>
        <v>0</v>
      </c>
      <c r="U444" t="str">
        <f>IF(COUNTIFS(Reference_data!A:A,Table14[[#This Row],[Category]],Reference_data!B:B,Table14[[#This Row],[Subcategory]])&gt;0,"Valid","Invalid")</f>
        <v>Valid</v>
      </c>
    </row>
    <row r="445" spans="1:21">
      <c r="A445" t="s">
        <v>1394</v>
      </c>
      <c r="B445" t="s">
        <v>60</v>
      </c>
      <c r="C445" s="31" t="s">
        <v>2022</v>
      </c>
      <c r="D445" s="32" t="s">
        <v>1858</v>
      </c>
      <c r="E445" t="s">
        <v>78</v>
      </c>
      <c r="F445" t="s">
        <v>166</v>
      </c>
      <c r="G445" t="s">
        <v>46</v>
      </c>
      <c r="H445" t="s">
        <v>86</v>
      </c>
      <c r="I445" t="s">
        <v>80</v>
      </c>
      <c r="J445">
        <v>22.3</v>
      </c>
      <c r="K445">
        <v>8</v>
      </c>
      <c r="L445" t="s">
        <v>27</v>
      </c>
      <c r="M445">
        <v>1</v>
      </c>
      <c r="N445" t="s">
        <v>26</v>
      </c>
      <c r="O445" t="s">
        <v>28</v>
      </c>
      <c r="P445" t="s">
        <v>57</v>
      </c>
      <c r="Q445" t="s">
        <v>58</v>
      </c>
      <c r="R445" t="str">
        <f>IF(Table14[[#This Row],[Resolution_Time]]&gt;Table14[[#This Row],[SLA_Target]],"No", "Yes")</f>
        <v>No</v>
      </c>
      <c r="S445" t="str">
        <f>IF(Table14[[#This Row],[Calculated_SLA]]=Table14[[#This Row],[SLA_Met]],"Match","Mismatch")</f>
        <v>Match</v>
      </c>
      <c r="T445">
        <f>IF(Table14[[#This Row],[Calculated_SLA]]="Yes",1,0)</f>
        <v>0</v>
      </c>
      <c r="U445" t="str">
        <f>IF(COUNTIFS(Reference_data!A:A,Table14[[#This Row],[Category]],Reference_data!B:B,Table14[[#This Row],[Subcategory]])&gt;0,"Valid","Invalid")</f>
        <v>Valid</v>
      </c>
    </row>
    <row r="446" spans="1:21">
      <c r="A446" t="s">
        <v>1397</v>
      </c>
      <c r="B446" t="s">
        <v>135</v>
      </c>
      <c r="C446" s="31" t="s">
        <v>1883</v>
      </c>
      <c r="D446" s="32" t="s">
        <v>2407</v>
      </c>
      <c r="E446" t="s">
        <v>78</v>
      </c>
      <c r="F446" t="s">
        <v>191</v>
      </c>
      <c r="G446" t="s">
        <v>46</v>
      </c>
      <c r="H446" t="s">
        <v>234</v>
      </c>
      <c r="I446" t="s">
        <v>38</v>
      </c>
      <c r="J446">
        <v>9.3000000000000007</v>
      </c>
      <c r="K446">
        <v>8</v>
      </c>
      <c r="L446" t="s">
        <v>27</v>
      </c>
      <c r="M446">
        <v>1</v>
      </c>
      <c r="N446" t="s">
        <v>27</v>
      </c>
      <c r="O446" t="s">
        <v>28</v>
      </c>
      <c r="P446" t="s">
        <v>57</v>
      </c>
      <c r="Q446" t="s">
        <v>39</v>
      </c>
      <c r="R446" t="str">
        <f>IF(Table14[[#This Row],[Resolution_Time]]&gt;Table14[[#This Row],[SLA_Target]],"No", "Yes")</f>
        <v>No</v>
      </c>
      <c r="S446" t="str">
        <f>IF(Table14[[#This Row],[Calculated_SLA]]=Table14[[#This Row],[SLA_Met]],"Match","Mismatch")</f>
        <v>Match</v>
      </c>
      <c r="T446">
        <f>IF(Table14[[#This Row],[Calculated_SLA]]="Yes",1,0)</f>
        <v>0</v>
      </c>
      <c r="U446" t="str">
        <f>IF(COUNTIFS(Reference_data!A:A,Table14[[#This Row],[Category]],Reference_data!B:B,Table14[[#This Row],[Subcategory]])&gt;0,"Valid","Invalid")</f>
        <v>Valid</v>
      </c>
    </row>
    <row r="447" spans="1:21">
      <c r="A447" t="s">
        <v>1400</v>
      </c>
      <c r="B447" t="s">
        <v>32</v>
      </c>
      <c r="C447" s="31" t="s">
        <v>1920</v>
      </c>
      <c r="D447" s="32" t="s">
        <v>2408</v>
      </c>
      <c r="E447" t="s">
        <v>35</v>
      </c>
      <c r="F447" t="s">
        <v>127</v>
      </c>
      <c r="G447" t="s">
        <v>46</v>
      </c>
      <c r="H447" t="s">
        <v>24</v>
      </c>
      <c r="I447" t="s">
        <v>56</v>
      </c>
      <c r="J447">
        <v>12.3</v>
      </c>
      <c r="K447">
        <v>8</v>
      </c>
      <c r="L447" t="s">
        <v>27</v>
      </c>
      <c r="M447">
        <v>3</v>
      </c>
      <c r="N447" t="s">
        <v>27</v>
      </c>
      <c r="O447" t="s">
        <v>28</v>
      </c>
      <c r="P447" t="s">
        <v>57</v>
      </c>
      <c r="Q447" t="s">
        <v>58</v>
      </c>
      <c r="R447" t="str">
        <f>IF(Table14[[#This Row],[Resolution_Time]]&gt;Table14[[#This Row],[SLA_Target]],"No", "Yes")</f>
        <v>No</v>
      </c>
      <c r="S447" t="str">
        <f>IF(Table14[[#This Row],[Calculated_SLA]]=Table14[[#This Row],[SLA_Met]],"Match","Mismatch")</f>
        <v>Match</v>
      </c>
      <c r="T447">
        <f>IF(Table14[[#This Row],[Calculated_SLA]]="Yes",1,0)</f>
        <v>0</v>
      </c>
      <c r="U447" t="str">
        <f>IF(COUNTIFS(Reference_data!A:A,Table14[[#This Row],[Category]],Reference_data!B:B,Table14[[#This Row],[Subcategory]])&gt;0,"Valid","Invalid")</f>
        <v>Valid</v>
      </c>
    </row>
    <row r="448" spans="1:21">
      <c r="A448" t="s">
        <v>1403</v>
      </c>
      <c r="B448" t="s">
        <v>75</v>
      </c>
      <c r="C448" s="31" t="s">
        <v>1775</v>
      </c>
      <c r="D448" s="32" t="s">
        <v>2409</v>
      </c>
      <c r="E448" t="s">
        <v>78</v>
      </c>
      <c r="F448" t="s">
        <v>166</v>
      </c>
      <c r="G448" t="s">
        <v>54</v>
      </c>
      <c r="H448" t="s">
        <v>64</v>
      </c>
      <c r="I448" t="s">
        <v>80</v>
      </c>
      <c r="J448">
        <v>12.7</v>
      </c>
      <c r="K448">
        <v>4</v>
      </c>
      <c r="L448" t="s">
        <v>27</v>
      </c>
      <c r="M448">
        <v>2</v>
      </c>
      <c r="N448" t="s">
        <v>27</v>
      </c>
      <c r="O448" t="s">
        <v>28</v>
      </c>
      <c r="P448" t="s">
        <v>1670</v>
      </c>
      <c r="Q448" t="s">
        <v>101</v>
      </c>
      <c r="R448" t="str">
        <f>IF(Table14[[#This Row],[Resolution_Time]]&gt;Table14[[#This Row],[SLA_Target]],"No", "Yes")</f>
        <v>No</v>
      </c>
      <c r="S448" t="str">
        <f>IF(Table14[[#This Row],[Calculated_SLA]]=Table14[[#This Row],[SLA_Met]],"Match","Mismatch")</f>
        <v>Match</v>
      </c>
      <c r="T448">
        <f>IF(Table14[[#This Row],[Calculated_SLA]]="Yes",1,0)</f>
        <v>0</v>
      </c>
      <c r="U448" t="str">
        <f>IF(COUNTIFS(Reference_data!A:A,Table14[[#This Row],[Category]],Reference_data!B:B,Table14[[#This Row],[Subcategory]])&gt;0,"Valid","Invalid")</f>
        <v>Valid</v>
      </c>
    </row>
    <row r="449" spans="1:21">
      <c r="A449" t="s">
        <v>1406</v>
      </c>
      <c r="B449" t="s">
        <v>75</v>
      </c>
      <c r="C449" s="31" t="s">
        <v>2023</v>
      </c>
      <c r="D449" s="32" t="s">
        <v>2410</v>
      </c>
      <c r="E449" t="s">
        <v>78</v>
      </c>
      <c r="F449" t="s">
        <v>79</v>
      </c>
      <c r="G449" t="s">
        <v>54</v>
      </c>
      <c r="H449" t="s">
        <v>91</v>
      </c>
      <c r="I449" t="s">
        <v>80</v>
      </c>
      <c r="J449">
        <v>20.399999999999999</v>
      </c>
      <c r="K449">
        <v>4</v>
      </c>
      <c r="L449" t="s">
        <v>27</v>
      </c>
      <c r="M449">
        <v>1</v>
      </c>
      <c r="N449" t="s">
        <v>26</v>
      </c>
      <c r="O449" t="s">
        <v>28</v>
      </c>
      <c r="P449" t="s">
        <v>57</v>
      </c>
      <c r="Q449" t="s">
        <v>39</v>
      </c>
      <c r="R449" t="str">
        <f>IF(Table14[[#This Row],[Resolution_Time]]&gt;Table14[[#This Row],[SLA_Target]],"No", "Yes")</f>
        <v>No</v>
      </c>
      <c r="S449" t="str">
        <f>IF(Table14[[#This Row],[Calculated_SLA]]=Table14[[#This Row],[SLA_Met]],"Match","Mismatch")</f>
        <v>Match</v>
      </c>
      <c r="T449">
        <f>IF(Table14[[#This Row],[Calculated_SLA]]="Yes",1,0)</f>
        <v>0</v>
      </c>
      <c r="U449" t="str">
        <f>IF(COUNTIFS(Reference_data!A:A,Table14[[#This Row],[Category]],Reference_data!B:B,Table14[[#This Row],[Subcategory]])&gt;0,"Valid","Invalid")</f>
        <v>Valid</v>
      </c>
    </row>
    <row r="450" spans="1:21">
      <c r="A450" t="s">
        <v>1409</v>
      </c>
      <c r="B450" t="s">
        <v>66</v>
      </c>
      <c r="C450" s="31" t="s">
        <v>2024</v>
      </c>
      <c r="D450" s="32" t="s">
        <v>2411</v>
      </c>
      <c r="E450" t="s">
        <v>35</v>
      </c>
      <c r="F450" t="s">
        <v>53</v>
      </c>
      <c r="G450" t="s">
        <v>46</v>
      </c>
      <c r="H450" t="s">
        <v>70</v>
      </c>
      <c r="I450" t="s">
        <v>56</v>
      </c>
      <c r="J450">
        <v>8.6</v>
      </c>
      <c r="K450">
        <v>8</v>
      </c>
      <c r="L450" t="s">
        <v>27</v>
      </c>
      <c r="M450">
        <v>1</v>
      </c>
      <c r="N450" t="s">
        <v>27</v>
      </c>
      <c r="O450" t="s">
        <v>28</v>
      </c>
      <c r="P450" t="s">
        <v>57</v>
      </c>
      <c r="Q450" t="s">
        <v>30</v>
      </c>
      <c r="R450" t="str">
        <f>IF(Table14[[#This Row],[Resolution_Time]]&gt;Table14[[#This Row],[SLA_Target]],"No", "Yes")</f>
        <v>No</v>
      </c>
      <c r="S450" t="str">
        <f>IF(Table14[[#This Row],[Calculated_SLA]]=Table14[[#This Row],[SLA_Met]],"Match","Mismatch")</f>
        <v>Match</v>
      </c>
      <c r="T450">
        <f>IF(Table14[[#This Row],[Calculated_SLA]]="Yes",1,0)</f>
        <v>0</v>
      </c>
      <c r="U450" t="str">
        <f>IF(COUNTIFS(Reference_data!A:A,Table14[[#This Row],[Category]],Reference_data!B:B,Table14[[#This Row],[Subcategory]])&gt;0,"Valid","Invalid")</f>
        <v>Valid</v>
      </c>
    </row>
    <row r="451" spans="1:21">
      <c r="A451" t="s">
        <v>1412</v>
      </c>
      <c r="B451" t="s">
        <v>121</v>
      </c>
      <c r="C451" s="31" t="s">
        <v>1899</v>
      </c>
      <c r="D451" s="32" t="s">
        <v>2318</v>
      </c>
      <c r="E451" t="s">
        <v>21</v>
      </c>
      <c r="F451" t="s">
        <v>69</v>
      </c>
      <c r="G451" t="s">
        <v>46</v>
      </c>
      <c r="H451" t="s">
        <v>47</v>
      </c>
      <c r="I451" t="s">
        <v>25</v>
      </c>
      <c r="J451">
        <v>8.1999999999999993</v>
      </c>
      <c r="K451">
        <v>8</v>
      </c>
      <c r="L451" t="s">
        <v>27</v>
      </c>
      <c r="M451">
        <v>1</v>
      </c>
      <c r="N451" t="s">
        <v>27</v>
      </c>
      <c r="O451" t="s">
        <v>28</v>
      </c>
      <c r="P451" t="s">
        <v>57</v>
      </c>
      <c r="Q451" t="s">
        <v>101</v>
      </c>
      <c r="R451" t="str">
        <f>IF(Table14[[#This Row],[Resolution_Time]]&gt;Table14[[#This Row],[SLA_Target]],"No", "Yes")</f>
        <v>No</v>
      </c>
      <c r="S451" t="str">
        <f>IF(Table14[[#This Row],[Calculated_SLA]]=Table14[[#This Row],[SLA_Met]],"Match","Mismatch")</f>
        <v>Match</v>
      </c>
      <c r="T451">
        <f>IF(Table14[[#This Row],[Calculated_SLA]]="Yes",1,0)</f>
        <v>0</v>
      </c>
      <c r="U451" t="str">
        <f>IF(COUNTIFS(Reference_data!A:A,Table14[[#This Row],[Category]],Reference_data!B:B,Table14[[#This Row],[Subcategory]])&gt;0,"Valid","Invalid")</f>
        <v>Valid</v>
      </c>
    </row>
    <row r="452" spans="1:21">
      <c r="A452" t="s">
        <v>1414</v>
      </c>
      <c r="B452" t="s">
        <v>50</v>
      </c>
      <c r="C452" s="31" t="s">
        <v>2025</v>
      </c>
      <c r="D452" s="32" t="s">
        <v>2412</v>
      </c>
      <c r="E452" t="s">
        <v>35</v>
      </c>
      <c r="F452" t="s">
        <v>127</v>
      </c>
      <c r="G452" t="s">
        <v>23</v>
      </c>
      <c r="H452" t="s">
        <v>37</v>
      </c>
      <c r="I452" t="s">
        <v>56</v>
      </c>
      <c r="J452">
        <v>6.3</v>
      </c>
      <c r="K452">
        <v>24</v>
      </c>
      <c r="L452" t="s">
        <v>26</v>
      </c>
      <c r="M452">
        <v>5</v>
      </c>
      <c r="N452" t="s">
        <v>27</v>
      </c>
      <c r="O452" t="s">
        <v>28</v>
      </c>
      <c r="P452" t="s">
        <v>29</v>
      </c>
      <c r="Q452" t="s">
        <v>30</v>
      </c>
      <c r="R452" t="str">
        <f>IF(Table14[[#This Row],[Resolution_Time]]&gt;Table14[[#This Row],[SLA_Target]],"No", "Yes")</f>
        <v>Yes</v>
      </c>
      <c r="S452" t="str">
        <f>IF(Table14[[#This Row],[Calculated_SLA]]=Table14[[#This Row],[SLA_Met]],"Match","Mismatch")</f>
        <v>Match</v>
      </c>
      <c r="T452">
        <f>IF(Table14[[#This Row],[Calculated_SLA]]="Yes",1,0)</f>
        <v>1</v>
      </c>
      <c r="U452" t="str">
        <f>IF(COUNTIFS(Reference_data!A:A,Table14[[#This Row],[Category]],Reference_data!B:B,Table14[[#This Row],[Subcategory]])&gt;0,"Valid","Invalid")</f>
        <v>Valid</v>
      </c>
    </row>
    <row r="453" spans="1:21">
      <c r="A453" t="s">
        <v>1417</v>
      </c>
      <c r="B453" t="s">
        <v>50</v>
      </c>
      <c r="C453" s="31" t="s">
        <v>2026</v>
      </c>
      <c r="D453" s="32" t="s">
        <v>2413</v>
      </c>
      <c r="E453" t="s">
        <v>78</v>
      </c>
      <c r="F453" t="s">
        <v>191</v>
      </c>
      <c r="G453" t="s">
        <v>46</v>
      </c>
      <c r="H453" t="s">
        <v>24</v>
      </c>
      <c r="I453" t="s">
        <v>38</v>
      </c>
      <c r="J453">
        <v>20.100000000000001</v>
      </c>
      <c r="K453">
        <v>8</v>
      </c>
      <c r="L453" t="s">
        <v>27</v>
      </c>
      <c r="M453">
        <v>3</v>
      </c>
      <c r="N453" t="s">
        <v>27</v>
      </c>
      <c r="O453" t="s">
        <v>28</v>
      </c>
      <c r="P453" t="s">
        <v>1670</v>
      </c>
      <c r="Q453" t="s">
        <v>101</v>
      </c>
      <c r="R453" t="str">
        <f>IF(Table14[[#This Row],[Resolution_Time]]&gt;Table14[[#This Row],[SLA_Target]],"No", "Yes")</f>
        <v>No</v>
      </c>
      <c r="S453" t="str">
        <f>IF(Table14[[#This Row],[Calculated_SLA]]=Table14[[#This Row],[SLA_Met]],"Match","Mismatch")</f>
        <v>Match</v>
      </c>
      <c r="T453">
        <f>IF(Table14[[#This Row],[Calculated_SLA]]="Yes",1,0)</f>
        <v>0</v>
      </c>
      <c r="U453" t="str">
        <f>IF(COUNTIFS(Reference_data!A:A,Table14[[#This Row],[Category]],Reference_data!B:B,Table14[[#This Row],[Subcategory]])&gt;0,"Valid","Invalid")</f>
        <v>Valid</v>
      </c>
    </row>
    <row r="454" spans="1:21">
      <c r="A454" t="s">
        <v>1420</v>
      </c>
      <c r="B454" t="s">
        <v>50</v>
      </c>
      <c r="C454" s="31" t="s">
        <v>1866</v>
      </c>
      <c r="D454" s="32" t="s">
        <v>2090</v>
      </c>
      <c r="E454" t="s">
        <v>78</v>
      </c>
      <c r="F454" t="s">
        <v>79</v>
      </c>
      <c r="G454" t="s">
        <v>46</v>
      </c>
      <c r="H454" t="s">
        <v>64</v>
      </c>
      <c r="I454" t="s">
        <v>80</v>
      </c>
      <c r="J454">
        <v>7.1</v>
      </c>
      <c r="K454">
        <v>8</v>
      </c>
      <c r="L454" t="s">
        <v>26</v>
      </c>
      <c r="M454">
        <v>5</v>
      </c>
      <c r="N454" t="s">
        <v>27</v>
      </c>
      <c r="O454" t="s">
        <v>28</v>
      </c>
      <c r="P454" t="s">
        <v>29</v>
      </c>
      <c r="Q454" t="s">
        <v>101</v>
      </c>
      <c r="R454" t="str">
        <f>IF(Table14[[#This Row],[Resolution_Time]]&gt;Table14[[#This Row],[SLA_Target]],"No", "Yes")</f>
        <v>Yes</v>
      </c>
      <c r="S454" t="str">
        <f>IF(Table14[[#This Row],[Calculated_SLA]]=Table14[[#This Row],[SLA_Met]],"Match","Mismatch")</f>
        <v>Match</v>
      </c>
      <c r="T454">
        <f>IF(Table14[[#This Row],[Calculated_SLA]]="Yes",1,0)</f>
        <v>1</v>
      </c>
      <c r="U454" t="str">
        <f>IF(COUNTIFS(Reference_data!A:A,Table14[[#This Row],[Category]],Reference_data!B:B,Table14[[#This Row],[Subcategory]])&gt;0,"Valid","Invalid")</f>
        <v>Valid</v>
      </c>
    </row>
    <row r="455" spans="1:21">
      <c r="A455" t="s">
        <v>1423</v>
      </c>
      <c r="B455" t="s">
        <v>32</v>
      </c>
      <c r="C455" s="31" t="s">
        <v>1863</v>
      </c>
      <c r="D455" s="32" t="s">
        <v>2392</v>
      </c>
      <c r="E455" t="s">
        <v>78</v>
      </c>
      <c r="F455" t="s">
        <v>191</v>
      </c>
      <c r="G455" t="s">
        <v>46</v>
      </c>
      <c r="H455" t="s">
        <v>55</v>
      </c>
      <c r="I455" t="s">
        <v>38</v>
      </c>
      <c r="J455">
        <v>12.6</v>
      </c>
      <c r="K455">
        <v>8</v>
      </c>
      <c r="L455" t="s">
        <v>27</v>
      </c>
      <c r="M455">
        <v>1</v>
      </c>
      <c r="N455" t="s">
        <v>27</v>
      </c>
      <c r="O455" t="s">
        <v>28</v>
      </c>
      <c r="P455" t="s">
        <v>1670</v>
      </c>
      <c r="Q455" t="s">
        <v>101</v>
      </c>
      <c r="R455" t="str">
        <f>IF(Table14[[#This Row],[Resolution_Time]]&gt;Table14[[#This Row],[SLA_Target]],"No", "Yes")</f>
        <v>No</v>
      </c>
      <c r="S455" t="str">
        <f>IF(Table14[[#This Row],[Calculated_SLA]]=Table14[[#This Row],[SLA_Met]],"Match","Mismatch")</f>
        <v>Match</v>
      </c>
      <c r="T455">
        <f>IF(Table14[[#This Row],[Calculated_SLA]]="Yes",1,0)</f>
        <v>0</v>
      </c>
      <c r="U455" t="str">
        <f>IF(COUNTIFS(Reference_data!A:A,Table14[[#This Row],[Category]],Reference_data!B:B,Table14[[#This Row],[Subcategory]])&gt;0,"Valid","Invalid")</f>
        <v>Valid</v>
      </c>
    </row>
    <row r="456" spans="1:21">
      <c r="A456" t="s">
        <v>1426</v>
      </c>
      <c r="B456" t="s">
        <v>135</v>
      </c>
      <c r="C456" s="31" t="s">
        <v>2027</v>
      </c>
      <c r="D456" s="32" t="s">
        <v>2169</v>
      </c>
      <c r="E456" t="s">
        <v>21</v>
      </c>
      <c r="F456" t="s">
        <v>69</v>
      </c>
      <c r="G456" t="s">
        <v>46</v>
      </c>
      <c r="H456" t="s">
        <v>91</v>
      </c>
      <c r="I456" t="s">
        <v>25</v>
      </c>
      <c r="J456">
        <v>14.1</v>
      </c>
      <c r="K456">
        <v>8</v>
      </c>
      <c r="L456" t="s">
        <v>27</v>
      </c>
      <c r="M456">
        <v>1</v>
      </c>
      <c r="N456" t="s">
        <v>27</v>
      </c>
      <c r="O456" t="s">
        <v>28</v>
      </c>
      <c r="P456" t="s">
        <v>1670</v>
      </c>
      <c r="Q456" t="s">
        <v>30</v>
      </c>
      <c r="R456" t="str">
        <f>IF(Table14[[#This Row],[Resolution_Time]]&gt;Table14[[#This Row],[SLA_Target]],"No", "Yes")</f>
        <v>No</v>
      </c>
      <c r="S456" t="str">
        <f>IF(Table14[[#This Row],[Calculated_SLA]]=Table14[[#This Row],[SLA_Met]],"Match","Mismatch")</f>
        <v>Match</v>
      </c>
      <c r="T456">
        <f>IF(Table14[[#This Row],[Calculated_SLA]]="Yes",1,0)</f>
        <v>0</v>
      </c>
      <c r="U456" t="str">
        <f>IF(COUNTIFS(Reference_data!A:A,Table14[[#This Row],[Category]],Reference_data!B:B,Table14[[#This Row],[Subcategory]])&gt;0,"Valid","Invalid")</f>
        <v>Valid</v>
      </c>
    </row>
    <row r="457" spans="1:21">
      <c r="A457" t="s">
        <v>1429</v>
      </c>
      <c r="B457" t="s">
        <v>135</v>
      </c>
      <c r="C457" s="31" t="s">
        <v>1913</v>
      </c>
      <c r="D457" s="32" t="s">
        <v>2414</v>
      </c>
      <c r="E457" t="s">
        <v>35</v>
      </c>
      <c r="F457" t="s">
        <v>53</v>
      </c>
      <c r="G457" t="s">
        <v>23</v>
      </c>
      <c r="H457" t="s">
        <v>47</v>
      </c>
      <c r="I457" t="s">
        <v>56</v>
      </c>
      <c r="J457">
        <v>7.3</v>
      </c>
      <c r="K457">
        <v>24</v>
      </c>
      <c r="L457" t="s">
        <v>26</v>
      </c>
      <c r="M457">
        <v>4</v>
      </c>
      <c r="N457" t="s">
        <v>27</v>
      </c>
      <c r="O457" t="s">
        <v>28</v>
      </c>
      <c r="P457" t="s">
        <v>29</v>
      </c>
      <c r="Q457" t="s">
        <v>58</v>
      </c>
      <c r="R457" t="str">
        <f>IF(Table14[[#This Row],[Resolution_Time]]&gt;Table14[[#This Row],[SLA_Target]],"No", "Yes")</f>
        <v>Yes</v>
      </c>
      <c r="S457" t="str">
        <f>IF(Table14[[#This Row],[Calculated_SLA]]=Table14[[#This Row],[SLA_Met]],"Match","Mismatch")</f>
        <v>Match</v>
      </c>
      <c r="T457">
        <f>IF(Table14[[#This Row],[Calculated_SLA]]="Yes",1,0)</f>
        <v>1</v>
      </c>
      <c r="U457" t="str">
        <f>IF(COUNTIFS(Reference_data!A:A,Table14[[#This Row],[Category]],Reference_data!B:B,Table14[[#This Row],[Subcategory]])&gt;0,"Valid","Invalid")</f>
        <v>Valid</v>
      </c>
    </row>
    <row r="458" spans="1:21">
      <c r="A458" t="s">
        <v>1432</v>
      </c>
      <c r="B458" t="s">
        <v>60</v>
      </c>
      <c r="C458" s="31" t="s">
        <v>2028</v>
      </c>
      <c r="D458" s="32" t="s">
        <v>2415</v>
      </c>
      <c r="E458" t="s">
        <v>78</v>
      </c>
      <c r="F458" t="s">
        <v>191</v>
      </c>
      <c r="G458" t="s">
        <v>54</v>
      </c>
      <c r="H458" t="s">
        <v>138</v>
      </c>
      <c r="I458" t="s">
        <v>38</v>
      </c>
      <c r="J458">
        <v>19.3</v>
      </c>
      <c r="K458">
        <v>4</v>
      </c>
      <c r="L458" t="s">
        <v>27</v>
      </c>
      <c r="M458">
        <v>3</v>
      </c>
      <c r="N458" t="s">
        <v>27</v>
      </c>
      <c r="O458" t="s">
        <v>28</v>
      </c>
      <c r="P458" t="s">
        <v>57</v>
      </c>
      <c r="Q458" t="s">
        <v>39</v>
      </c>
      <c r="R458" t="str">
        <f>IF(Table14[[#This Row],[Resolution_Time]]&gt;Table14[[#This Row],[SLA_Target]],"No", "Yes")</f>
        <v>No</v>
      </c>
      <c r="S458" t="str">
        <f>IF(Table14[[#This Row],[Calculated_SLA]]=Table14[[#This Row],[SLA_Met]],"Match","Mismatch")</f>
        <v>Match</v>
      </c>
      <c r="T458">
        <f>IF(Table14[[#This Row],[Calculated_SLA]]="Yes",1,0)</f>
        <v>0</v>
      </c>
      <c r="U458" t="str">
        <f>IF(COUNTIFS(Reference_data!A:A,Table14[[#This Row],[Category]],Reference_data!B:B,Table14[[#This Row],[Subcategory]])&gt;0,"Valid","Invalid")</f>
        <v>Valid</v>
      </c>
    </row>
    <row r="459" spans="1:21">
      <c r="A459" t="s">
        <v>1435</v>
      </c>
      <c r="B459" t="s">
        <v>60</v>
      </c>
      <c r="C459" s="31" t="s">
        <v>1780</v>
      </c>
      <c r="D459" s="32" t="s">
        <v>2416</v>
      </c>
      <c r="E459" t="s">
        <v>21</v>
      </c>
      <c r="F459" t="s">
        <v>63</v>
      </c>
      <c r="G459" t="s">
        <v>23</v>
      </c>
      <c r="H459" t="s">
        <v>47</v>
      </c>
      <c r="I459" t="s">
        <v>25</v>
      </c>
      <c r="J459">
        <v>9.9</v>
      </c>
      <c r="K459">
        <v>24</v>
      </c>
      <c r="L459" t="s">
        <v>27</v>
      </c>
      <c r="M459">
        <v>3</v>
      </c>
      <c r="N459" t="s">
        <v>26</v>
      </c>
      <c r="O459" t="s">
        <v>28</v>
      </c>
      <c r="P459" t="s">
        <v>1670</v>
      </c>
      <c r="Q459" t="s">
        <v>39</v>
      </c>
      <c r="R459" t="str">
        <f>IF(Table14[[#This Row],[Resolution_Time]]&gt;Table14[[#This Row],[SLA_Target]],"No", "Yes")</f>
        <v>Yes</v>
      </c>
      <c r="S459" t="str">
        <f>IF(Table14[[#This Row],[Calculated_SLA]]=Table14[[#This Row],[SLA_Met]],"Match","Mismatch")</f>
        <v>Mismatch</v>
      </c>
      <c r="T459">
        <f>IF(Table14[[#This Row],[Calculated_SLA]]="Yes",1,0)</f>
        <v>1</v>
      </c>
      <c r="U459" t="str">
        <f>IF(COUNTIFS(Reference_data!A:A,Table14[[#This Row],[Category]],Reference_data!B:B,Table14[[#This Row],[Subcategory]])&gt;0,"Valid","Invalid")</f>
        <v>Valid</v>
      </c>
    </row>
    <row r="460" spans="1:21">
      <c r="A460" t="s">
        <v>1438</v>
      </c>
      <c r="B460" t="s">
        <v>50</v>
      </c>
      <c r="C460" s="31" t="s">
        <v>2029</v>
      </c>
      <c r="D460" s="32" t="s">
        <v>2417</v>
      </c>
      <c r="E460" t="s">
        <v>21</v>
      </c>
      <c r="F460" t="s">
        <v>22</v>
      </c>
      <c r="G460" t="s">
        <v>54</v>
      </c>
      <c r="H460" t="s">
        <v>55</v>
      </c>
      <c r="I460" t="s">
        <v>25</v>
      </c>
      <c r="J460">
        <v>9.5</v>
      </c>
      <c r="K460">
        <v>4</v>
      </c>
      <c r="L460" t="s">
        <v>27</v>
      </c>
      <c r="M460">
        <v>2</v>
      </c>
      <c r="N460" t="s">
        <v>26</v>
      </c>
      <c r="O460" t="s">
        <v>28</v>
      </c>
      <c r="P460" t="s">
        <v>1670</v>
      </c>
      <c r="Q460" t="s">
        <v>39</v>
      </c>
      <c r="R460" t="str">
        <f>IF(Table14[[#This Row],[Resolution_Time]]&gt;Table14[[#This Row],[SLA_Target]],"No", "Yes")</f>
        <v>No</v>
      </c>
      <c r="S460" t="str">
        <f>IF(Table14[[#This Row],[Calculated_SLA]]=Table14[[#This Row],[SLA_Met]],"Match","Mismatch")</f>
        <v>Match</v>
      </c>
      <c r="T460">
        <f>IF(Table14[[#This Row],[Calculated_SLA]]="Yes",1,0)</f>
        <v>0</v>
      </c>
      <c r="U460" t="str">
        <f>IF(COUNTIFS(Reference_data!A:A,Table14[[#This Row],[Category]],Reference_data!B:B,Table14[[#This Row],[Subcategory]])&gt;0,"Valid","Invalid")</f>
        <v>Valid</v>
      </c>
    </row>
    <row r="461" spans="1:21">
      <c r="A461" t="s">
        <v>1441</v>
      </c>
      <c r="B461" t="s">
        <v>135</v>
      </c>
      <c r="C461" s="31" t="s">
        <v>2030</v>
      </c>
      <c r="D461" s="32" t="s">
        <v>2418</v>
      </c>
      <c r="E461" t="s">
        <v>35</v>
      </c>
      <c r="F461" t="s">
        <v>127</v>
      </c>
      <c r="G461" t="s">
        <v>54</v>
      </c>
      <c r="H461" t="s">
        <v>70</v>
      </c>
      <c r="I461" t="s">
        <v>56</v>
      </c>
      <c r="J461">
        <v>4.9000000000000004</v>
      </c>
      <c r="K461">
        <v>4</v>
      </c>
      <c r="L461" t="s">
        <v>27</v>
      </c>
      <c r="M461">
        <v>2</v>
      </c>
      <c r="N461" t="s">
        <v>26</v>
      </c>
      <c r="O461" t="s">
        <v>28</v>
      </c>
      <c r="P461" t="s">
        <v>57</v>
      </c>
      <c r="Q461" t="s">
        <v>58</v>
      </c>
      <c r="R461" t="str">
        <f>IF(Table14[[#This Row],[Resolution_Time]]&gt;Table14[[#This Row],[SLA_Target]],"No", "Yes")</f>
        <v>No</v>
      </c>
      <c r="S461" t="str">
        <f>IF(Table14[[#This Row],[Calculated_SLA]]=Table14[[#This Row],[SLA_Met]],"Match","Mismatch")</f>
        <v>Match</v>
      </c>
      <c r="T461">
        <f>IF(Table14[[#This Row],[Calculated_SLA]]="Yes",1,0)</f>
        <v>0</v>
      </c>
      <c r="U461" t="str">
        <f>IF(COUNTIFS(Reference_data!A:A,Table14[[#This Row],[Category]],Reference_data!B:B,Table14[[#This Row],[Subcategory]])&gt;0,"Valid","Invalid")</f>
        <v>Valid</v>
      </c>
    </row>
    <row r="462" spans="1:21">
      <c r="A462" t="s">
        <v>1444</v>
      </c>
      <c r="B462" t="s">
        <v>135</v>
      </c>
      <c r="C462" s="31" t="s">
        <v>1697</v>
      </c>
      <c r="D462" s="32" t="s">
        <v>2419</v>
      </c>
      <c r="E462" t="s">
        <v>21</v>
      </c>
      <c r="F462" t="s">
        <v>63</v>
      </c>
      <c r="G462" t="s">
        <v>23</v>
      </c>
      <c r="H462" t="s">
        <v>234</v>
      </c>
      <c r="I462" t="s">
        <v>25</v>
      </c>
      <c r="J462">
        <v>15</v>
      </c>
      <c r="K462">
        <v>24</v>
      </c>
      <c r="L462" t="s">
        <v>26</v>
      </c>
      <c r="M462">
        <v>4</v>
      </c>
      <c r="N462" t="s">
        <v>27</v>
      </c>
      <c r="O462" t="s">
        <v>28</v>
      </c>
      <c r="P462" t="s">
        <v>29</v>
      </c>
      <c r="Q462" t="s">
        <v>58</v>
      </c>
      <c r="R462" t="str">
        <f>IF(Table14[[#This Row],[Resolution_Time]]&gt;Table14[[#This Row],[SLA_Target]],"No", "Yes")</f>
        <v>Yes</v>
      </c>
      <c r="S462" t="str">
        <f>IF(Table14[[#This Row],[Calculated_SLA]]=Table14[[#This Row],[SLA_Met]],"Match","Mismatch")</f>
        <v>Match</v>
      </c>
      <c r="T462">
        <f>IF(Table14[[#This Row],[Calculated_SLA]]="Yes",1,0)</f>
        <v>1</v>
      </c>
      <c r="U462" t="str">
        <f>IF(COUNTIFS(Reference_data!A:A,Table14[[#This Row],[Category]],Reference_data!B:B,Table14[[#This Row],[Subcategory]])&gt;0,"Valid","Invalid")</f>
        <v>Valid</v>
      </c>
    </row>
    <row r="463" spans="1:21">
      <c r="A463" t="s">
        <v>1447</v>
      </c>
      <c r="B463" t="s">
        <v>75</v>
      </c>
      <c r="C463" s="31" t="s">
        <v>2031</v>
      </c>
      <c r="D463" s="32" t="s">
        <v>2420</v>
      </c>
      <c r="E463" t="s">
        <v>21</v>
      </c>
      <c r="F463" t="s">
        <v>63</v>
      </c>
      <c r="G463" t="s">
        <v>46</v>
      </c>
      <c r="H463" t="s">
        <v>37</v>
      </c>
      <c r="I463" t="s">
        <v>25</v>
      </c>
      <c r="J463">
        <v>7.4</v>
      </c>
      <c r="K463">
        <v>8</v>
      </c>
      <c r="L463" t="s">
        <v>26</v>
      </c>
      <c r="M463">
        <v>4</v>
      </c>
      <c r="N463" t="s">
        <v>27</v>
      </c>
      <c r="O463" t="s">
        <v>28</v>
      </c>
      <c r="P463" t="s">
        <v>29</v>
      </c>
      <c r="Q463" t="s">
        <v>101</v>
      </c>
      <c r="R463" t="str">
        <f>IF(Table14[[#This Row],[Resolution_Time]]&gt;Table14[[#This Row],[SLA_Target]],"No", "Yes")</f>
        <v>Yes</v>
      </c>
      <c r="S463" t="str">
        <f>IF(Table14[[#This Row],[Calculated_SLA]]=Table14[[#This Row],[SLA_Met]],"Match","Mismatch")</f>
        <v>Match</v>
      </c>
      <c r="T463">
        <f>IF(Table14[[#This Row],[Calculated_SLA]]="Yes",1,0)</f>
        <v>1</v>
      </c>
      <c r="U463" t="str">
        <f>IF(COUNTIFS(Reference_data!A:A,Table14[[#This Row],[Category]],Reference_data!B:B,Table14[[#This Row],[Subcategory]])&gt;0,"Valid","Invalid")</f>
        <v>Valid</v>
      </c>
    </row>
    <row r="464" spans="1:21">
      <c r="A464" t="s">
        <v>1450</v>
      </c>
      <c r="B464" t="s">
        <v>41</v>
      </c>
      <c r="C464" s="31" t="s">
        <v>1726</v>
      </c>
      <c r="D464" s="32" t="s">
        <v>2421</v>
      </c>
      <c r="E464" t="s">
        <v>35</v>
      </c>
      <c r="F464" t="s">
        <v>53</v>
      </c>
      <c r="G464" t="s">
        <v>46</v>
      </c>
      <c r="H464" t="s">
        <v>55</v>
      </c>
      <c r="I464" t="s">
        <v>56</v>
      </c>
      <c r="J464">
        <v>11.7</v>
      </c>
      <c r="K464">
        <v>8</v>
      </c>
      <c r="L464" t="s">
        <v>27</v>
      </c>
      <c r="M464">
        <v>3</v>
      </c>
      <c r="N464" t="s">
        <v>26</v>
      </c>
      <c r="O464" t="s">
        <v>28</v>
      </c>
      <c r="P464" t="s">
        <v>1670</v>
      </c>
      <c r="Q464" t="s">
        <v>101</v>
      </c>
      <c r="R464" t="str">
        <f>IF(Table14[[#This Row],[Resolution_Time]]&gt;Table14[[#This Row],[SLA_Target]],"No", "Yes")</f>
        <v>No</v>
      </c>
      <c r="S464" t="str">
        <f>IF(Table14[[#This Row],[Calculated_SLA]]=Table14[[#This Row],[SLA_Met]],"Match","Mismatch")</f>
        <v>Match</v>
      </c>
      <c r="T464">
        <f>IF(Table14[[#This Row],[Calculated_SLA]]="Yes",1,0)</f>
        <v>0</v>
      </c>
      <c r="U464" t="str">
        <f>IF(COUNTIFS(Reference_data!A:A,Table14[[#This Row],[Category]],Reference_data!B:B,Table14[[#This Row],[Subcategory]])&gt;0,"Valid","Invalid")</f>
        <v>Valid</v>
      </c>
    </row>
    <row r="465" spans="1:21">
      <c r="A465" t="s">
        <v>1453</v>
      </c>
      <c r="B465" t="s">
        <v>32</v>
      </c>
      <c r="C465" s="31" t="s">
        <v>2032</v>
      </c>
      <c r="D465" s="32" t="s">
        <v>2422</v>
      </c>
      <c r="E465" t="s">
        <v>44</v>
      </c>
      <c r="F465" t="s">
        <v>45</v>
      </c>
      <c r="G465" t="s">
        <v>23</v>
      </c>
      <c r="H465" t="s">
        <v>37</v>
      </c>
      <c r="I465" t="s">
        <v>48</v>
      </c>
      <c r="J465">
        <v>2</v>
      </c>
      <c r="K465">
        <v>24</v>
      </c>
      <c r="L465" t="s">
        <v>26</v>
      </c>
      <c r="M465">
        <v>5</v>
      </c>
      <c r="N465" t="s">
        <v>27</v>
      </c>
      <c r="O465" t="s">
        <v>28</v>
      </c>
      <c r="P465" t="s">
        <v>29</v>
      </c>
      <c r="Q465" t="s">
        <v>101</v>
      </c>
      <c r="R465" t="str">
        <f>IF(Table14[[#This Row],[Resolution_Time]]&gt;Table14[[#This Row],[SLA_Target]],"No", "Yes")</f>
        <v>Yes</v>
      </c>
      <c r="S465" t="str">
        <f>IF(Table14[[#This Row],[Calculated_SLA]]=Table14[[#This Row],[SLA_Met]],"Match","Mismatch")</f>
        <v>Match</v>
      </c>
      <c r="T465">
        <f>IF(Table14[[#This Row],[Calculated_SLA]]="Yes",1,0)</f>
        <v>1</v>
      </c>
      <c r="U465" t="str">
        <f>IF(COUNTIFS(Reference_data!A:A,Table14[[#This Row],[Category]],Reference_data!B:B,Table14[[#This Row],[Subcategory]])&gt;0,"Valid","Invalid")</f>
        <v>Valid</v>
      </c>
    </row>
    <row r="466" spans="1:21">
      <c r="A466" t="s">
        <v>1456</v>
      </c>
      <c r="B466" t="s">
        <v>32</v>
      </c>
      <c r="C466" s="31" t="s">
        <v>1791</v>
      </c>
      <c r="D466" s="32" t="s">
        <v>2423</v>
      </c>
      <c r="E466" t="s">
        <v>84</v>
      </c>
      <c r="F466" t="s">
        <v>116</v>
      </c>
      <c r="G466" t="s">
        <v>46</v>
      </c>
      <c r="H466" t="s">
        <v>138</v>
      </c>
      <c r="I466" t="s">
        <v>87</v>
      </c>
      <c r="J466">
        <v>8.6999999999999993</v>
      </c>
      <c r="K466">
        <v>8</v>
      </c>
      <c r="L466" t="s">
        <v>27</v>
      </c>
      <c r="M466">
        <v>2</v>
      </c>
      <c r="N466" t="s">
        <v>26</v>
      </c>
      <c r="O466" t="s">
        <v>28</v>
      </c>
      <c r="P466" t="s">
        <v>57</v>
      </c>
      <c r="Q466" t="s">
        <v>58</v>
      </c>
      <c r="R466" t="str">
        <f>IF(Table14[[#This Row],[Resolution_Time]]&gt;Table14[[#This Row],[SLA_Target]],"No", "Yes")</f>
        <v>No</v>
      </c>
      <c r="S466" t="str">
        <f>IF(Table14[[#This Row],[Calculated_SLA]]=Table14[[#This Row],[SLA_Met]],"Match","Mismatch")</f>
        <v>Match</v>
      </c>
      <c r="T466">
        <f>IF(Table14[[#This Row],[Calculated_SLA]]="Yes",1,0)</f>
        <v>0</v>
      </c>
      <c r="U466" t="str">
        <f>IF(COUNTIFS(Reference_data!A:A,Table14[[#This Row],[Category]],Reference_data!B:B,Table14[[#This Row],[Subcategory]])&gt;0,"Valid","Invalid")</f>
        <v>Valid</v>
      </c>
    </row>
    <row r="467" spans="1:21">
      <c r="A467" t="s">
        <v>1459</v>
      </c>
      <c r="B467" t="s">
        <v>75</v>
      </c>
      <c r="C467" s="31" t="s">
        <v>2033</v>
      </c>
      <c r="D467" s="32" t="s">
        <v>2424</v>
      </c>
      <c r="E467" t="s">
        <v>35</v>
      </c>
      <c r="F467" t="s">
        <v>127</v>
      </c>
      <c r="G467" t="s">
        <v>23</v>
      </c>
      <c r="H467" t="s">
        <v>24</v>
      </c>
      <c r="I467" t="s">
        <v>56</v>
      </c>
      <c r="J467">
        <v>15.6</v>
      </c>
      <c r="K467">
        <v>24</v>
      </c>
      <c r="L467" t="s">
        <v>27</v>
      </c>
      <c r="M467">
        <v>2</v>
      </c>
      <c r="N467" t="s">
        <v>27</v>
      </c>
      <c r="O467" t="s">
        <v>28</v>
      </c>
      <c r="P467" t="s">
        <v>57</v>
      </c>
      <c r="Q467" t="s">
        <v>39</v>
      </c>
      <c r="R467" t="str">
        <f>IF(Table14[[#This Row],[Resolution_Time]]&gt;Table14[[#This Row],[SLA_Target]],"No", "Yes")</f>
        <v>Yes</v>
      </c>
      <c r="S467" t="str">
        <f>IF(Table14[[#This Row],[Calculated_SLA]]=Table14[[#This Row],[SLA_Met]],"Match","Mismatch")</f>
        <v>Mismatch</v>
      </c>
      <c r="T467">
        <f>IF(Table14[[#This Row],[Calculated_SLA]]="Yes",1,0)</f>
        <v>1</v>
      </c>
      <c r="U467" t="str">
        <f>IF(COUNTIFS(Reference_data!A:A,Table14[[#This Row],[Category]],Reference_data!B:B,Table14[[#This Row],[Subcategory]])&gt;0,"Valid","Invalid")</f>
        <v>Valid</v>
      </c>
    </row>
    <row r="468" spans="1:21">
      <c r="A468" t="s">
        <v>1462</v>
      </c>
      <c r="B468" t="s">
        <v>135</v>
      </c>
      <c r="C468" s="31" t="s">
        <v>2034</v>
      </c>
      <c r="D468" s="32" t="s">
        <v>2425</v>
      </c>
      <c r="E468" t="s">
        <v>21</v>
      </c>
      <c r="F468" t="s">
        <v>63</v>
      </c>
      <c r="G468" t="s">
        <v>23</v>
      </c>
      <c r="H468" t="s">
        <v>70</v>
      </c>
      <c r="I468" t="s">
        <v>25</v>
      </c>
      <c r="J468">
        <v>11.2</v>
      </c>
      <c r="K468">
        <v>24</v>
      </c>
      <c r="L468" t="s">
        <v>26</v>
      </c>
      <c r="M468">
        <v>5</v>
      </c>
      <c r="N468" t="s">
        <v>27</v>
      </c>
      <c r="O468" t="s">
        <v>28</v>
      </c>
      <c r="P468" t="s">
        <v>29</v>
      </c>
      <c r="Q468" t="s">
        <v>58</v>
      </c>
      <c r="R468" t="str">
        <f>IF(Table14[[#This Row],[Resolution_Time]]&gt;Table14[[#This Row],[SLA_Target]],"No", "Yes")</f>
        <v>Yes</v>
      </c>
      <c r="S468" t="str">
        <f>IF(Table14[[#This Row],[Calculated_SLA]]=Table14[[#This Row],[SLA_Met]],"Match","Mismatch")</f>
        <v>Match</v>
      </c>
      <c r="T468">
        <f>IF(Table14[[#This Row],[Calculated_SLA]]="Yes",1,0)</f>
        <v>1</v>
      </c>
      <c r="U468" t="str">
        <f>IF(COUNTIFS(Reference_data!A:A,Table14[[#This Row],[Category]],Reference_data!B:B,Table14[[#This Row],[Subcategory]])&gt;0,"Valid","Invalid")</f>
        <v>Valid</v>
      </c>
    </row>
    <row r="469" spans="1:21">
      <c r="A469" t="s">
        <v>1465</v>
      </c>
      <c r="B469" t="s">
        <v>32</v>
      </c>
      <c r="C469" s="31" t="s">
        <v>2035</v>
      </c>
      <c r="D469" s="32" t="s">
        <v>2426</v>
      </c>
      <c r="E469" t="s">
        <v>21</v>
      </c>
      <c r="F469" t="s">
        <v>69</v>
      </c>
      <c r="G469" t="s">
        <v>23</v>
      </c>
      <c r="H469" t="s">
        <v>91</v>
      </c>
      <c r="I469" t="s">
        <v>25</v>
      </c>
      <c r="J469">
        <v>8.1999999999999993</v>
      </c>
      <c r="K469">
        <v>24</v>
      </c>
      <c r="L469" t="s">
        <v>26</v>
      </c>
      <c r="M469">
        <v>5</v>
      </c>
      <c r="N469" t="s">
        <v>27</v>
      </c>
      <c r="O469" t="s">
        <v>28</v>
      </c>
      <c r="P469" t="s">
        <v>29</v>
      </c>
      <c r="Q469" t="s">
        <v>101</v>
      </c>
      <c r="R469" t="str">
        <f>IF(Table14[[#This Row],[Resolution_Time]]&gt;Table14[[#This Row],[SLA_Target]],"No", "Yes")</f>
        <v>Yes</v>
      </c>
      <c r="S469" t="str">
        <f>IF(Table14[[#This Row],[Calculated_SLA]]=Table14[[#This Row],[SLA_Met]],"Match","Mismatch")</f>
        <v>Match</v>
      </c>
      <c r="T469">
        <f>IF(Table14[[#This Row],[Calculated_SLA]]="Yes",1,0)</f>
        <v>1</v>
      </c>
      <c r="U469" t="str">
        <f>IF(COUNTIFS(Reference_data!A:A,Table14[[#This Row],[Category]],Reference_data!B:B,Table14[[#This Row],[Subcategory]])&gt;0,"Valid","Invalid")</f>
        <v>Valid</v>
      </c>
    </row>
    <row r="470" spans="1:21">
      <c r="A470" t="s">
        <v>1468</v>
      </c>
      <c r="B470" t="s">
        <v>75</v>
      </c>
      <c r="C470" s="31" t="s">
        <v>1828</v>
      </c>
      <c r="D470" s="32" t="s">
        <v>2427</v>
      </c>
      <c r="E470" t="s">
        <v>21</v>
      </c>
      <c r="F470" t="s">
        <v>22</v>
      </c>
      <c r="G470" t="s">
        <v>46</v>
      </c>
      <c r="H470" t="s">
        <v>86</v>
      </c>
      <c r="I470" t="s">
        <v>25</v>
      </c>
      <c r="J470">
        <v>12.1</v>
      </c>
      <c r="K470">
        <v>8</v>
      </c>
      <c r="L470" t="s">
        <v>27</v>
      </c>
      <c r="M470">
        <v>3</v>
      </c>
      <c r="N470" t="s">
        <v>27</v>
      </c>
      <c r="O470" t="s">
        <v>28</v>
      </c>
      <c r="P470" t="s">
        <v>1670</v>
      </c>
      <c r="Q470" t="s">
        <v>58</v>
      </c>
      <c r="R470" t="str">
        <f>IF(Table14[[#This Row],[Resolution_Time]]&gt;Table14[[#This Row],[SLA_Target]],"No", "Yes")</f>
        <v>No</v>
      </c>
      <c r="S470" t="str">
        <f>IF(Table14[[#This Row],[Calculated_SLA]]=Table14[[#This Row],[SLA_Met]],"Match","Mismatch")</f>
        <v>Match</v>
      </c>
      <c r="T470">
        <f>IF(Table14[[#This Row],[Calculated_SLA]]="Yes",1,0)</f>
        <v>0</v>
      </c>
      <c r="U470" t="str">
        <f>IF(COUNTIFS(Reference_data!A:A,Table14[[#This Row],[Category]],Reference_data!B:B,Table14[[#This Row],[Subcategory]])&gt;0,"Valid","Invalid")</f>
        <v>Valid</v>
      </c>
    </row>
    <row r="471" spans="1:21">
      <c r="A471" t="s">
        <v>1471</v>
      </c>
      <c r="B471" t="s">
        <v>121</v>
      </c>
      <c r="C471" s="31" t="s">
        <v>1954</v>
      </c>
      <c r="D471" s="32" t="s">
        <v>2428</v>
      </c>
      <c r="E471" t="s">
        <v>78</v>
      </c>
      <c r="F471" t="s">
        <v>166</v>
      </c>
      <c r="G471" t="s">
        <v>23</v>
      </c>
      <c r="H471" t="s">
        <v>47</v>
      </c>
      <c r="I471" t="s">
        <v>80</v>
      </c>
      <c r="J471">
        <v>14.8</v>
      </c>
      <c r="K471">
        <v>24</v>
      </c>
      <c r="L471" t="s">
        <v>26</v>
      </c>
      <c r="M471">
        <v>4</v>
      </c>
      <c r="N471" t="s">
        <v>27</v>
      </c>
      <c r="O471" t="s">
        <v>28</v>
      </c>
      <c r="P471" t="s">
        <v>29</v>
      </c>
      <c r="Q471" t="s">
        <v>101</v>
      </c>
      <c r="R471" t="str">
        <f>IF(Table14[[#This Row],[Resolution_Time]]&gt;Table14[[#This Row],[SLA_Target]],"No", "Yes")</f>
        <v>Yes</v>
      </c>
      <c r="S471" t="str">
        <f>IF(Table14[[#This Row],[Calculated_SLA]]=Table14[[#This Row],[SLA_Met]],"Match","Mismatch")</f>
        <v>Match</v>
      </c>
      <c r="T471">
        <f>IF(Table14[[#This Row],[Calculated_SLA]]="Yes",1,0)</f>
        <v>1</v>
      </c>
      <c r="U471" t="str">
        <f>IF(COUNTIFS(Reference_data!A:A,Table14[[#This Row],[Category]],Reference_data!B:B,Table14[[#This Row],[Subcategory]])&gt;0,"Valid","Invalid")</f>
        <v>Valid</v>
      </c>
    </row>
    <row r="472" spans="1:21">
      <c r="A472" t="s">
        <v>1474</v>
      </c>
      <c r="B472" t="s">
        <v>32</v>
      </c>
      <c r="C472" s="31" t="s">
        <v>2029</v>
      </c>
      <c r="D472" s="32" t="s">
        <v>2421</v>
      </c>
      <c r="E472" t="s">
        <v>84</v>
      </c>
      <c r="F472" t="s">
        <v>116</v>
      </c>
      <c r="G472" t="s">
        <v>23</v>
      </c>
      <c r="H472" t="s">
        <v>55</v>
      </c>
      <c r="I472" t="s">
        <v>87</v>
      </c>
      <c r="J472">
        <v>7.3</v>
      </c>
      <c r="K472">
        <v>24</v>
      </c>
      <c r="L472" t="s">
        <v>26</v>
      </c>
      <c r="M472">
        <v>4</v>
      </c>
      <c r="N472" t="s">
        <v>27</v>
      </c>
      <c r="O472" t="s">
        <v>28</v>
      </c>
      <c r="P472" t="s">
        <v>29</v>
      </c>
      <c r="Q472" t="s">
        <v>30</v>
      </c>
      <c r="R472" t="str">
        <f>IF(Table14[[#This Row],[Resolution_Time]]&gt;Table14[[#This Row],[SLA_Target]],"No", "Yes")</f>
        <v>Yes</v>
      </c>
      <c r="S472" t="str">
        <f>IF(Table14[[#This Row],[Calculated_SLA]]=Table14[[#This Row],[SLA_Met]],"Match","Mismatch")</f>
        <v>Match</v>
      </c>
      <c r="T472">
        <f>IF(Table14[[#This Row],[Calculated_SLA]]="Yes",1,0)</f>
        <v>1</v>
      </c>
      <c r="U472" t="str">
        <f>IF(COUNTIFS(Reference_data!A:A,Table14[[#This Row],[Category]],Reference_data!B:B,Table14[[#This Row],[Subcategory]])&gt;0,"Valid","Invalid")</f>
        <v>Valid</v>
      </c>
    </row>
    <row r="473" spans="1:21">
      <c r="A473" t="s">
        <v>1477</v>
      </c>
      <c r="B473" t="s">
        <v>75</v>
      </c>
      <c r="C473" s="31" t="s">
        <v>2036</v>
      </c>
      <c r="D473" s="32" t="s">
        <v>2429</v>
      </c>
      <c r="E473" t="s">
        <v>78</v>
      </c>
      <c r="F473" t="s">
        <v>166</v>
      </c>
      <c r="G473" t="s">
        <v>46</v>
      </c>
      <c r="H473" t="s">
        <v>234</v>
      </c>
      <c r="I473" t="s">
        <v>80</v>
      </c>
      <c r="J473">
        <v>14</v>
      </c>
      <c r="K473">
        <v>8</v>
      </c>
      <c r="L473" t="s">
        <v>27</v>
      </c>
      <c r="M473">
        <v>3</v>
      </c>
      <c r="N473" t="s">
        <v>27</v>
      </c>
      <c r="O473" t="s">
        <v>28</v>
      </c>
      <c r="P473" t="s">
        <v>57</v>
      </c>
      <c r="Q473" t="s">
        <v>39</v>
      </c>
      <c r="R473" t="str">
        <f>IF(Table14[[#This Row],[Resolution_Time]]&gt;Table14[[#This Row],[SLA_Target]],"No", "Yes")</f>
        <v>No</v>
      </c>
      <c r="S473" t="str">
        <f>IF(Table14[[#This Row],[Calculated_SLA]]=Table14[[#This Row],[SLA_Met]],"Match","Mismatch")</f>
        <v>Match</v>
      </c>
      <c r="T473">
        <f>IF(Table14[[#This Row],[Calculated_SLA]]="Yes",1,0)</f>
        <v>0</v>
      </c>
      <c r="U473" t="str">
        <f>IF(COUNTIFS(Reference_data!A:A,Table14[[#This Row],[Category]],Reference_data!B:B,Table14[[#This Row],[Subcategory]])&gt;0,"Valid","Invalid")</f>
        <v>Valid</v>
      </c>
    </row>
    <row r="474" spans="1:21">
      <c r="A474" t="s">
        <v>1480</v>
      </c>
      <c r="B474" t="s">
        <v>121</v>
      </c>
      <c r="C474" s="31" t="s">
        <v>1835</v>
      </c>
      <c r="D474" s="32" t="s">
        <v>2206</v>
      </c>
      <c r="E474" t="s">
        <v>35</v>
      </c>
      <c r="F474" t="s">
        <v>127</v>
      </c>
      <c r="G474" t="s">
        <v>46</v>
      </c>
      <c r="H474" t="s">
        <v>91</v>
      </c>
      <c r="I474" t="s">
        <v>56</v>
      </c>
      <c r="J474">
        <v>9.6</v>
      </c>
      <c r="K474">
        <v>8</v>
      </c>
      <c r="L474" t="s">
        <v>27</v>
      </c>
      <c r="M474">
        <v>1</v>
      </c>
      <c r="N474" t="s">
        <v>27</v>
      </c>
      <c r="O474" t="s">
        <v>28</v>
      </c>
      <c r="P474" t="s">
        <v>1670</v>
      </c>
      <c r="Q474" t="s">
        <v>39</v>
      </c>
      <c r="R474" t="str">
        <f>IF(Table14[[#This Row],[Resolution_Time]]&gt;Table14[[#This Row],[SLA_Target]],"No", "Yes")</f>
        <v>No</v>
      </c>
      <c r="S474" t="str">
        <f>IF(Table14[[#This Row],[Calculated_SLA]]=Table14[[#This Row],[SLA_Met]],"Match","Mismatch")</f>
        <v>Match</v>
      </c>
      <c r="T474">
        <f>IF(Table14[[#This Row],[Calculated_SLA]]="Yes",1,0)</f>
        <v>0</v>
      </c>
      <c r="U474" t="str">
        <f>IF(COUNTIFS(Reference_data!A:A,Table14[[#This Row],[Category]],Reference_data!B:B,Table14[[#This Row],[Subcategory]])&gt;0,"Valid","Invalid")</f>
        <v>Valid</v>
      </c>
    </row>
    <row r="475" spans="1:21">
      <c r="A475" t="s">
        <v>1483</v>
      </c>
      <c r="B475" t="s">
        <v>18</v>
      </c>
      <c r="C475" s="31" t="s">
        <v>1918</v>
      </c>
      <c r="D475" s="32" t="s">
        <v>2430</v>
      </c>
      <c r="E475" t="s">
        <v>21</v>
      </c>
      <c r="F475" t="s">
        <v>69</v>
      </c>
      <c r="G475" t="s">
        <v>46</v>
      </c>
      <c r="H475" t="s">
        <v>24</v>
      </c>
      <c r="I475" t="s">
        <v>25</v>
      </c>
      <c r="J475">
        <v>20.8</v>
      </c>
      <c r="K475">
        <v>8</v>
      </c>
      <c r="L475" t="s">
        <v>27</v>
      </c>
      <c r="M475">
        <v>1</v>
      </c>
      <c r="N475" t="s">
        <v>26</v>
      </c>
      <c r="O475" t="s">
        <v>28</v>
      </c>
      <c r="P475" t="s">
        <v>1670</v>
      </c>
      <c r="Q475" t="s">
        <v>101</v>
      </c>
      <c r="R475" t="str">
        <f>IF(Table14[[#This Row],[Resolution_Time]]&gt;Table14[[#This Row],[SLA_Target]],"No", "Yes")</f>
        <v>No</v>
      </c>
      <c r="S475" t="str">
        <f>IF(Table14[[#This Row],[Calculated_SLA]]=Table14[[#This Row],[SLA_Met]],"Match","Mismatch")</f>
        <v>Match</v>
      </c>
      <c r="T475">
        <f>IF(Table14[[#This Row],[Calculated_SLA]]="Yes",1,0)</f>
        <v>0</v>
      </c>
      <c r="U475" t="str">
        <f>IF(COUNTIFS(Reference_data!A:A,Table14[[#This Row],[Category]],Reference_data!B:B,Table14[[#This Row],[Subcategory]])&gt;0,"Valid","Invalid")</f>
        <v>Valid</v>
      </c>
    </row>
    <row r="476" spans="1:21">
      <c r="A476" t="s">
        <v>1486</v>
      </c>
      <c r="B476" t="s">
        <v>18</v>
      </c>
      <c r="C476" s="31" t="s">
        <v>2037</v>
      </c>
      <c r="D476" s="32" t="s">
        <v>2431</v>
      </c>
      <c r="E476" t="s">
        <v>78</v>
      </c>
      <c r="F476" t="s">
        <v>166</v>
      </c>
      <c r="G476" t="s">
        <v>54</v>
      </c>
      <c r="H476" t="s">
        <v>55</v>
      </c>
      <c r="I476" t="s">
        <v>80</v>
      </c>
      <c r="J476">
        <v>10.1</v>
      </c>
      <c r="K476">
        <v>4</v>
      </c>
      <c r="L476" t="s">
        <v>27</v>
      </c>
      <c r="M476">
        <v>3</v>
      </c>
      <c r="N476" t="s">
        <v>27</v>
      </c>
      <c r="O476" t="s">
        <v>28</v>
      </c>
      <c r="P476" t="s">
        <v>1670</v>
      </c>
      <c r="Q476" t="s">
        <v>101</v>
      </c>
      <c r="R476" t="str">
        <f>IF(Table14[[#This Row],[Resolution_Time]]&gt;Table14[[#This Row],[SLA_Target]],"No", "Yes")</f>
        <v>No</v>
      </c>
      <c r="S476" t="str">
        <f>IF(Table14[[#This Row],[Calculated_SLA]]=Table14[[#This Row],[SLA_Met]],"Match","Mismatch")</f>
        <v>Match</v>
      </c>
      <c r="T476">
        <f>IF(Table14[[#This Row],[Calculated_SLA]]="Yes",1,0)</f>
        <v>0</v>
      </c>
      <c r="U476" t="str">
        <f>IF(COUNTIFS(Reference_data!A:A,Table14[[#This Row],[Category]],Reference_data!B:B,Table14[[#This Row],[Subcategory]])&gt;0,"Valid","Invalid")</f>
        <v>Valid</v>
      </c>
    </row>
    <row r="477" spans="1:21">
      <c r="A477" t="s">
        <v>1489</v>
      </c>
      <c r="B477" t="s">
        <v>32</v>
      </c>
      <c r="C477" s="31" t="s">
        <v>2038</v>
      </c>
      <c r="D477" s="32" t="s">
        <v>2188</v>
      </c>
      <c r="E477" t="s">
        <v>78</v>
      </c>
      <c r="F477" t="s">
        <v>79</v>
      </c>
      <c r="G477" t="s">
        <v>23</v>
      </c>
      <c r="H477" t="s">
        <v>70</v>
      </c>
      <c r="I477" t="s">
        <v>80</v>
      </c>
      <c r="J477">
        <v>13.8</v>
      </c>
      <c r="K477">
        <v>24</v>
      </c>
      <c r="L477" t="s">
        <v>26</v>
      </c>
      <c r="M477">
        <v>4</v>
      </c>
      <c r="N477" t="s">
        <v>27</v>
      </c>
      <c r="O477" t="s">
        <v>28</v>
      </c>
      <c r="P477" t="s">
        <v>29</v>
      </c>
      <c r="Q477" t="s">
        <v>58</v>
      </c>
      <c r="R477" t="str">
        <f>IF(Table14[[#This Row],[Resolution_Time]]&gt;Table14[[#This Row],[SLA_Target]],"No", "Yes")</f>
        <v>Yes</v>
      </c>
      <c r="S477" t="str">
        <f>IF(Table14[[#This Row],[Calculated_SLA]]=Table14[[#This Row],[SLA_Met]],"Match","Mismatch")</f>
        <v>Match</v>
      </c>
      <c r="T477">
        <f>IF(Table14[[#This Row],[Calculated_SLA]]="Yes",1,0)</f>
        <v>1</v>
      </c>
      <c r="U477" t="str">
        <f>IF(COUNTIFS(Reference_data!A:A,Table14[[#This Row],[Category]],Reference_data!B:B,Table14[[#This Row],[Subcategory]])&gt;0,"Valid","Invalid")</f>
        <v>Valid</v>
      </c>
    </row>
    <row r="478" spans="1:21">
      <c r="A478" t="s">
        <v>1492</v>
      </c>
      <c r="B478" t="s">
        <v>121</v>
      </c>
      <c r="C478" s="31" t="s">
        <v>1838</v>
      </c>
      <c r="D478" s="32" t="s">
        <v>2036</v>
      </c>
      <c r="E478" t="s">
        <v>78</v>
      </c>
      <c r="F478" t="s">
        <v>166</v>
      </c>
      <c r="G478" t="s">
        <v>46</v>
      </c>
      <c r="H478" t="s">
        <v>91</v>
      </c>
      <c r="I478" t="s">
        <v>80</v>
      </c>
      <c r="J478">
        <v>22.2</v>
      </c>
      <c r="K478">
        <v>8</v>
      </c>
      <c r="L478" t="s">
        <v>27</v>
      </c>
      <c r="M478">
        <v>2</v>
      </c>
      <c r="N478" t="s">
        <v>27</v>
      </c>
      <c r="O478" t="s">
        <v>28</v>
      </c>
      <c r="P478" t="s">
        <v>1670</v>
      </c>
      <c r="Q478" t="s">
        <v>30</v>
      </c>
      <c r="R478" t="str">
        <f>IF(Table14[[#This Row],[Resolution_Time]]&gt;Table14[[#This Row],[SLA_Target]],"No", "Yes")</f>
        <v>No</v>
      </c>
      <c r="S478" t="str">
        <f>IF(Table14[[#This Row],[Calculated_SLA]]=Table14[[#This Row],[SLA_Met]],"Match","Mismatch")</f>
        <v>Match</v>
      </c>
      <c r="T478">
        <f>IF(Table14[[#This Row],[Calculated_SLA]]="Yes",1,0)</f>
        <v>0</v>
      </c>
      <c r="U478" t="str">
        <f>IF(COUNTIFS(Reference_data!A:A,Table14[[#This Row],[Category]],Reference_data!B:B,Table14[[#This Row],[Subcategory]])&gt;0,"Valid","Invalid")</f>
        <v>Valid</v>
      </c>
    </row>
    <row r="479" spans="1:21">
      <c r="A479" t="s">
        <v>1495</v>
      </c>
      <c r="B479" t="s">
        <v>106</v>
      </c>
      <c r="C479" s="31" t="s">
        <v>2039</v>
      </c>
      <c r="D479" s="32" t="s">
        <v>2432</v>
      </c>
      <c r="E479" t="s">
        <v>35</v>
      </c>
      <c r="F479" t="s">
        <v>53</v>
      </c>
      <c r="G479" t="s">
        <v>46</v>
      </c>
      <c r="H479" t="s">
        <v>37</v>
      </c>
      <c r="I479" t="s">
        <v>56</v>
      </c>
      <c r="J479">
        <v>10.8</v>
      </c>
      <c r="K479">
        <v>8</v>
      </c>
      <c r="L479" t="s">
        <v>27</v>
      </c>
      <c r="M479">
        <v>3</v>
      </c>
      <c r="N479" t="s">
        <v>27</v>
      </c>
      <c r="O479" t="s">
        <v>28</v>
      </c>
      <c r="P479" t="s">
        <v>57</v>
      </c>
      <c r="Q479" t="s">
        <v>39</v>
      </c>
      <c r="R479" t="str">
        <f>IF(Table14[[#This Row],[Resolution_Time]]&gt;Table14[[#This Row],[SLA_Target]],"No", "Yes")</f>
        <v>No</v>
      </c>
      <c r="S479" t="str">
        <f>IF(Table14[[#This Row],[Calculated_SLA]]=Table14[[#This Row],[SLA_Met]],"Match","Mismatch")</f>
        <v>Match</v>
      </c>
      <c r="T479">
        <f>IF(Table14[[#This Row],[Calculated_SLA]]="Yes",1,0)</f>
        <v>0</v>
      </c>
      <c r="U479" t="str">
        <f>IF(COUNTIFS(Reference_data!A:A,Table14[[#This Row],[Category]],Reference_data!B:B,Table14[[#This Row],[Subcategory]])&gt;0,"Valid","Invalid")</f>
        <v>Valid</v>
      </c>
    </row>
    <row r="480" spans="1:21">
      <c r="A480" t="s">
        <v>1498</v>
      </c>
      <c r="B480" t="s">
        <v>18</v>
      </c>
      <c r="C480" s="31" t="s">
        <v>1690</v>
      </c>
      <c r="D480" s="32" t="s">
        <v>2017</v>
      </c>
      <c r="E480" t="s">
        <v>44</v>
      </c>
      <c r="F480" t="s">
        <v>45</v>
      </c>
      <c r="G480" t="s">
        <v>54</v>
      </c>
      <c r="H480" t="s">
        <v>91</v>
      </c>
      <c r="I480" t="s">
        <v>48</v>
      </c>
      <c r="J480">
        <v>3</v>
      </c>
      <c r="K480">
        <v>4</v>
      </c>
      <c r="L480" t="s">
        <v>26</v>
      </c>
      <c r="M480">
        <v>5</v>
      </c>
      <c r="N480" t="s">
        <v>27</v>
      </c>
      <c r="O480" t="s">
        <v>28</v>
      </c>
      <c r="P480" t="s">
        <v>29</v>
      </c>
      <c r="Q480" t="s">
        <v>101</v>
      </c>
      <c r="R480" t="str">
        <f>IF(Table14[[#This Row],[Resolution_Time]]&gt;Table14[[#This Row],[SLA_Target]],"No", "Yes")</f>
        <v>Yes</v>
      </c>
      <c r="S480" t="str">
        <f>IF(Table14[[#This Row],[Calculated_SLA]]=Table14[[#This Row],[SLA_Met]],"Match","Mismatch")</f>
        <v>Match</v>
      </c>
      <c r="T480">
        <f>IF(Table14[[#This Row],[Calculated_SLA]]="Yes",1,0)</f>
        <v>1</v>
      </c>
      <c r="U480" t="str">
        <f>IF(COUNTIFS(Reference_data!A:A,Table14[[#This Row],[Category]],Reference_data!B:B,Table14[[#This Row],[Subcategory]])&gt;0,"Valid","Invalid")</f>
        <v>Valid</v>
      </c>
    </row>
    <row r="481" spans="1:21">
      <c r="A481" t="s">
        <v>1500</v>
      </c>
      <c r="B481" t="s">
        <v>75</v>
      </c>
      <c r="C481" s="31" t="s">
        <v>2040</v>
      </c>
      <c r="D481" s="32" t="s">
        <v>2433</v>
      </c>
      <c r="E481" t="s">
        <v>78</v>
      </c>
      <c r="F481" t="s">
        <v>166</v>
      </c>
      <c r="G481" t="s">
        <v>23</v>
      </c>
      <c r="H481" t="s">
        <v>47</v>
      </c>
      <c r="I481" t="s">
        <v>80</v>
      </c>
      <c r="J481">
        <v>8.1</v>
      </c>
      <c r="K481">
        <v>24</v>
      </c>
      <c r="L481" t="s">
        <v>26</v>
      </c>
      <c r="M481">
        <v>4</v>
      </c>
      <c r="N481" t="s">
        <v>27</v>
      </c>
      <c r="O481" t="s">
        <v>28</v>
      </c>
      <c r="P481" t="s">
        <v>29</v>
      </c>
      <c r="Q481" t="s">
        <v>39</v>
      </c>
      <c r="R481" t="str">
        <f>IF(Table14[[#This Row],[Resolution_Time]]&gt;Table14[[#This Row],[SLA_Target]],"No", "Yes")</f>
        <v>Yes</v>
      </c>
      <c r="S481" t="str">
        <f>IF(Table14[[#This Row],[Calculated_SLA]]=Table14[[#This Row],[SLA_Met]],"Match","Mismatch")</f>
        <v>Match</v>
      </c>
      <c r="T481">
        <f>IF(Table14[[#This Row],[Calculated_SLA]]="Yes",1,0)</f>
        <v>1</v>
      </c>
      <c r="U481" t="str">
        <f>IF(COUNTIFS(Reference_data!A:A,Table14[[#This Row],[Category]],Reference_data!B:B,Table14[[#This Row],[Subcategory]])&gt;0,"Valid","Invalid")</f>
        <v>Valid</v>
      </c>
    </row>
    <row r="482" spans="1:21">
      <c r="A482" t="s">
        <v>1503</v>
      </c>
      <c r="B482" t="s">
        <v>18</v>
      </c>
      <c r="C482" s="31" t="s">
        <v>1953</v>
      </c>
      <c r="D482" s="32" t="s">
        <v>2434</v>
      </c>
      <c r="E482" t="s">
        <v>21</v>
      </c>
      <c r="F482" t="s">
        <v>69</v>
      </c>
      <c r="G482" t="s">
        <v>46</v>
      </c>
      <c r="H482" t="s">
        <v>138</v>
      </c>
      <c r="I482" t="s">
        <v>25</v>
      </c>
      <c r="J482">
        <v>13.2</v>
      </c>
      <c r="K482">
        <v>8</v>
      </c>
      <c r="L482" t="s">
        <v>27</v>
      </c>
      <c r="M482">
        <v>3</v>
      </c>
      <c r="N482" t="s">
        <v>26</v>
      </c>
      <c r="O482" t="s">
        <v>28</v>
      </c>
      <c r="P482" t="s">
        <v>1670</v>
      </c>
      <c r="Q482" t="s">
        <v>39</v>
      </c>
      <c r="R482" t="str">
        <f>IF(Table14[[#This Row],[Resolution_Time]]&gt;Table14[[#This Row],[SLA_Target]],"No", "Yes")</f>
        <v>No</v>
      </c>
      <c r="S482" t="str">
        <f>IF(Table14[[#This Row],[Calculated_SLA]]=Table14[[#This Row],[SLA_Met]],"Match","Mismatch")</f>
        <v>Match</v>
      </c>
      <c r="T482">
        <f>IF(Table14[[#This Row],[Calculated_SLA]]="Yes",1,0)</f>
        <v>0</v>
      </c>
      <c r="U482" t="str">
        <f>IF(COUNTIFS(Reference_data!A:A,Table14[[#This Row],[Category]],Reference_data!B:B,Table14[[#This Row],[Subcategory]])&gt;0,"Valid","Invalid")</f>
        <v>Valid</v>
      </c>
    </row>
    <row r="483" spans="1:21">
      <c r="A483" t="s">
        <v>1506</v>
      </c>
      <c r="B483" t="s">
        <v>32</v>
      </c>
      <c r="C483" s="31" t="s">
        <v>2041</v>
      </c>
      <c r="D483" s="32" t="s">
        <v>2435</v>
      </c>
      <c r="E483" t="s">
        <v>21</v>
      </c>
      <c r="F483" t="s">
        <v>69</v>
      </c>
      <c r="G483" t="s">
        <v>54</v>
      </c>
      <c r="H483" t="s">
        <v>70</v>
      </c>
      <c r="I483" t="s">
        <v>25</v>
      </c>
      <c r="J483">
        <v>7.1</v>
      </c>
      <c r="K483">
        <v>4</v>
      </c>
      <c r="L483" t="s">
        <v>27</v>
      </c>
      <c r="M483">
        <v>3</v>
      </c>
      <c r="N483" t="s">
        <v>26</v>
      </c>
      <c r="O483" t="s">
        <v>28</v>
      </c>
      <c r="P483" t="s">
        <v>1670</v>
      </c>
      <c r="Q483" t="s">
        <v>101</v>
      </c>
      <c r="R483" t="str">
        <f>IF(Table14[[#This Row],[Resolution_Time]]&gt;Table14[[#This Row],[SLA_Target]],"No", "Yes")</f>
        <v>No</v>
      </c>
      <c r="S483" t="str">
        <f>IF(Table14[[#This Row],[Calculated_SLA]]=Table14[[#This Row],[SLA_Met]],"Match","Mismatch")</f>
        <v>Match</v>
      </c>
      <c r="T483">
        <f>IF(Table14[[#This Row],[Calculated_SLA]]="Yes",1,0)</f>
        <v>0</v>
      </c>
      <c r="U483" t="str">
        <f>IF(COUNTIFS(Reference_data!A:A,Table14[[#This Row],[Category]],Reference_data!B:B,Table14[[#This Row],[Subcategory]])&gt;0,"Valid","Invalid")</f>
        <v>Valid</v>
      </c>
    </row>
    <row r="484" spans="1:21">
      <c r="A484" t="s">
        <v>1509</v>
      </c>
      <c r="B484" t="s">
        <v>32</v>
      </c>
      <c r="C484" s="31" t="s">
        <v>1805</v>
      </c>
      <c r="D484" s="32" t="s">
        <v>2436</v>
      </c>
      <c r="E484" t="s">
        <v>78</v>
      </c>
      <c r="F484" t="s">
        <v>166</v>
      </c>
      <c r="G484" t="s">
        <v>54</v>
      </c>
      <c r="H484" t="s">
        <v>47</v>
      </c>
      <c r="I484" t="s">
        <v>80</v>
      </c>
      <c r="J484">
        <v>9.4</v>
      </c>
      <c r="K484">
        <v>4</v>
      </c>
      <c r="L484" t="s">
        <v>27</v>
      </c>
      <c r="M484">
        <v>3</v>
      </c>
      <c r="N484" t="s">
        <v>26</v>
      </c>
      <c r="O484" t="s">
        <v>28</v>
      </c>
      <c r="P484" t="s">
        <v>57</v>
      </c>
      <c r="Q484" t="s">
        <v>101</v>
      </c>
      <c r="R484" t="str">
        <f>IF(Table14[[#This Row],[Resolution_Time]]&gt;Table14[[#This Row],[SLA_Target]],"No", "Yes")</f>
        <v>No</v>
      </c>
      <c r="S484" t="str">
        <f>IF(Table14[[#This Row],[Calculated_SLA]]=Table14[[#This Row],[SLA_Met]],"Match","Mismatch")</f>
        <v>Match</v>
      </c>
      <c r="T484">
        <f>IF(Table14[[#This Row],[Calculated_SLA]]="Yes",1,0)</f>
        <v>0</v>
      </c>
      <c r="U484" t="str">
        <f>IF(COUNTIFS(Reference_data!A:A,Table14[[#This Row],[Category]],Reference_data!B:B,Table14[[#This Row],[Subcategory]])&gt;0,"Valid","Invalid")</f>
        <v>Valid</v>
      </c>
    </row>
    <row r="485" spans="1:21">
      <c r="A485" t="s">
        <v>1512</v>
      </c>
      <c r="B485" t="s">
        <v>32</v>
      </c>
      <c r="C485" s="31" t="s">
        <v>1778</v>
      </c>
      <c r="D485" s="32" t="s">
        <v>2285</v>
      </c>
      <c r="E485" t="s">
        <v>78</v>
      </c>
      <c r="F485" t="s">
        <v>166</v>
      </c>
      <c r="G485" t="s">
        <v>46</v>
      </c>
      <c r="H485" t="s">
        <v>47</v>
      </c>
      <c r="I485" t="s">
        <v>80</v>
      </c>
      <c r="J485">
        <v>9.8000000000000007</v>
      </c>
      <c r="K485">
        <v>8</v>
      </c>
      <c r="L485" t="s">
        <v>27</v>
      </c>
      <c r="M485">
        <v>3</v>
      </c>
      <c r="N485" t="s">
        <v>26</v>
      </c>
      <c r="O485" t="s">
        <v>28</v>
      </c>
      <c r="P485" t="s">
        <v>57</v>
      </c>
      <c r="Q485" t="s">
        <v>39</v>
      </c>
      <c r="R485" t="str">
        <f>IF(Table14[[#This Row],[Resolution_Time]]&gt;Table14[[#This Row],[SLA_Target]],"No", "Yes")</f>
        <v>No</v>
      </c>
      <c r="S485" t="str">
        <f>IF(Table14[[#This Row],[Calculated_SLA]]=Table14[[#This Row],[SLA_Met]],"Match","Mismatch")</f>
        <v>Match</v>
      </c>
      <c r="T485">
        <f>IF(Table14[[#This Row],[Calculated_SLA]]="Yes",1,0)</f>
        <v>0</v>
      </c>
      <c r="U485" t="str">
        <f>IF(COUNTIFS(Reference_data!A:A,Table14[[#This Row],[Category]],Reference_data!B:B,Table14[[#This Row],[Subcategory]])&gt;0,"Valid","Invalid")</f>
        <v>Valid</v>
      </c>
    </row>
    <row r="486" spans="1:21">
      <c r="A486" t="s">
        <v>1515</v>
      </c>
      <c r="B486" t="s">
        <v>135</v>
      </c>
      <c r="C486" s="31" t="s">
        <v>2042</v>
      </c>
      <c r="D486" s="32" t="s">
        <v>2437</v>
      </c>
      <c r="E486" t="s">
        <v>78</v>
      </c>
      <c r="F486" t="s">
        <v>166</v>
      </c>
      <c r="G486" t="s">
        <v>23</v>
      </c>
      <c r="H486" t="s">
        <v>86</v>
      </c>
      <c r="I486" t="s">
        <v>80</v>
      </c>
      <c r="J486">
        <v>15.4</v>
      </c>
      <c r="K486">
        <v>24</v>
      </c>
      <c r="L486" t="s">
        <v>26</v>
      </c>
      <c r="M486">
        <v>4</v>
      </c>
      <c r="N486" t="s">
        <v>27</v>
      </c>
      <c r="O486" t="s">
        <v>28</v>
      </c>
      <c r="P486" t="s">
        <v>29</v>
      </c>
      <c r="Q486" t="s">
        <v>58</v>
      </c>
      <c r="R486" t="str">
        <f>IF(Table14[[#This Row],[Resolution_Time]]&gt;Table14[[#This Row],[SLA_Target]],"No", "Yes")</f>
        <v>Yes</v>
      </c>
      <c r="S486" t="str">
        <f>IF(Table14[[#This Row],[Calculated_SLA]]=Table14[[#This Row],[SLA_Met]],"Match","Mismatch")</f>
        <v>Match</v>
      </c>
      <c r="T486">
        <f>IF(Table14[[#This Row],[Calculated_SLA]]="Yes",1,0)</f>
        <v>1</v>
      </c>
      <c r="U486" t="str">
        <f>IF(COUNTIFS(Reference_data!A:A,Table14[[#This Row],[Category]],Reference_data!B:B,Table14[[#This Row],[Subcategory]])&gt;0,"Valid","Invalid")</f>
        <v>Valid</v>
      </c>
    </row>
    <row r="487" spans="1:21">
      <c r="A487" t="s">
        <v>1518</v>
      </c>
      <c r="B487" t="s">
        <v>121</v>
      </c>
      <c r="C487" s="31" t="s">
        <v>1848</v>
      </c>
      <c r="D487" s="32" t="s">
        <v>2372</v>
      </c>
      <c r="E487" t="s">
        <v>78</v>
      </c>
      <c r="F487" t="s">
        <v>166</v>
      </c>
      <c r="G487" t="s">
        <v>23</v>
      </c>
      <c r="H487" t="s">
        <v>86</v>
      </c>
      <c r="I487" t="s">
        <v>80</v>
      </c>
      <c r="J487">
        <v>10.6</v>
      </c>
      <c r="K487">
        <v>24</v>
      </c>
      <c r="L487" t="s">
        <v>26</v>
      </c>
      <c r="M487">
        <v>4</v>
      </c>
      <c r="N487" t="s">
        <v>27</v>
      </c>
      <c r="O487" t="s">
        <v>28</v>
      </c>
      <c r="P487" t="s">
        <v>29</v>
      </c>
      <c r="Q487" t="s">
        <v>101</v>
      </c>
      <c r="R487" t="str">
        <f>IF(Table14[[#This Row],[Resolution_Time]]&gt;Table14[[#This Row],[SLA_Target]],"No", "Yes")</f>
        <v>Yes</v>
      </c>
      <c r="S487" t="str">
        <f>IF(Table14[[#This Row],[Calculated_SLA]]=Table14[[#This Row],[SLA_Met]],"Match","Mismatch")</f>
        <v>Match</v>
      </c>
      <c r="T487">
        <f>IF(Table14[[#This Row],[Calculated_SLA]]="Yes",1,0)</f>
        <v>1</v>
      </c>
      <c r="U487" t="str">
        <f>IF(COUNTIFS(Reference_data!A:A,Table14[[#This Row],[Category]],Reference_data!B:B,Table14[[#This Row],[Subcategory]])&gt;0,"Valid","Invalid")</f>
        <v>Valid</v>
      </c>
    </row>
    <row r="488" spans="1:21">
      <c r="A488" t="s">
        <v>1521</v>
      </c>
      <c r="B488" t="s">
        <v>18</v>
      </c>
      <c r="C488" s="31" t="s">
        <v>2043</v>
      </c>
      <c r="D488" s="32" t="s">
        <v>1878</v>
      </c>
      <c r="E488" t="s">
        <v>84</v>
      </c>
      <c r="F488" t="s">
        <v>85</v>
      </c>
      <c r="G488" t="s">
        <v>46</v>
      </c>
      <c r="H488" t="s">
        <v>64</v>
      </c>
      <c r="I488" t="s">
        <v>87</v>
      </c>
      <c r="J488">
        <v>3.2</v>
      </c>
      <c r="K488">
        <v>8</v>
      </c>
      <c r="L488" t="s">
        <v>26</v>
      </c>
      <c r="M488">
        <v>4</v>
      </c>
      <c r="N488" t="s">
        <v>27</v>
      </c>
      <c r="O488" t="s">
        <v>28</v>
      </c>
      <c r="P488" t="s">
        <v>29</v>
      </c>
      <c r="Q488" t="s">
        <v>101</v>
      </c>
      <c r="R488" t="str">
        <f>IF(Table14[[#This Row],[Resolution_Time]]&gt;Table14[[#This Row],[SLA_Target]],"No", "Yes")</f>
        <v>Yes</v>
      </c>
      <c r="S488" t="str">
        <f>IF(Table14[[#This Row],[Calculated_SLA]]=Table14[[#This Row],[SLA_Met]],"Match","Mismatch")</f>
        <v>Match</v>
      </c>
      <c r="T488">
        <f>IF(Table14[[#This Row],[Calculated_SLA]]="Yes",1,0)</f>
        <v>1</v>
      </c>
      <c r="U488" t="str">
        <f>IF(COUNTIFS(Reference_data!A:A,Table14[[#This Row],[Category]],Reference_data!B:B,Table14[[#This Row],[Subcategory]])&gt;0,"Valid","Invalid")</f>
        <v>Valid</v>
      </c>
    </row>
    <row r="489" spans="1:21">
      <c r="A489" t="s">
        <v>1524</v>
      </c>
      <c r="B489" t="s">
        <v>41</v>
      </c>
      <c r="C489" s="31" t="s">
        <v>1762</v>
      </c>
      <c r="D489" s="32" t="s">
        <v>2056</v>
      </c>
      <c r="E489" t="s">
        <v>78</v>
      </c>
      <c r="F489" t="s">
        <v>191</v>
      </c>
      <c r="G489" t="s">
        <v>46</v>
      </c>
      <c r="H489" t="s">
        <v>138</v>
      </c>
      <c r="I489" t="s">
        <v>38</v>
      </c>
      <c r="J489">
        <v>8.6999999999999993</v>
      </c>
      <c r="K489">
        <v>8</v>
      </c>
      <c r="L489" t="s">
        <v>27</v>
      </c>
      <c r="M489">
        <v>1</v>
      </c>
      <c r="N489" t="s">
        <v>27</v>
      </c>
      <c r="O489" t="s">
        <v>28</v>
      </c>
      <c r="P489" t="s">
        <v>1670</v>
      </c>
      <c r="Q489" t="s">
        <v>39</v>
      </c>
      <c r="R489" t="str">
        <f>IF(Table14[[#This Row],[Resolution_Time]]&gt;Table14[[#This Row],[SLA_Target]],"No", "Yes")</f>
        <v>No</v>
      </c>
      <c r="S489" t="str">
        <f>IF(Table14[[#This Row],[Calculated_SLA]]=Table14[[#This Row],[SLA_Met]],"Match","Mismatch")</f>
        <v>Match</v>
      </c>
      <c r="T489">
        <f>IF(Table14[[#This Row],[Calculated_SLA]]="Yes",1,0)</f>
        <v>0</v>
      </c>
      <c r="U489" t="str">
        <f>IF(COUNTIFS(Reference_data!A:A,Table14[[#This Row],[Category]],Reference_data!B:B,Table14[[#This Row],[Subcategory]])&gt;0,"Valid","Invalid")</f>
        <v>Valid</v>
      </c>
    </row>
    <row r="490" spans="1:21">
      <c r="A490" t="s">
        <v>1527</v>
      </c>
      <c r="B490" t="s">
        <v>66</v>
      </c>
      <c r="C490" s="31" t="s">
        <v>2044</v>
      </c>
      <c r="D490" s="32" t="s">
        <v>2438</v>
      </c>
      <c r="E490" t="s">
        <v>21</v>
      </c>
      <c r="F490" t="s">
        <v>63</v>
      </c>
      <c r="G490" t="s">
        <v>46</v>
      </c>
      <c r="H490" t="s">
        <v>47</v>
      </c>
      <c r="I490" t="s">
        <v>25</v>
      </c>
      <c r="J490">
        <v>10.4</v>
      </c>
      <c r="K490">
        <v>8</v>
      </c>
      <c r="L490" t="s">
        <v>27</v>
      </c>
      <c r="M490">
        <v>3</v>
      </c>
      <c r="N490" t="s">
        <v>27</v>
      </c>
      <c r="O490" t="s">
        <v>28</v>
      </c>
      <c r="P490" t="s">
        <v>1670</v>
      </c>
      <c r="Q490" t="s">
        <v>101</v>
      </c>
      <c r="R490" t="str">
        <f>IF(Table14[[#This Row],[Resolution_Time]]&gt;Table14[[#This Row],[SLA_Target]],"No", "Yes")</f>
        <v>No</v>
      </c>
      <c r="S490" t="str">
        <f>IF(Table14[[#This Row],[Calculated_SLA]]=Table14[[#This Row],[SLA_Met]],"Match","Mismatch")</f>
        <v>Match</v>
      </c>
      <c r="T490">
        <f>IF(Table14[[#This Row],[Calculated_SLA]]="Yes",1,0)</f>
        <v>0</v>
      </c>
      <c r="U490" t="str">
        <f>IF(COUNTIFS(Reference_data!A:A,Table14[[#This Row],[Category]],Reference_data!B:B,Table14[[#This Row],[Subcategory]])&gt;0,"Valid","Invalid")</f>
        <v>Valid</v>
      </c>
    </row>
    <row r="491" spans="1:21">
      <c r="A491" t="s">
        <v>1530</v>
      </c>
      <c r="B491" t="s">
        <v>121</v>
      </c>
      <c r="C491" s="31" t="s">
        <v>2045</v>
      </c>
      <c r="D491" s="32" t="s">
        <v>2439</v>
      </c>
      <c r="E491" t="s">
        <v>35</v>
      </c>
      <c r="F491" t="s">
        <v>36</v>
      </c>
      <c r="G491" t="s">
        <v>46</v>
      </c>
      <c r="H491" t="s">
        <v>138</v>
      </c>
      <c r="I491" t="s">
        <v>38</v>
      </c>
      <c r="J491">
        <v>9.5</v>
      </c>
      <c r="K491">
        <v>8</v>
      </c>
      <c r="L491" t="s">
        <v>27</v>
      </c>
      <c r="M491">
        <v>3</v>
      </c>
      <c r="N491" t="s">
        <v>27</v>
      </c>
      <c r="O491" t="s">
        <v>28</v>
      </c>
      <c r="P491" t="s">
        <v>57</v>
      </c>
      <c r="Q491" t="s">
        <v>30</v>
      </c>
      <c r="R491" t="str">
        <f>IF(Table14[[#This Row],[Resolution_Time]]&gt;Table14[[#This Row],[SLA_Target]],"No", "Yes")</f>
        <v>No</v>
      </c>
      <c r="S491" t="str">
        <f>IF(Table14[[#This Row],[Calculated_SLA]]=Table14[[#This Row],[SLA_Met]],"Match","Mismatch")</f>
        <v>Match</v>
      </c>
      <c r="T491">
        <f>IF(Table14[[#This Row],[Calculated_SLA]]="Yes",1,0)</f>
        <v>0</v>
      </c>
      <c r="U491" t="str">
        <f>IF(COUNTIFS(Reference_data!A:A,Table14[[#This Row],[Category]],Reference_data!B:B,Table14[[#This Row],[Subcategory]])&gt;0,"Valid","Invalid")</f>
        <v>Valid</v>
      </c>
    </row>
    <row r="492" spans="1:21">
      <c r="A492" t="s">
        <v>1533</v>
      </c>
      <c r="B492" t="s">
        <v>32</v>
      </c>
      <c r="C492" s="31" t="s">
        <v>2046</v>
      </c>
      <c r="D492" s="32" t="s">
        <v>2440</v>
      </c>
      <c r="E492" t="s">
        <v>21</v>
      </c>
      <c r="F492" t="s">
        <v>63</v>
      </c>
      <c r="G492" t="s">
        <v>46</v>
      </c>
      <c r="H492" t="s">
        <v>24</v>
      </c>
      <c r="I492" t="s">
        <v>25</v>
      </c>
      <c r="J492">
        <v>13.7</v>
      </c>
      <c r="K492">
        <v>8</v>
      </c>
      <c r="L492" t="s">
        <v>27</v>
      </c>
      <c r="M492">
        <v>1</v>
      </c>
      <c r="N492" t="s">
        <v>26</v>
      </c>
      <c r="O492" t="s">
        <v>28</v>
      </c>
      <c r="P492" t="s">
        <v>57</v>
      </c>
      <c r="Q492" t="s">
        <v>101</v>
      </c>
      <c r="R492" t="str">
        <f>IF(Table14[[#This Row],[Resolution_Time]]&gt;Table14[[#This Row],[SLA_Target]],"No", "Yes")</f>
        <v>No</v>
      </c>
      <c r="S492" t="str">
        <f>IF(Table14[[#This Row],[Calculated_SLA]]=Table14[[#This Row],[SLA_Met]],"Match","Mismatch")</f>
        <v>Match</v>
      </c>
      <c r="T492">
        <f>IF(Table14[[#This Row],[Calculated_SLA]]="Yes",1,0)</f>
        <v>0</v>
      </c>
      <c r="U492" t="str">
        <f>IF(COUNTIFS(Reference_data!A:A,Table14[[#This Row],[Category]],Reference_data!B:B,Table14[[#This Row],[Subcategory]])&gt;0,"Valid","Invalid")</f>
        <v>Valid</v>
      </c>
    </row>
    <row r="493" spans="1:21">
      <c r="A493" t="s">
        <v>1536</v>
      </c>
      <c r="B493" t="s">
        <v>32</v>
      </c>
      <c r="C493" s="31" t="s">
        <v>2047</v>
      </c>
      <c r="D493" s="32" t="s">
        <v>2441</v>
      </c>
      <c r="E493" t="s">
        <v>35</v>
      </c>
      <c r="F493" t="s">
        <v>127</v>
      </c>
      <c r="G493" t="s">
        <v>23</v>
      </c>
      <c r="H493" t="s">
        <v>138</v>
      </c>
      <c r="I493" t="s">
        <v>56</v>
      </c>
      <c r="J493">
        <v>5.7</v>
      </c>
      <c r="K493">
        <v>24</v>
      </c>
      <c r="L493" t="s">
        <v>26</v>
      </c>
      <c r="M493">
        <v>4</v>
      </c>
      <c r="N493" t="s">
        <v>27</v>
      </c>
      <c r="O493" t="s">
        <v>28</v>
      </c>
      <c r="P493" t="s">
        <v>29</v>
      </c>
      <c r="Q493" t="s">
        <v>39</v>
      </c>
      <c r="R493" t="str">
        <f>IF(Table14[[#This Row],[Resolution_Time]]&gt;Table14[[#This Row],[SLA_Target]],"No", "Yes")</f>
        <v>Yes</v>
      </c>
      <c r="S493" t="str">
        <f>IF(Table14[[#This Row],[Calculated_SLA]]=Table14[[#This Row],[SLA_Met]],"Match","Mismatch")</f>
        <v>Match</v>
      </c>
      <c r="T493">
        <f>IF(Table14[[#This Row],[Calculated_SLA]]="Yes",1,0)</f>
        <v>1</v>
      </c>
      <c r="U493" t="str">
        <f>IF(COUNTIFS(Reference_data!A:A,Table14[[#This Row],[Category]],Reference_data!B:B,Table14[[#This Row],[Subcategory]])&gt;0,"Valid","Invalid")</f>
        <v>Valid</v>
      </c>
    </row>
    <row r="494" spans="1:21">
      <c r="A494" t="s">
        <v>1539</v>
      </c>
      <c r="B494" t="s">
        <v>18</v>
      </c>
      <c r="C494" s="31" t="s">
        <v>1977</v>
      </c>
      <c r="D494" s="32" t="s">
        <v>2442</v>
      </c>
      <c r="E494" t="s">
        <v>21</v>
      </c>
      <c r="F494" t="s">
        <v>22</v>
      </c>
      <c r="G494" t="s">
        <v>46</v>
      </c>
      <c r="H494" t="s">
        <v>70</v>
      </c>
      <c r="I494" t="s">
        <v>25</v>
      </c>
      <c r="J494">
        <v>15.7</v>
      </c>
      <c r="K494">
        <v>8</v>
      </c>
      <c r="L494" t="s">
        <v>27</v>
      </c>
      <c r="M494">
        <v>1</v>
      </c>
      <c r="N494" t="s">
        <v>27</v>
      </c>
      <c r="O494" t="s">
        <v>28</v>
      </c>
      <c r="P494" t="s">
        <v>1670</v>
      </c>
      <c r="Q494" t="s">
        <v>58</v>
      </c>
      <c r="R494" t="str">
        <f>IF(Table14[[#This Row],[Resolution_Time]]&gt;Table14[[#This Row],[SLA_Target]],"No", "Yes")</f>
        <v>No</v>
      </c>
      <c r="S494" t="str">
        <f>IF(Table14[[#This Row],[Calculated_SLA]]=Table14[[#This Row],[SLA_Met]],"Match","Mismatch")</f>
        <v>Match</v>
      </c>
      <c r="T494">
        <f>IF(Table14[[#This Row],[Calculated_SLA]]="Yes",1,0)</f>
        <v>0</v>
      </c>
      <c r="U494" t="str">
        <f>IF(COUNTIFS(Reference_data!A:A,Table14[[#This Row],[Category]],Reference_data!B:B,Table14[[#This Row],[Subcategory]])&gt;0,"Valid","Invalid")</f>
        <v>Valid</v>
      </c>
    </row>
    <row r="495" spans="1:21">
      <c r="A495" t="s">
        <v>1542</v>
      </c>
      <c r="B495" t="s">
        <v>32</v>
      </c>
      <c r="C495" s="31" t="s">
        <v>2048</v>
      </c>
      <c r="D495" s="32" t="s">
        <v>2443</v>
      </c>
      <c r="E495" t="s">
        <v>35</v>
      </c>
      <c r="F495" t="s">
        <v>53</v>
      </c>
      <c r="G495" t="s">
        <v>46</v>
      </c>
      <c r="H495" t="s">
        <v>37</v>
      </c>
      <c r="I495" t="s">
        <v>56</v>
      </c>
      <c r="J495">
        <v>7.8</v>
      </c>
      <c r="K495">
        <v>8</v>
      </c>
      <c r="L495" t="s">
        <v>26</v>
      </c>
      <c r="M495">
        <v>4</v>
      </c>
      <c r="N495" t="s">
        <v>27</v>
      </c>
      <c r="O495" t="s">
        <v>28</v>
      </c>
      <c r="P495" t="s">
        <v>29</v>
      </c>
      <c r="Q495" t="s">
        <v>39</v>
      </c>
      <c r="R495" t="str">
        <f>IF(Table14[[#This Row],[Resolution_Time]]&gt;Table14[[#This Row],[SLA_Target]],"No", "Yes")</f>
        <v>Yes</v>
      </c>
      <c r="S495" t="str">
        <f>IF(Table14[[#This Row],[Calculated_SLA]]=Table14[[#This Row],[SLA_Met]],"Match","Mismatch")</f>
        <v>Match</v>
      </c>
      <c r="T495">
        <f>IF(Table14[[#This Row],[Calculated_SLA]]="Yes",1,0)</f>
        <v>1</v>
      </c>
      <c r="U495" t="str">
        <f>IF(COUNTIFS(Reference_data!A:A,Table14[[#This Row],[Category]],Reference_data!B:B,Table14[[#This Row],[Subcategory]])&gt;0,"Valid","Invalid")</f>
        <v>Valid</v>
      </c>
    </row>
    <row r="496" spans="1:21">
      <c r="A496" t="s">
        <v>1545</v>
      </c>
      <c r="B496" t="s">
        <v>60</v>
      </c>
      <c r="C496" s="31" t="s">
        <v>2049</v>
      </c>
      <c r="D496" s="32" t="s">
        <v>2276</v>
      </c>
      <c r="E496" t="s">
        <v>35</v>
      </c>
      <c r="F496" t="s">
        <v>127</v>
      </c>
      <c r="G496" t="s">
        <v>54</v>
      </c>
      <c r="H496" t="s">
        <v>64</v>
      </c>
      <c r="I496" t="s">
        <v>56</v>
      </c>
      <c r="J496">
        <v>8.3000000000000007</v>
      </c>
      <c r="K496">
        <v>4</v>
      </c>
      <c r="L496" t="s">
        <v>27</v>
      </c>
      <c r="M496">
        <v>2</v>
      </c>
      <c r="N496" t="s">
        <v>26</v>
      </c>
      <c r="O496" t="s">
        <v>28</v>
      </c>
      <c r="P496" t="s">
        <v>1670</v>
      </c>
      <c r="Q496" t="s">
        <v>39</v>
      </c>
      <c r="R496" t="str">
        <f>IF(Table14[[#This Row],[Resolution_Time]]&gt;Table14[[#This Row],[SLA_Target]],"No", "Yes")</f>
        <v>No</v>
      </c>
      <c r="S496" t="str">
        <f>IF(Table14[[#This Row],[Calculated_SLA]]=Table14[[#This Row],[SLA_Met]],"Match","Mismatch")</f>
        <v>Match</v>
      </c>
      <c r="T496">
        <f>IF(Table14[[#This Row],[Calculated_SLA]]="Yes",1,0)</f>
        <v>0</v>
      </c>
      <c r="U496" t="str">
        <f>IF(COUNTIFS(Reference_data!A:A,Table14[[#This Row],[Category]],Reference_data!B:B,Table14[[#This Row],[Subcategory]])&gt;0,"Valid","Invalid")</f>
        <v>Valid</v>
      </c>
    </row>
    <row r="497" spans="1:21">
      <c r="A497" t="s">
        <v>1548</v>
      </c>
      <c r="B497" t="s">
        <v>106</v>
      </c>
      <c r="C497" s="31" t="s">
        <v>1877</v>
      </c>
      <c r="D497" s="32" t="s">
        <v>2336</v>
      </c>
      <c r="E497" t="s">
        <v>21</v>
      </c>
      <c r="F497" t="s">
        <v>69</v>
      </c>
      <c r="G497" t="s">
        <v>54</v>
      </c>
      <c r="H497" t="s">
        <v>55</v>
      </c>
      <c r="I497" t="s">
        <v>25</v>
      </c>
      <c r="J497">
        <v>6.7</v>
      </c>
      <c r="K497">
        <v>4</v>
      </c>
      <c r="L497" t="s">
        <v>27</v>
      </c>
      <c r="M497">
        <v>3</v>
      </c>
      <c r="N497" t="s">
        <v>26</v>
      </c>
      <c r="O497" t="s">
        <v>28</v>
      </c>
      <c r="P497" t="s">
        <v>1670</v>
      </c>
      <c r="Q497" t="s">
        <v>39</v>
      </c>
      <c r="R497" t="str">
        <f>IF(Table14[[#This Row],[Resolution_Time]]&gt;Table14[[#This Row],[SLA_Target]],"No", "Yes")</f>
        <v>No</v>
      </c>
      <c r="S497" t="str">
        <f>IF(Table14[[#This Row],[Calculated_SLA]]=Table14[[#This Row],[SLA_Met]],"Match","Mismatch")</f>
        <v>Match</v>
      </c>
      <c r="T497">
        <f>IF(Table14[[#This Row],[Calculated_SLA]]="Yes",1,0)</f>
        <v>0</v>
      </c>
      <c r="U497" t="str">
        <f>IF(COUNTIFS(Reference_data!A:A,Table14[[#This Row],[Category]],Reference_data!B:B,Table14[[#This Row],[Subcategory]])&gt;0,"Valid","Invalid")</f>
        <v>Valid</v>
      </c>
    </row>
    <row r="498" spans="1:21">
      <c r="A498" t="s">
        <v>1551</v>
      </c>
      <c r="B498" t="s">
        <v>50</v>
      </c>
      <c r="C498" s="31" t="s">
        <v>2050</v>
      </c>
      <c r="D498" s="32" t="s">
        <v>2444</v>
      </c>
      <c r="E498" t="s">
        <v>78</v>
      </c>
      <c r="F498" t="s">
        <v>191</v>
      </c>
      <c r="G498" t="s">
        <v>54</v>
      </c>
      <c r="H498" t="s">
        <v>64</v>
      </c>
      <c r="I498" t="s">
        <v>38</v>
      </c>
      <c r="J498">
        <v>8.1</v>
      </c>
      <c r="K498">
        <v>4</v>
      </c>
      <c r="L498" t="s">
        <v>27</v>
      </c>
      <c r="M498">
        <v>2</v>
      </c>
      <c r="N498" t="s">
        <v>26</v>
      </c>
      <c r="O498" t="s">
        <v>28</v>
      </c>
      <c r="P498" t="s">
        <v>57</v>
      </c>
      <c r="Q498" t="s">
        <v>39</v>
      </c>
      <c r="R498" t="str">
        <f>IF(Table14[[#This Row],[Resolution_Time]]&gt;Table14[[#This Row],[SLA_Target]],"No", "Yes")</f>
        <v>No</v>
      </c>
      <c r="S498" t="str">
        <f>IF(Table14[[#This Row],[Calculated_SLA]]=Table14[[#This Row],[SLA_Met]],"Match","Mismatch")</f>
        <v>Match</v>
      </c>
      <c r="T498">
        <f>IF(Table14[[#This Row],[Calculated_SLA]]="Yes",1,0)</f>
        <v>0</v>
      </c>
      <c r="U498" t="str">
        <f>IF(COUNTIFS(Reference_data!A:A,Table14[[#This Row],[Category]],Reference_data!B:B,Table14[[#This Row],[Subcategory]])&gt;0,"Valid","Invalid")</f>
        <v>Valid</v>
      </c>
    </row>
    <row r="499" spans="1:21">
      <c r="A499" t="s">
        <v>1554</v>
      </c>
      <c r="B499" t="s">
        <v>66</v>
      </c>
      <c r="C499" s="31" t="s">
        <v>2051</v>
      </c>
      <c r="D499" s="32" t="s">
        <v>2445</v>
      </c>
      <c r="E499" t="s">
        <v>35</v>
      </c>
      <c r="F499" t="s">
        <v>53</v>
      </c>
      <c r="G499" t="s">
        <v>46</v>
      </c>
      <c r="H499" t="s">
        <v>234</v>
      </c>
      <c r="I499" t="s">
        <v>56</v>
      </c>
      <c r="J499">
        <v>8.4</v>
      </c>
      <c r="K499">
        <v>8</v>
      </c>
      <c r="L499" t="s">
        <v>27</v>
      </c>
      <c r="M499">
        <v>3</v>
      </c>
      <c r="N499" t="s">
        <v>27</v>
      </c>
      <c r="O499" t="s">
        <v>28</v>
      </c>
      <c r="P499" t="s">
        <v>1670</v>
      </c>
      <c r="Q499" t="s">
        <v>39</v>
      </c>
      <c r="R499" t="str">
        <f>IF(Table14[[#This Row],[Resolution_Time]]&gt;Table14[[#This Row],[SLA_Target]],"No", "Yes")</f>
        <v>No</v>
      </c>
      <c r="S499" t="str">
        <f>IF(Table14[[#This Row],[Calculated_SLA]]=Table14[[#This Row],[SLA_Met]],"Match","Mismatch")</f>
        <v>Match</v>
      </c>
      <c r="T499">
        <f>IF(Table14[[#This Row],[Calculated_SLA]]="Yes",1,0)</f>
        <v>0</v>
      </c>
      <c r="U499" t="str">
        <f>IF(COUNTIFS(Reference_data!A:A,Table14[[#This Row],[Category]],Reference_data!B:B,Table14[[#This Row],[Subcategory]])&gt;0,"Valid","Invalid")</f>
        <v>Valid</v>
      </c>
    </row>
    <row r="500" spans="1:21">
      <c r="A500" t="s">
        <v>1557</v>
      </c>
      <c r="B500" t="s">
        <v>50</v>
      </c>
      <c r="C500" s="31" t="s">
        <v>2052</v>
      </c>
      <c r="D500" s="32" t="s">
        <v>2446</v>
      </c>
      <c r="E500" t="s">
        <v>78</v>
      </c>
      <c r="F500" t="s">
        <v>79</v>
      </c>
      <c r="G500" t="s">
        <v>54</v>
      </c>
      <c r="H500" t="s">
        <v>86</v>
      </c>
      <c r="I500" t="s">
        <v>80</v>
      </c>
      <c r="J500">
        <v>9.5</v>
      </c>
      <c r="K500">
        <v>4</v>
      </c>
      <c r="L500" t="s">
        <v>27</v>
      </c>
      <c r="M500">
        <v>3</v>
      </c>
      <c r="N500" t="s">
        <v>27</v>
      </c>
      <c r="O500" t="s">
        <v>28</v>
      </c>
      <c r="P500" t="s">
        <v>57</v>
      </c>
      <c r="Q500" t="s">
        <v>39</v>
      </c>
      <c r="R500" t="str">
        <f>IF(Table14[[#This Row],[Resolution_Time]]&gt;Table14[[#This Row],[SLA_Target]],"No", "Yes")</f>
        <v>No</v>
      </c>
      <c r="S500" t="str">
        <f>IF(Table14[[#This Row],[Calculated_SLA]]=Table14[[#This Row],[SLA_Met]],"Match","Mismatch")</f>
        <v>Match</v>
      </c>
      <c r="T500">
        <f>IF(Table14[[#This Row],[Calculated_SLA]]="Yes",1,0)</f>
        <v>0</v>
      </c>
      <c r="U500" t="str">
        <f>IF(COUNTIFS(Reference_data!A:A,Table14[[#This Row],[Category]],Reference_data!B:B,Table14[[#This Row],[Subcategory]])&gt;0,"Valid","Invalid")</f>
        <v>Valid</v>
      </c>
    </row>
    <row r="501" spans="1:21">
      <c r="A501" t="s">
        <v>1560</v>
      </c>
      <c r="B501" t="s">
        <v>32</v>
      </c>
      <c r="C501" s="31" t="s">
        <v>2053</v>
      </c>
      <c r="D501" s="32" t="s">
        <v>2447</v>
      </c>
      <c r="E501" t="s">
        <v>35</v>
      </c>
      <c r="F501" t="s">
        <v>127</v>
      </c>
      <c r="G501" t="s">
        <v>23</v>
      </c>
      <c r="H501" t="s">
        <v>91</v>
      </c>
      <c r="I501" t="s">
        <v>56</v>
      </c>
      <c r="J501">
        <v>7.4</v>
      </c>
      <c r="K501">
        <v>24</v>
      </c>
      <c r="L501" t="s">
        <v>26</v>
      </c>
      <c r="M501">
        <v>4</v>
      </c>
      <c r="N501" t="s">
        <v>27</v>
      </c>
      <c r="O501" t="s">
        <v>28</v>
      </c>
      <c r="P501" t="s">
        <v>29</v>
      </c>
      <c r="Q501" t="s">
        <v>39</v>
      </c>
      <c r="R501" t="str">
        <f>IF(Table14[[#This Row],[Resolution_Time]]&gt;Table14[[#This Row],[SLA_Target]],"No", "Yes")</f>
        <v>Yes</v>
      </c>
      <c r="S501" t="str">
        <f>IF(Table14[[#This Row],[Calculated_SLA]]=Table14[[#This Row],[SLA_Met]],"Match","Mismatch")</f>
        <v>Match</v>
      </c>
      <c r="T501">
        <f>IF(Table14[[#This Row],[Calculated_SLA]]="Yes",1,0)</f>
        <v>1</v>
      </c>
      <c r="U501" t="str">
        <f>IF(COUNTIFS(Reference_data!A:A,Table14[[#This Row],[Category]],Reference_data!B:B,Table14[[#This Row],[Subcategory]])&gt;0,"Valid","Invalid")</f>
        <v>Valid</v>
      </c>
    </row>
  </sheetData>
  <conditionalFormatting sqref="A2:A501">
    <cfRule type="duplicateValues" dxfId="0" priority="1"/>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B1197-FB8B-4FE4-90C2-907D1BD00A0B}">
  <dimension ref="A1:C14"/>
  <sheetViews>
    <sheetView workbookViewId="0">
      <selection activeCell="B2" sqref="B2"/>
    </sheetView>
  </sheetViews>
  <sheetFormatPr defaultRowHeight="15"/>
  <sheetData>
    <row r="1" spans="1:3" ht="30">
      <c r="A1" s="11" t="s">
        <v>4</v>
      </c>
      <c r="B1" s="11" t="s">
        <v>1563</v>
      </c>
      <c r="C1" s="11" t="s">
        <v>8</v>
      </c>
    </row>
    <row r="2" spans="1:3" ht="60">
      <c r="A2" s="12" t="s">
        <v>78</v>
      </c>
      <c r="B2" s="12" t="s">
        <v>166</v>
      </c>
      <c r="C2" s="12" t="s">
        <v>80</v>
      </c>
    </row>
    <row r="3" spans="1:3" ht="60">
      <c r="A3" s="12" t="s">
        <v>78</v>
      </c>
      <c r="B3" s="12" t="s">
        <v>79</v>
      </c>
      <c r="C3" s="12" t="s">
        <v>80</v>
      </c>
    </row>
    <row r="4" spans="1:3" ht="60">
      <c r="A4" s="12" t="s">
        <v>78</v>
      </c>
      <c r="B4" s="12" t="s">
        <v>191</v>
      </c>
      <c r="C4" s="12" t="s">
        <v>38</v>
      </c>
    </row>
    <row r="5" spans="1:3" ht="30">
      <c r="A5" s="12" t="s">
        <v>35</v>
      </c>
      <c r="B5" s="12" t="s">
        <v>127</v>
      </c>
      <c r="C5" s="12" t="s">
        <v>56</v>
      </c>
    </row>
    <row r="6" spans="1:3" ht="45">
      <c r="A6" s="12" t="s">
        <v>35</v>
      </c>
      <c r="B6" s="12" t="s">
        <v>53</v>
      </c>
      <c r="C6" s="12" t="s">
        <v>56</v>
      </c>
    </row>
    <row r="7" spans="1:3" ht="30">
      <c r="A7" s="12" t="s">
        <v>35</v>
      </c>
      <c r="B7" s="12" t="s">
        <v>36</v>
      </c>
      <c r="C7" s="12" t="s">
        <v>38</v>
      </c>
    </row>
    <row r="8" spans="1:3" ht="45">
      <c r="A8" s="12" t="s">
        <v>21</v>
      </c>
      <c r="B8" s="12" t="s">
        <v>22</v>
      </c>
      <c r="C8" s="12" t="s">
        <v>25</v>
      </c>
    </row>
    <row r="9" spans="1:3" ht="45">
      <c r="A9" s="12" t="s">
        <v>21</v>
      </c>
      <c r="B9" s="12" t="s">
        <v>63</v>
      </c>
      <c r="C9" s="12" t="s">
        <v>25</v>
      </c>
    </row>
    <row r="10" spans="1:3" ht="45">
      <c r="A10" s="12" t="s">
        <v>21</v>
      </c>
      <c r="B10" s="12" t="s">
        <v>69</v>
      </c>
      <c r="C10" s="12" t="s">
        <v>25</v>
      </c>
    </row>
    <row r="11" spans="1:3" ht="45">
      <c r="A11" s="12" t="s">
        <v>84</v>
      </c>
      <c r="B11" s="12" t="s">
        <v>116</v>
      </c>
      <c r="C11" s="12" t="s">
        <v>87</v>
      </c>
    </row>
    <row r="12" spans="1:3" ht="45">
      <c r="A12" s="12" t="s">
        <v>84</v>
      </c>
      <c r="B12" s="12" t="s">
        <v>85</v>
      </c>
      <c r="C12" s="12" t="s">
        <v>87</v>
      </c>
    </row>
    <row r="13" spans="1:3" ht="30">
      <c r="A13" s="12" t="s">
        <v>44</v>
      </c>
      <c r="B13" s="12" t="s">
        <v>109</v>
      </c>
      <c r="C13" s="12" t="s">
        <v>48</v>
      </c>
    </row>
    <row r="14" spans="1:3" ht="45">
      <c r="A14" s="12" t="s">
        <v>44</v>
      </c>
      <c r="B14" s="12" t="s">
        <v>45</v>
      </c>
      <c r="C14" s="12" t="s">
        <v>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E4D96-3516-44EB-9F7F-9B8FCAB7ACF2}">
  <dimension ref="A1:Q501"/>
  <sheetViews>
    <sheetView workbookViewId="0">
      <selection activeCell="T16" sqref="T16"/>
    </sheetView>
  </sheetViews>
  <sheetFormatPr defaultRowHeight="15"/>
  <cols>
    <col min="1" max="1" width="10.5703125" customWidth="1"/>
    <col min="2" max="2" width="9.7109375" customWidth="1"/>
    <col min="3" max="3" width="14.42578125" customWidth="1"/>
    <col min="4" max="4" width="13.5703125" customWidth="1"/>
    <col min="5" max="5" width="10.42578125" customWidth="1"/>
    <col min="6" max="6" width="14.42578125" customWidth="1"/>
    <col min="7" max="7" width="9.140625" customWidth="1"/>
    <col min="9" max="9" width="13.140625" customWidth="1"/>
    <col min="10" max="10" width="20.85546875" customWidth="1"/>
    <col min="11" max="11" width="15.85546875" customWidth="1"/>
    <col min="12" max="12" width="10.42578125" customWidth="1"/>
    <col min="13" max="13" width="17.42578125" customWidth="1"/>
    <col min="14" max="14" width="11.5703125" customWidth="1"/>
    <col min="15" max="15" width="14.140625" customWidth="1"/>
    <col min="16" max="16" width="17.140625" customWidth="1"/>
  </cols>
  <sheetData>
    <row r="1" spans="1:17" ht="15.75" thickBot="1">
      <c r="A1" s="13"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5" t="s">
        <v>16</v>
      </c>
    </row>
    <row r="2" spans="1:17" ht="15.75" thickTop="1">
      <c r="A2" s="1" t="s">
        <v>17</v>
      </c>
      <c r="B2" s="2" t="s">
        <v>18</v>
      </c>
      <c r="C2" s="2" t="s">
        <v>19</v>
      </c>
      <c r="D2" s="2" t="s">
        <v>20</v>
      </c>
      <c r="E2" s="2" t="s">
        <v>21</v>
      </c>
      <c r="F2" s="2" t="s">
        <v>22</v>
      </c>
      <c r="G2" s="2" t="s">
        <v>23</v>
      </c>
      <c r="H2" s="2" t="s">
        <v>24</v>
      </c>
      <c r="I2" s="2" t="s">
        <v>25</v>
      </c>
      <c r="J2" s="2">
        <v>15.2</v>
      </c>
      <c r="K2" s="2">
        <v>24</v>
      </c>
      <c r="L2" s="2" t="s">
        <v>26</v>
      </c>
      <c r="M2" s="2">
        <v>4</v>
      </c>
      <c r="N2" s="2" t="s">
        <v>27</v>
      </c>
      <c r="O2" s="2" t="s">
        <v>28</v>
      </c>
      <c r="P2" s="2" t="s">
        <v>29</v>
      </c>
      <c r="Q2" s="6" t="s">
        <v>30</v>
      </c>
    </row>
    <row r="3" spans="1:17">
      <c r="A3" s="3" t="s">
        <v>31</v>
      </c>
      <c r="B3" s="4" t="s">
        <v>32</v>
      </c>
      <c r="C3" s="4" t="s">
        <v>33</v>
      </c>
      <c r="D3" s="4" t="s">
        <v>34</v>
      </c>
      <c r="E3" s="4" t="s">
        <v>35</v>
      </c>
      <c r="F3" s="4" t="s">
        <v>36</v>
      </c>
      <c r="G3" s="4" t="s">
        <v>23</v>
      </c>
      <c r="H3" s="4" t="s">
        <v>37</v>
      </c>
      <c r="I3" s="4" t="s">
        <v>38</v>
      </c>
      <c r="J3" s="4">
        <v>5</v>
      </c>
      <c r="K3" s="4">
        <v>24</v>
      </c>
      <c r="L3" s="4" t="s">
        <v>27</v>
      </c>
      <c r="M3" s="4">
        <v>3</v>
      </c>
      <c r="N3" s="4" t="s">
        <v>26</v>
      </c>
      <c r="O3" s="4" t="s">
        <v>28</v>
      </c>
      <c r="P3" s="4" t="s">
        <v>1670</v>
      </c>
      <c r="Q3" s="5" t="s">
        <v>39</v>
      </c>
    </row>
    <row r="4" spans="1:17">
      <c r="A4" s="1" t="s">
        <v>40</v>
      </c>
      <c r="B4" s="2" t="s">
        <v>41</v>
      </c>
      <c r="C4" s="2" t="s">
        <v>42</v>
      </c>
      <c r="D4" s="2" t="s">
        <v>43</v>
      </c>
      <c r="E4" s="2" t="s">
        <v>44</v>
      </c>
      <c r="F4" s="2" t="s">
        <v>45</v>
      </c>
      <c r="G4" s="2" t="s">
        <v>46</v>
      </c>
      <c r="H4" s="2" t="s">
        <v>47</v>
      </c>
      <c r="I4" s="2" t="s">
        <v>48</v>
      </c>
      <c r="J4" s="2">
        <v>3.3</v>
      </c>
      <c r="K4" s="2">
        <v>8</v>
      </c>
      <c r="L4" s="2" t="s">
        <v>26</v>
      </c>
      <c r="M4" s="2">
        <v>4</v>
      </c>
      <c r="N4" s="2" t="s">
        <v>27</v>
      </c>
      <c r="O4" s="2" t="s">
        <v>28</v>
      </c>
      <c r="P4" s="2" t="s">
        <v>29</v>
      </c>
      <c r="Q4" s="6" t="s">
        <v>30</v>
      </c>
    </row>
    <row r="5" spans="1:17">
      <c r="A5" s="3" t="s">
        <v>49</v>
      </c>
      <c r="B5" s="4" t="s">
        <v>50</v>
      </c>
      <c r="C5" s="4" t="s">
        <v>51</v>
      </c>
      <c r="D5" s="4" t="s">
        <v>52</v>
      </c>
      <c r="E5" s="4" t="s">
        <v>35</v>
      </c>
      <c r="F5" s="4" t="s">
        <v>53</v>
      </c>
      <c r="G5" s="4" t="s">
        <v>54</v>
      </c>
      <c r="H5" s="4" t="s">
        <v>55</v>
      </c>
      <c r="I5" s="4" t="s">
        <v>56</v>
      </c>
      <c r="J5" s="4">
        <v>6.9</v>
      </c>
      <c r="K5" s="4">
        <v>4</v>
      </c>
      <c r="L5" s="4" t="s">
        <v>27</v>
      </c>
      <c r="M5" s="4">
        <v>1</v>
      </c>
      <c r="N5" s="4" t="s">
        <v>27</v>
      </c>
      <c r="O5" s="4" t="s">
        <v>28</v>
      </c>
      <c r="P5" s="4" t="s">
        <v>57</v>
      </c>
      <c r="Q5" s="5" t="s">
        <v>58</v>
      </c>
    </row>
    <row r="6" spans="1:17">
      <c r="A6" s="1" t="s">
        <v>59</v>
      </c>
      <c r="B6" s="2" t="s">
        <v>60</v>
      </c>
      <c r="C6" s="2" t="s">
        <v>61</v>
      </c>
      <c r="D6" s="2" t="s">
        <v>62</v>
      </c>
      <c r="E6" s="2" t="s">
        <v>21</v>
      </c>
      <c r="F6" s="2" t="s">
        <v>63</v>
      </c>
      <c r="G6" s="2" t="s">
        <v>46</v>
      </c>
      <c r="H6" s="2" t="s">
        <v>64</v>
      </c>
      <c r="I6" s="2" t="s">
        <v>25</v>
      </c>
      <c r="J6" s="2">
        <v>10.1</v>
      </c>
      <c r="K6" s="2">
        <v>8</v>
      </c>
      <c r="L6" s="2" t="s">
        <v>27</v>
      </c>
      <c r="M6" s="2">
        <v>1</v>
      </c>
      <c r="N6" s="2" t="s">
        <v>27</v>
      </c>
      <c r="O6" s="2" t="s">
        <v>28</v>
      </c>
      <c r="P6" s="2" t="s">
        <v>1670</v>
      </c>
      <c r="Q6" s="6" t="s">
        <v>58</v>
      </c>
    </row>
    <row r="7" spans="1:17">
      <c r="A7" s="3" t="s">
        <v>65</v>
      </c>
      <c r="B7" s="4" t="s">
        <v>66</v>
      </c>
      <c r="C7" s="4" t="s">
        <v>67</v>
      </c>
      <c r="D7" s="4" t="s">
        <v>68</v>
      </c>
      <c r="E7" s="4" t="s">
        <v>21</v>
      </c>
      <c r="F7" s="4" t="s">
        <v>69</v>
      </c>
      <c r="G7" s="4" t="s">
        <v>46</v>
      </c>
      <c r="H7" s="4" t="s">
        <v>70</v>
      </c>
      <c r="I7" s="4" t="s">
        <v>25</v>
      </c>
      <c r="J7" s="4">
        <v>12</v>
      </c>
      <c r="K7" s="4">
        <v>8</v>
      </c>
      <c r="L7" s="4" t="s">
        <v>27</v>
      </c>
      <c r="M7" s="4">
        <v>3</v>
      </c>
      <c r="N7" s="4" t="s">
        <v>27</v>
      </c>
      <c r="O7" s="4" t="s">
        <v>28</v>
      </c>
      <c r="P7" s="4" t="s">
        <v>57</v>
      </c>
      <c r="Q7" s="5" t="s">
        <v>39</v>
      </c>
    </row>
    <row r="8" spans="1:17">
      <c r="A8" s="1" t="s">
        <v>71</v>
      </c>
      <c r="B8" s="2" t="s">
        <v>32</v>
      </c>
      <c r="C8" s="2" t="s">
        <v>72</v>
      </c>
      <c r="D8" s="2" t="s">
        <v>73</v>
      </c>
      <c r="E8" s="2" t="s">
        <v>21</v>
      </c>
      <c r="F8" s="2" t="s">
        <v>69</v>
      </c>
      <c r="G8" s="2" t="s">
        <v>46</v>
      </c>
      <c r="H8" s="2" t="s">
        <v>47</v>
      </c>
      <c r="I8" s="2" t="s">
        <v>25</v>
      </c>
      <c r="J8" s="2">
        <v>4.9000000000000004</v>
      </c>
      <c r="K8" s="2">
        <v>8</v>
      </c>
      <c r="L8" s="2" t="s">
        <v>26</v>
      </c>
      <c r="M8" s="2">
        <v>4</v>
      </c>
      <c r="N8" s="2" t="s">
        <v>27</v>
      </c>
      <c r="O8" s="2" t="s">
        <v>28</v>
      </c>
      <c r="P8" s="2" t="s">
        <v>29</v>
      </c>
      <c r="Q8" s="6" t="s">
        <v>39</v>
      </c>
    </row>
    <row r="9" spans="1:17">
      <c r="A9" s="3" t="s">
        <v>74</v>
      </c>
      <c r="B9" s="4" t="s">
        <v>75</v>
      </c>
      <c r="C9" s="4" t="s">
        <v>76</v>
      </c>
      <c r="D9" s="4" t="s">
        <v>77</v>
      </c>
      <c r="E9" s="4" t="s">
        <v>78</v>
      </c>
      <c r="F9" s="4" t="s">
        <v>79</v>
      </c>
      <c r="G9" s="4" t="s">
        <v>46</v>
      </c>
      <c r="H9" s="4" t="s">
        <v>70</v>
      </c>
      <c r="I9" s="4" t="s">
        <v>80</v>
      </c>
      <c r="J9" s="4">
        <v>13.5</v>
      </c>
      <c r="K9" s="4">
        <v>8</v>
      </c>
      <c r="L9" s="4" t="s">
        <v>27</v>
      </c>
      <c r="M9" s="4">
        <v>1</v>
      </c>
      <c r="N9" s="4" t="s">
        <v>27</v>
      </c>
      <c r="O9" s="4" t="s">
        <v>28</v>
      </c>
      <c r="P9" s="4" t="s">
        <v>1670</v>
      </c>
      <c r="Q9" s="5" t="s">
        <v>39</v>
      </c>
    </row>
    <row r="10" spans="1:17">
      <c r="A10" s="1" t="s">
        <v>81</v>
      </c>
      <c r="B10" s="2" t="s">
        <v>32</v>
      </c>
      <c r="C10" s="2" t="s">
        <v>82</v>
      </c>
      <c r="D10" s="2" t="s">
        <v>83</v>
      </c>
      <c r="E10" s="2" t="s">
        <v>84</v>
      </c>
      <c r="F10" s="2" t="s">
        <v>85</v>
      </c>
      <c r="G10" s="2" t="s">
        <v>46</v>
      </c>
      <c r="H10" s="2" t="s">
        <v>86</v>
      </c>
      <c r="I10" s="2" t="s">
        <v>87</v>
      </c>
      <c r="J10" s="2">
        <v>9.5</v>
      </c>
      <c r="K10" s="2">
        <v>8</v>
      </c>
      <c r="L10" s="2" t="s">
        <v>27</v>
      </c>
      <c r="M10" s="2">
        <v>3</v>
      </c>
      <c r="N10" s="2" t="s">
        <v>27</v>
      </c>
      <c r="O10" s="2" t="s">
        <v>28</v>
      </c>
      <c r="P10" s="2" t="s">
        <v>1670</v>
      </c>
      <c r="Q10" s="6" t="s">
        <v>39</v>
      </c>
    </row>
    <row r="11" spans="1:17">
      <c r="A11" s="3" t="s">
        <v>88</v>
      </c>
      <c r="B11" s="4" t="s">
        <v>32</v>
      </c>
      <c r="C11" s="4" t="s">
        <v>89</v>
      </c>
      <c r="D11" s="4" t="s">
        <v>90</v>
      </c>
      <c r="E11" s="4" t="s">
        <v>21</v>
      </c>
      <c r="F11" s="4" t="s">
        <v>22</v>
      </c>
      <c r="G11" s="4" t="s">
        <v>54</v>
      </c>
      <c r="H11" s="4" t="s">
        <v>91</v>
      </c>
      <c r="I11" s="4" t="s">
        <v>25</v>
      </c>
      <c r="J11" s="4">
        <v>14.8</v>
      </c>
      <c r="K11" s="4">
        <v>4</v>
      </c>
      <c r="L11" s="4" t="s">
        <v>27</v>
      </c>
      <c r="M11" s="4">
        <v>2</v>
      </c>
      <c r="N11" s="4" t="s">
        <v>27</v>
      </c>
      <c r="O11" s="4" t="s">
        <v>28</v>
      </c>
      <c r="P11" s="4" t="s">
        <v>57</v>
      </c>
      <c r="Q11" s="5" t="s">
        <v>58</v>
      </c>
    </row>
    <row r="12" spans="1:17">
      <c r="A12" s="1" t="s">
        <v>92</v>
      </c>
      <c r="B12" s="2" t="s">
        <v>50</v>
      </c>
      <c r="C12" s="2" t="s">
        <v>93</v>
      </c>
      <c r="D12" s="2" t="s">
        <v>94</v>
      </c>
      <c r="E12" s="2" t="s">
        <v>78</v>
      </c>
      <c r="F12" s="2" t="s">
        <v>79</v>
      </c>
      <c r="G12" s="2" t="s">
        <v>23</v>
      </c>
      <c r="H12" s="2" t="s">
        <v>86</v>
      </c>
      <c r="I12" s="2" t="s">
        <v>80</v>
      </c>
      <c r="J12" s="2">
        <v>14.5</v>
      </c>
      <c r="K12" s="2">
        <v>24</v>
      </c>
      <c r="L12" s="2" t="s">
        <v>26</v>
      </c>
      <c r="M12" s="2">
        <v>4</v>
      </c>
      <c r="N12" s="2" t="s">
        <v>27</v>
      </c>
      <c r="O12" s="2" t="s">
        <v>28</v>
      </c>
      <c r="P12" s="2" t="s">
        <v>29</v>
      </c>
      <c r="Q12" s="6" t="s">
        <v>39</v>
      </c>
    </row>
    <row r="13" spans="1:17">
      <c r="A13" s="3" t="s">
        <v>95</v>
      </c>
      <c r="B13" s="4" t="s">
        <v>32</v>
      </c>
      <c r="C13" s="4" t="s">
        <v>96</v>
      </c>
      <c r="D13" s="4" t="s">
        <v>97</v>
      </c>
      <c r="E13" s="4" t="s">
        <v>21</v>
      </c>
      <c r="F13" s="4" t="s">
        <v>22</v>
      </c>
      <c r="G13" s="4" t="s">
        <v>46</v>
      </c>
      <c r="H13" s="4" t="s">
        <v>55</v>
      </c>
      <c r="I13" s="4" t="s">
        <v>25</v>
      </c>
      <c r="J13" s="4">
        <v>12.8</v>
      </c>
      <c r="K13" s="4">
        <v>8</v>
      </c>
      <c r="L13" s="4" t="s">
        <v>27</v>
      </c>
      <c r="M13" s="4">
        <v>2</v>
      </c>
      <c r="N13" s="4" t="s">
        <v>27</v>
      </c>
      <c r="O13" s="4" t="s">
        <v>28</v>
      </c>
      <c r="P13" s="4" t="s">
        <v>57</v>
      </c>
      <c r="Q13" s="5" t="s">
        <v>39</v>
      </c>
    </row>
    <row r="14" spans="1:17">
      <c r="A14" s="1" t="s">
        <v>98</v>
      </c>
      <c r="B14" s="2" t="s">
        <v>50</v>
      </c>
      <c r="C14" s="2" t="s">
        <v>99</v>
      </c>
      <c r="D14" s="2" t="s">
        <v>100</v>
      </c>
      <c r="E14" s="2" t="s">
        <v>21</v>
      </c>
      <c r="F14" s="2" t="s">
        <v>63</v>
      </c>
      <c r="G14" s="2" t="s">
        <v>46</v>
      </c>
      <c r="H14" s="2" t="s">
        <v>55</v>
      </c>
      <c r="I14" s="2" t="s">
        <v>25</v>
      </c>
      <c r="J14" s="2">
        <v>12.8</v>
      </c>
      <c r="K14" s="2">
        <v>8</v>
      </c>
      <c r="L14" s="2" t="s">
        <v>27</v>
      </c>
      <c r="M14" s="2">
        <v>2</v>
      </c>
      <c r="N14" s="2" t="s">
        <v>26</v>
      </c>
      <c r="O14" s="2" t="s">
        <v>28</v>
      </c>
      <c r="P14" s="2" t="s">
        <v>1670</v>
      </c>
      <c r="Q14" s="6" t="s">
        <v>101</v>
      </c>
    </row>
    <row r="15" spans="1:17">
      <c r="A15" s="3" t="s">
        <v>102</v>
      </c>
      <c r="B15" s="4" t="s">
        <v>66</v>
      </c>
      <c r="C15" s="4" t="s">
        <v>103</v>
      </c>
      <c r="D15" s="4" t="s">
        <v>104</v>
      </c>
      <c r="E15" s="4" t="s">
        <v>35</v>
      </c>
      <c r="F15" s="4" t="s">
        <v>36</v>
      </c>
      <c r="G15" s="4" t="s">
        <v>46</v>
      </c>
      <c r="H15" s="4" t="s">
        <v>24</v>
      </c>
      <c r="I15" s="4" t="s">
        <v>38</v>
      </c>
      <c r="J15" s="4">
        <v>9</v>
      </c>
      <c r="K15" s="4">
        <v>8</v>
      </c>
      <c r="L15" s="4" t="s">
        <v>27</v>
      </c>
      <c r="M15" s="4">
        <v>3</v>
      </c>
      <c r="N15" s="4" t="s">
        <v>26</v>
      </c>
      <c r="O15" s="4" t="s">
        <v>28</v>
      </c>
      <c r="P15" s="4" t="s">
        <v>1670</v>
      </c>
      <c r="Q15" s="5" t="s">
        <v>30</v>
      </c>
    </row>
    <row r="16" spans="1:17">
      <c r="A16" s="1" t="s">
        <v>105</v>
      </c>
      <c r="B16" s="2" t="s">
        <v>106</v>
      </c>
      <c r="C16" s="2" t="s">
        <v>107</v>
      </c>
      <c r="D16" s="2" t="s">
        <v>108</v>
      </c>
      <c r="E16" s="2" t="s">
        <v>44</v>
      </c>
      <c r="F16" s="2" t="s">
        <v>109</v>
      </c>
      <c r="G16" s="2" t="s">
        <v>23</v>
      </c>
      <c r="H16" s="2" t="s">
        <v>55</v>
      </c>
      <c r="I16" s="2" t="s">
        <v>48</v>
      </c>
      <c r="J16" s="2">
        <v>4.4000000000000004</v>
      </c>
      <c r="K16" s="2">
        <v>24</v>
      </c>
      <c r="L16" s="2" t="s">
        <v>26</v>
      </c>
      <c r="M16" s="2">
        <v>5</v>
      </c>
      <c r="N16" s="2" t="s">
        <v>27</v>
      </c>
      <c r="O16" s="2" t="s">
        <v>28</v>
      </c>
      <c r="P16" s="2" t="s">
        <v>29</v>
      </c>
      <c r="Q16" s="6" t="s">
        <v>101</v>
      </c>
    </row>
    <row r="17" spans="1:17">
      <c r="A17" s="3" t="s">
        <v>110</v>
      </c>
      <c r="B17" s="4" t="s">
        <v>75</v>
      </c>
      <c r="C17" s="4" t="s">
        <v>111</v>
      </c>
      <c r="D17" s="4" t="s">
        <v>112</v>
      </c>
      <c r="E17" s="4" t="s">
        <v>21</v>
      </c>
      <c r="F17" s="4" t="s">
        <v>69</v>
      </c>
      <c r="G17" s="4" t="s">
        <v>23</v>
      </c>
      <c r="H17" s="4" t="s">
        <v>24</v>
      </c>
      <c r="I17" s="4" t="s">
        <v>25</v>
      </c>
      <c r="J17" s="4">
        <v>9.1</v>
      </c>
      <c r="K17" s="4">
        <v>24</v>
      </c>
      <c r="L17" s="4" t="s">
        <v>26</v>
      </c>
      <c r="M17" s="4">
        <v>5</v>
      </c>
      <c r="N17" s="4" t="s">
        <v>27</v>
      </c>
      <c r="O17" s="4" t="s">
        <v>28</v>
      </c>
      <c r="P17" s="4" t="s">
        <v>29</v>
      </c>
      <c r="Q17" s="5" t="s">
        <v>30</v>
      </c>
    </row>
    <row r="18" spans="1:17">
      <c r="A18" s="1" t="s">
        <v>113</v>
      </c>
      <c r="B18" s="2" t="s">
        <v>50</v>
      </c>
      <c r="C18" s="2" t="s">
        <v>114</v>
      </c>
      <c r="D18" s="2" t="s">
        <v>115</v>
      </c>
      <c r="E18" s="2" t="s">
        <v>84</v>
      </c>
      <c r="F18" s="2" t="s">
        <v>116</v>
      </c>
      <c r="G18" s="2" t="s">
        <v>46</v>
      </c>
      <c r="H18" s="2" t="s">
        <v>70</v>
      </c>
      <c r="I18" s="2" t="s">
        <v>87</v>
      </c>
      <c r="J18" s="2">
        <v>5.2</v>
      </c>
      <c r="K18" s="2">
        <v>8</v>
      </c>
      <c r="L18" s="2" t="s">
        <v>26</v>
      </c>
      <c r="M18" s="2">
        <v>4</v>
      </c>
      <c r="N18" s="2" t="s">
        <v>27</v>
      </c>
      <c r="O18" s="2" t="s">
        <v>28</v>
      </c>
      <c r="P18" s="2" t="s">
        <v>29</v>
      </c>
      <c r="Q18" s="6" t="s">
        <v>58</v>
      </c>
    </row>
    <row r="19" spans="1:17">
      <c r="A19" s="3" t="s">
        <v>117</v>
      </c>
      <c r="B19" s="4" t="s">
        <v>50</v>
      </c>
      <c r="C19" s="4" t="s">
        <v>118</v>
      </c>
      <c r="D19" s="4" t="s">
        <v>119</v>
      </c>
      <c r="E19" s="4" t="s">
        <v>78</v>
      </c>
      <c r="F19" s="4" t="s">
        <v>79</v>
      </c>
      <c r="G19" s="4" t="s">
        <v>46</v>
      </c>
      <c r="H19" s="4" t="s">
        <v>64</v>
      </c>
      <c r="I19" s="4" t="s">
        <v>80</v>
      </c>
      <c r="J19" s="4">
        <v>9.1999999999999993</v>
      </c>
      <c r="K19" s="4">
        <v>8</v>
      </c>
      <c r="L19" s="4" t="s">
        <v>27</v>
      </c>
      <c r="M19" s="4"/>
      <c r="N19" s="4" t="s">
        <v>26</v>
      </c>
      <c r="O19" s="4" t="s">
        <v>28</v>
      </c>
      <c r="P19" s="4" t="s">
        <v>57</v>
      </c>
      <c r="Q19" s="5" t="s">
        <v>39</v>
      </c>
    </row>
    <row r="20" spans="1:17">
      <c r="A20" s="1" t="s">
        <v>120</v>
      </c>
      <c r="B20" s="2" t="s">
        <v>121</v>
      </c>
      <c r="C20" s="2" t="s">
        <v>122</v>
      </c>
      <c r="D20" s="2" t="s">
        <v>123</v>
      </c>
      <c r="E20" s="2" t="s">
        <v>21</v>
      </c>
      <c r="F20" s="2" t="s">
        <v>63</v>
      </c>
      <c r="G20" s="2" t="s">
        <v>46</v>
      </c>
      <c r="H20" s="2" t="s">
        <v>55</v>
      </c>
      <c r="I20" s="2" t="s">
        <v>25</v>
      </c>
      <c r="J20" s="2">
        <v>6.6</v>
      </c>
      <c r="K20" s="2">
        <v>8</v>
      </c>
      <c r="L20" s="2" t="s">
        <v>26</v>
      </c>
      <c r="M20" s="2">
        <v>4</v>
      </c>
      <c r="N20" s="2" t="s">
        <v>27</v>
      </c>
      <c r="O20" s="2" t="s">
        <v>28</v>
      </c>
      <c r="P20" s="2" t="s">
        <v>29</v>
      </c>
      <c r="Q20" s="6" t="s">
        <v>101</v>
      </c>
    </row>
    <row r="21" spans="1:17">
      <c r="A21" s="3" t="s">
        <v>124</v>
      </c>
      <c r="B21" s="4" t="s">
        <v>50</v>
      </c>
      <c r="C21" s="4" t="s">
        <v>125</v>
      </c>
      <c r="D21" s="4" t="s">
        <v>126</v>
      </c>
      <c r="E21" s="4" t="s">
        <v>35</v>
      </c>
      <c r="F21" s="4" t="s">
        <v>127</v>
      </c>
      <c r="G21" s="4" t="s">
        <v>46</v>
      </c>
      <c r="H21" s="4" t="s">
        <v>55</v>
      </c>
      <c r="I21" s="4" t="s">
        <v>56</v>
      </c>
      <c r="J21" s="4">
        <v>5.0999999999999996</v>
      </c>
      <c r="K21" s="4">
        <v>8</v>
      </c>
      <c r="L21" s="4" t="s">
        <v>26</v>
      </c>
      <c r="M21" s="4">
        <v>4</v>
      </c>
      <c r="N21" s="4" t="s">
        <v>27</v>
      </c>
      <c r="O21" s="4" t="s">
        <v>28</v>
      </c>
      <c r="P21" s="4" t="s">
        <v>29</v>
      </c>
      <c r="Q21" s="5" t="s">
        <v>39</v>
      </c>
    </row>
    <row r="22" spans="1:17">
      <c r="A22" s="1" t="s">
        <v>128</v>
      </c>
      <c r="B22" s="2" t="s">
        <v>32</v>
      </c>
      <c r="C22" s="2" t="s">
        <v>129</v>
      </c>
      <c r="D22" s="2" t="s">
        <v>130</v>
      </c>
      <c r="E22" s="2" t="s">
        <v>21</v>
      </c>
      <c r="F22" s="2" t="s">
        <v>22</v>
      </c>
      <c r="G22" s="2" t="s">
        <v>23</v>
      </c>
      <c r="H22" s="2" t="s">
        <v>47</v>
      </c>
      <c r="I22" s="2" t="s">
        <v>25</v>
      </c>
      <c r="J22" s="2">
        <v>9.6</v>
      </c>
      <c r="K22" s="2">
        <v>24</v>
      </c>
      <c r="L22" s="2" t="s">
        <v>26</v>
      </c>
      <c r="M22" s="2">
        <v>4</v>
      </c>
      <c r="N22" s="2" t="s">
        <v>27</v>
      </c>
      <c r="O22" s="2" t="s">
        <v>28</v>
      </c>
      <c r="P22" s="2" t="s">
        <v>29</v>
      </c>
      <c r="Q22" s="6" t="s">
        <v>39</v>
      </c>
    </row>
    <row r="23" spans="1:17">
      <c r="A23" s="3" t="s">
        <v>131</v>
      </c>
      <c r="B23" s="4" t="s">
        <v>121</v>
      </c>
      <c r="C23" s="4" t="s">
        <v>132</v>
      </c>
      <c r="D23" s="4" t="s">
        <v>133</v>
      </c>
      <c r="E23" s="4" t="s">
        <v>84</v>
      </c>
      <c r="F23" s="4" t="s">
        <v>85</v>
      </c>
      <c r="G23" s="4" t="s">
        <v>23</v>
      </c>
      <c r="H23" s="4" t="s">
        <v>70</v>
      </c>
      <c r="I23" s="4" t="s">
        <v>87</v>
      </c>
      <c r="J23" s="4">
        <v>7.4</v>
      </c>
      <c r="K23" s="4">
        <v>24</v>
      </c>
      <c r="L23" s="4" t="s">
        <v>26</v>
      </c>
      <c r="M23" s="4">
        <v>5</v>
      </c>
      <c r="N23" s="4" t="s">
        <v>27</v>
      </c>
      <c r="O23" s="4" t="s">
        <v>28</v>
      </c>
      <c r="P23" s="4" t="s">
        <v>29</v>
      </c>
      <c r="Q23" s="5" t="s">
        <v>58</v>
      </c>
    </row>
    <row r="24" spans="1:17">
      <c r="A24" s="1" t="s">
        <v>134</v>
      </c>
      <c r="B24" s="2" t="s">
        <v>135</v>
      </c>
      <c r="C24" s="2" t="s">
        <v>136</v>
      </c>
      <c r="D24" s="2" t="s">
        <v>137</v>
      </c>
      <c r="E24" s="2" t="s">
        <v>35</v>
      </c>
      <c r="F24" s="2" t="s">
        <v>53</v>
      </c>
      <c r="G24" s="2" t="s">
        <v>46</v>
      </c>
      <c r="H24" s="2" t="s">
        <v>138</v>
      </c>
      <c r="I24" s="2" t="s">
        <v>56</v>
      </c>
      <c r="J24" s="2">
        <v>9.1</v>
      </c>
      <c r="K24" s="2">
        <v>8</v>
      </c>
      <c r="L24" s="2" t="s">
        <v>27</v>
      </c>
      <c r="M24" s="2"/>
      <c r="N24" s="2" t="s">
        <v>26</v>
      </c>
      <c r="O24" s="2" t="s">
        <v>28</v>
      </c>
      <c r="P24" s="2" t="s">
        <v>1670</v>
      </c>
      <c r="Q24" s="6" t="s">
        <v>101</v>
      </c>
    </row>
    <row r="25" spans="1:17">
      <c r="A25" s="3" t="s">
        <v>139</v>
      </c>
      <c r="B25" s="4" t="s">
        <v>121</v>
      </c>
      <c r="C25" s="4" t="s">
        <v>140</v>
      </c>
      <c r="D25" s="4" t="s">
        <v>141</v>
      </c>
      <c r="E25" s="4" t="s">
        <v>35</v>
      </c>
      <c r="F25" s="4" t="s">
        <v>53</v>
      </c>
      <c r="G25" s="4" t="s">
        <v>46</v>
      </c>
      <c r="H25" s="4" t="s">
        <v>91</v>
      </c>
      <c r="I25" s="4" t="s">
        <v>56</v>
      </c>
      <c r="J25" s="4">
        <v>8</v>
      </c>
      <c r="K25" s="4">
        <v>8</v>
      </c>
      <c r="L25" s="4" t="s">
        <v>26</v>
      </c>
      <c r="M25" s="4">
        <v>5</v>
      </c>
      <c r="N25" s="4" t="s">
        <v>27</v>
      </c>
      <c r="O25" s="4" t="s">
        <v>28</v>
      </c>
      <c r="P25" s="4" t="s">
        <v>29</v>
      </c>
      <c r="Q25" s="5" t="s">
        <v>30</v>
      </c>
    </row>
    <row r="26" spans="1:17">
      <c r="A26" s="1" t="s">
        <v>142</v>
      </c>
      <c r="B26" s="2" t="s">
        <v>32</v>
      </c>
      <c r="C26" s="2" t="s">
        <v>143</v>
      </c>
      <c r="D26" s="2" t="s">
        <v>144</v>
      </c>
      <c r="E26" s="2" t="s">
        <v>21</v>
      </c>
      <c r="F26" s="2" t="s">
        <v>69</v>
      </c>
      <c r="G26" s="2" t="s">
        <v>46</v>
      </c>
      <c r="H26" s="2" t="s">
        <v>55</v>
      </c>
      <c r="I26" s="2" t="s">
        <v>25</v>
      </c>
      <c r="J26" s="2">
        <v>14.7</v>
      </c>
      <c r="K26" s="2">
        <v>8</v>
      </c>
      <c r="L26" s="2" t="s">
        <v>27</v>
      </c>
      <c r="M26" s="2">
        <v>1</v>
      </c>
      <c r="N26" s="2" t="s">
        <v>26</v>
      </c>
      <c r="O26" s="2" t="s">
        <v>28</v>
      </c>
      <c r="P26" s="2" t="s">
        <v>1670</v>
      </c>
      <c r="Q26" s="6" t="s">
        <v>101</v>
      </c>
    </row>
    <row r="27" spans="1:17">
      <c r="A27" s="3" t="s">
        <v>145</v>
      </c>
      <c r="B27" s="4" t="s">
        <v>135</v>
      </c>
      <c r="C27" s="4" t="s">
        <v>146</v>
      </c>
      <c r="D27" s="4" t="s">
        <v>147</v>
      </c>
      <c r="E27" s="4" t="s">
        <v>84</v>
      </c>
      <c r="F27" s="4" t="s">
        <v>116</v>
      </c>
      <c r="G27" s="4" t="s">
        <v>46</v>
      </c>
      <c r="H27" s="4" t="s">
        <v>91</v>
      </c>
      <c r="I27" s="4" t="s">
        <v>87</v>
      </c>
      <c r="J27" s="4">
        <v>9.1999999999999993</v>
      </c>
      <c r="K27" s="4">
        <v>8</v>
      </c>
      <c r="L27" s="4" t="s">
        <v>27</v>
      </c>
      <c r="M27" s="4">
        <v>3</v>
      </c>
      <c r="N27" s="4" t="s">
        <v>27</v>
      </c>
      <c r="O27" s="4" t="s">
        <v>28</v>
      </c>
      <c r="P27" s="4" t="s">
        <v>57</v>
      </c>
      <c r="Q27" s="5" t="s">
        <v>101</v>
      </c>
    </row>
    <row r="28" spans="1:17">
      <c r="A28" s="1" t="s">
        <v>148</v>
      </c>
      <c r="B28" s="2" t="s">
        <v>75</v>
      </c>
      <c r="C28" s="2" t="s">
        <v>149</v>
      </c>
      <c r="D28" s="2" t="s">
        <v>150</v>
      </c>
      <c r="E28" s="2" t="s">
        <v>35</v>
      </c>
      <c r="F28" s="2" t="s">
        <v>53</v>
      </c>
      <c r="G28" s="2" t="s">
        <v>23</v>
      </c>
      <c r="H28" s="2" t="s">
        <v>64</v>
      </c>
      <c r="I28" s="2" t="s">
        <v>56</v>
      </c>
      <c r="J28" s="2">
        <v>6.3</v>
      </c>
      <c r="K28" s="2">
        <v>24</v>
      </c>
      <c r="L28" s="2" t="s">
        <v>26</v>
      </c>
      <c r="M28" s="2">
        <v>4</v>
      </c>
      <c r="N28" s="2" t="s">
        <v>27</v>
      </c>
      <c r="O28" s="2" t="s">
        <v>28</v>
      </c>
      <c r="P28" s="2" t="s">
        <v>29</v>
      </c>
      <c r="Q28" s="6" t="s">
        <v>101</v>
      </c>
    </row>
    <row r="29" spans="1:17">
      <c r="A29" s="3" t="s">
        <v>151</v>
      </c>
      <c r="B29" s="4" t="s">
        <v>135</v>
      </c>
      <c r="C29" s="4" t="s">
        <v>152</v>
      </c>
      <c r="D29" s="4" t="s">
        <v>153</v>
      </c>
      <c r="E29" s="4" t="s">
        <v>21</v>
      </c>
      <c r="F29" s="4" t="s">
        <v>22</v>
      </c>
      <c r="G29" s="4" t="s">
        <v>46</v>
      </c>
      <c r="H29" s="4" t="s">
        <v>64</v>
      </c>
      <c r="I29" s="4" t="s">
        <v>25</v>
      </c>
      <c r="J29" s="4">
        <v>9.5</v>
      </c>
      <c r="K29" s="4">
        <v>8</v>
      </c>
      <c r="L29" s="4" t="s">
        <v>27</v>
      </c>
      <c r="M29" s="4">
        <v>3</v>
      </c>
      <c r="N29" s="4" t="s">
        <v>26</v>
      </c>
      <c r="O29" s="4" t="s">
        <v>28</v>
      </c>
      <c r="P29" s="4" t="s">
        <v>1670</v>
      </c>
      <c r="Q29" s="5" t="s">
        <v>39</v>
      </c>
    </row>
    <row r="30" spans="1:17">
      <c r="A30" s="1" t="s">
        <v>154</v>
      </c>
      <c r="B30" s="2" t="s">
        <v>75</v>
      </c>
      <c r="C30" s="2" t="s">
        <v>155</v>
      </c>
      <c r="D30" s="2" t="s">
        <v>156</v>
      </c>
      <c r="E30" s="2" t="s">
        <v>21</v>
      </c>
      <c r="F30" s="2" t="s">
        <v>63</v>
      </c>
      <c r="G30" s="2" t="s">
        <v>23</v>
      </c>
      <c r="H30" s="2" t="s">
        <v>55</v>
      </c>
      <c r="I30" s="2" t="s">
        <v>25</v>
      </c>
      <c r="J30" s="2">
        <v>12.4</v>
      </c>
      <c r="K30" s="2">
        <v>24</v>
      </c>
      <c r="L30" s="2" t="s">
        <v>27</v>
      </c>
      <c r="M30" s="2">
        <v>3</v>
      </c>
      <c r="N30" s="2" t="s">
        <v>26</v>
      </c>
      <c r="O30" s="2" t="s">
        <v>28</v>
      </c>
      <c r="P30" s="2" t="s">
        <v>57</v>
      </c>
      <c r="Q30" s="6" t="s">
        <v>39</v>
      </c>
    </row>
    <row r="31" spans="1:17">
      <c r="A31" s="3" t="s">
        <v>157</v>
      </c>
      <c r="B31" s="4" t="s">
        <v>41</v>
      </c>
      <c r="C31" s="4" t="s">
        <v>158</v>
      </c>
      <c r="D31" s="4" t="s">
        <v>159</v>
      </c>
      <c r="E31" s="4" t="s">
        <v>78</v>
      </c>
      <c r="F31" s="4" t="s">
        <v>79</v>
      </c>
      <c r="G31" s="4" t="s">
        <v>46</v>
      </c>
      <c r="H31" s="4" t="s">
        <v>55</v>
      </c>
      <c r="I31" s="4" t="s">
        <v>80</v>
      </c>
      <c r="J31" s="4">
        <v>15.5</v>
      </c>
      <c r="K31" s="4">
        <v>8</v>
      </c>
      <c r="L31" s="4" t="s">
        <v>27</v>
      </c>
      <c r="M31" s="4">
        <v>1</v>
      </c>
      <c r="N31" s="4" t="s">
        <v>27</v>
      </c>
      <c r="O31" s="4" t="s">
        <v>28</v>
      </c>
      <c r="P31" s="4" t="s">
        <v>57</v>
      </c>
      <c r="Q31" s="5" t="s">
        <v>39</v>
      </c>
    </row>
    <row r="32" spans="1:17">
      <c r="A32" s="1" t="s">
        <v>160</v>
      </c>
      <c r="B32" s="2" t="s">
        <v>135</v>
      </c>
      <c r="C32" s="2" t="s">
        <v>161</v>
      </c>
      <c r="D32" s="2" t="s">
        <v>162</v>
      </c>
      <c r="E32" s="2" t="s">
        <v>35</v>
      </c>
      <c r="F32" s="2" t="s">
        <v>127</v>
      </c>
      <c r="G32" s="2" t="s">
        <v>46</v>
      </c>
      <c r="H32" s="2" t="s">
        <v>91</v>
      </c>
      <c r="I32" s="2" t="s">
        <v>56</v>
      </c>
      <c r="J32" s="2">
        <v>5.8</v>
      </c>
      <c r="K32" s="2">
        <v>8</v>
      </c>
      <c r="L32" s="2" t="s">
        <v>26</v>
      </c>
      <c r="M32" s="2">
        <v>4</v>
      </c>
      <c r="N32" s="2" t="s">
        <v>27</v>
      </c>
      <c r="O32" s="2" t="s">
        <v>28</v>
      </c>
      <c r="P32" s="2" t="s">
        <v>29</v>
      </c>
      <c r="Q32" s="6" t="s">
        <v>58</v>
      </c>
    </row>
    <row r="33" spans="1:17">
      <c r="A33" s="3" t="s">
        <v>163</v>
      </c>
      <c r="B33" s="4" t="s">
        <v>121</v>
      </c>
      <c r="C33" s="4" t="s">
        <v>164</v>
      </c>
      <c r="D33" s="4" t="s">
        <v>165</v>
      </c>
      <c r="E33" s="4" t="s">
        <v>78</v>
      </c>
      <c r="F33" s="4" t="s">
        <v>166</v>
      </c>
      <c r="G33" s="4" t="s">
        <v>46</v>
      </c>
      <c r="H33" s="4" t="s">
        <v>138</v>
      </c>
      <c r="I33" s="4" t="s">
        <v>80</v>
      </c>
      <c r="J33" s="4">
        <v>18.100000000000001</v>
      </c>
      <c r="K33" s="4">
        <v>8</v>
      </c>
      <c r="L33" s="4" t="s">
        <v>27</v>
      </c>
      <c r="M33" s="4">
        <v>2</v>
      </c>
      <c r="N33" s="4" t="s">
        <v>26</v>
      </c>
      <c r="O33" s="4" t="s">
        <v>28</v>
      </c>
      <c r="P33" s="4" t="s">
        <v>57</v>
      </c>
      <c r="Q33" s="5" t="s">
        <v>39</v>
      </c>
    </row>
    <row r="34" spans="1:17">
      <c r="A34" s="1" t="s">
        <v>167</v>
      </c>
      <c r="B34" s="2" t="s">
        <v>41</v>
      </c>
      <c r="C34" s="2" t="s">
        <v>168</v>
      </c>
      <c r="D34" s="2" t="s">
        <v>169</v>
      </c>
      <c r="E34" s="2" t="s">
        <v>21</v>
      </c>
      <c r="F34" s="2" t="s">
        <v>63</v>
      </c>
      <c r="G34" s="2" t="s">
        <v>23</v>
      </c>
      <c r="H34" s="2" t="s">
        <v>86</v>
      </c>
      <c r="I34" s="2" t="s">
        <v>25</v>
      </c>
      <c r="J34" s="2">
        <v>11.1</v>
      </c>
      <c r="K34" s="2">
        <v>24</v>
      </c>
      <c r="L34" s="2" t="s">
        <v>26</v>
      </c>
      <c r="M34" s="2">
        <v>5</v>
      </c>
      <c r="N34" s="2" t="s">
        <v>27</v>
      </c>
      <c r="O34" s="2" t="s">
        <v>28</v>
      </c>
      <c r="P34" s="2" t="s">
        <v>29</v>
      </c>
      <c r="Q34" s="6" t="s">
        <v>39</v>
      </c>
    </row>
    <row r="35" spans="1:17">
      <c r="A35" s="3" t="s">
        <v>170</v>
      </c>
      <c r="B35" s="4" t="s">
        <v>18</v>
      </c>
      <c r="C35" s="4" t="s">
        <v>171</v>
      </c>
      <c r="D35" s="4" t="s">
        <v>172</v>
      </c>
      <c r="E35" s="4" t="s">
        <v>35</v>
      </c>
      <c r="F35" s="4" t="s">
        <v>36</v>
      </c>
      <c r="G35" s="4" t="s">
        <v>54</v>
      </c>
      <c r="H35" s="4" t="s">
        <v>37</v>
      </c>
      <c r="I35" s="4" t="s">
        <v>38</v>
      </c>
      <c r="J35" s="4">
        <v>6.4</v>
      </c>
      <c r="K35" s="4">
        <v>4</v>
      </c>
      <c r="L35" s="4" t="s">
        <v>27</v>
      </c>
      <c r="M35" s="4">
        <v>3</v>
      </c>
      <c r="N35" s="4" t="s">
        <v>27</v>
      </c>
      <c r="O35" s="4" t="s">
        <v>28</v>
      </c>
      <c r="P35" s="4" t="s">
        <v>57</v>
      </c>
      <c r="Q35" s="5" t="s">
        <v>39</v>
      </c>
    </row>
    <row r="36" spans="1:17">
      <c r="A36" s="1" t="s">
        <v>173</v>
      </c>
      <c r="B36" s="2" t="s">
        <v>18</v>
      </c>
      <c r="C36" s="2" t="s">
        <v>174</v>
      </c>
      <c r="D36" s="2" t="s">
        <v>175</v>
      </c>
      <c r="E36" s="2" t="s">
        <v>78</v>
      </c>
      <c r="F36" s="2" t="s">
        <v>166</v>
      </c>
      <c r="G36" s="2" t="s">
        <v>23</v>
      </c>
      <c r="H36" s="2" t="s">
        <v>55</v>
      </c>
      <c r="I36" s="2" t="s">
        <v>80</v>
      </c>
      <c r="J36" s="2">
        <v>9.6</v>
      </c>
      <c r="K36" s="2">
        <v>24</v>
      </c>
      <c r="L36" s="2" t="s">
        <v>26</v>
      </c>
      <c r="M36" s="2">
        <v>4</v>
      </c>
      <c r="N36" s="2" t="s">
        <v>27</v>
      </c>
      <c r="O36" s="2" t="s">
        <v>28</v>
      </c>
      <c r="P36" s="2" t="s">
        <v>29</v>
      </c>
      <c r="Q36" s="6" t="s">
        <v>101</v>
      </c>
    </row>
    <row r="37" spans="1:17">
      <c r="A37" s="3" t="s">
        <v>176</v>
      </c>
      <c r="B37" s="4" t="s">
        <v>18</v>
      </c>
      <c r="C37" s="4" t="s">
        <v>177</v>
      </c>
      <c r="D37" s="4" t="s">
        <v>178</v>
      </c>
      <c r="E37" s="4" t="s">
        <v>21</v>
      </c>
      <c r="F37" s="4" t="s">
        <v>22</v>
      </c>
      <c r="G37" s="4" t="s">
        <v>23</v>
      </c>
      <c r="H37" s="4" t="s">
        <v>37</v>
      </c>
      <c r="I37" s="4" t="s">
        <v>25</v>
      </c>
      <c r="J37" s="4">
        <v>8.6</v>
      </c>
      <c r="K37" s="4">
        <v>24</v>
      </c>
      <c r="L37" s="4" t="s">
        <v>26</v>
      </c>
      <c r="M37" s="4">
        <v>5</v>
      </c>
      <c r="N37" s="4" t="s">
        <v>27</v>
      </c>
      <c r="O37" s="4" t="s">
        <v>28</v>
      </c>
      <c r="P37" s="4" t="s">
        <v>29</v>
      </c>
      <c r="Q37" s="5" t="s">
        <v>58</v>
      </c>
    </row>
    <row r="38" spans="1:17">
      <c r="A38" s="1" t="s">
        <v>179</v>
      </c>
      <c r="B38" s="2" t="s">
        <v>50</v>
      </c>
      <c r="C38" s="2" t="s">
        <v>180</v>
      </c>
      <c r="D38" s="2" t="s">
        <v>181</v>
      </c>
      <c r="E38" s="2" t="s">
        <v>21</v>
      </c>
      <c r="F38" s="2" t="s">
        <v>69</v>
      </c>
      <c r="G38" s="2" t="s">
        <v>46</v>
      </c>
      <c r="H38" s="2" t="s">
        <v>70</v>
      </c>
      <c r="I38" s="2" t="s">
        <v>25</v>
      </c>
      <c r="J38" s="2">
        <v>8.6</v>
      </c>
      <c r="K38" s="2">
        <v>8</v>
      </c>
      <c r="L38" s="2" t="s">
        <v>27</v>
      </c>
      <c r="M38" s="2">
        <v>3</v>
      </c>
      <c r="N38" s="2" t="s">
        <v>26</v>
      </c>
      <c r="O38" s="2" t="s">
        <v>28</v>
      </c>
      <c r="P38" s="2" t="s">
        <v>57</v>
      </c>
      <c r="Q38" s="6" t="s">
        <v>101</v>
      </c>
    </row>
    <row r="39" spans="1:17">
      <c r="A39" s="3" t="s">
        <v>182</v>
      </c>
      <c r="B39" s="4" t="s">
        <v>41</v>
      </c>
      <c r="C39" s="4" t="s">
        <v>183</v>
      </c>
      <c r="D39" s="4" t="s">
        <v>184</v>
      </c>
      <c r="E39" s="4" t="s">
        <v>35</v>
      </c>
      <c r="F39" s="4" t="s">
        <v>127</v>
      </c>
      <c r="G39" s="4" t="s">
        <v>46</v>
      </c>
      <c r="H39" s="4" t="s">
        <v>47</v>
      </c>
      <c r="I39" s="4" t="s">
        <v>56</v>
      </c>
      <c r="J39" s="4">
        <v>4.0999999999999996</v>
      </c>
      <c r="K39" s="4">
        <v>8</v>
      </c>
      <c r="L39" s="4" t="s">
        <v>26</v>
      </c>
      <c r="M39" s="4"/>
      <c r="N39" s="4" t="s">
        <v>27</v>
      </c>
      <c r="O39" s="4" t="s">
        <v>28</v>
      </c>
      <c r="P39" s="4" t="s">
        <v>29</v>
      </c>
      <c r="Q39" s="5" t="s">
        <v>30</v>
      </c>
    </row>
    <row r="40" spans="1:17">
      <c r="A40" s="1" t="s">
        <v>185</v>
      </c>
      <c r="B40" s="2" t="s">
        <v>121</v>
      </c>
      <c r="C40" s="2" t="s">
        <v>186</v>
      </c>
      <c r="D40" s="2" t="s">
        <v>187</v>
      </c>
      <c r="E40" s="2" t="s">
        <v>84</v>
      </c>
      <c r="F40" s="2" t="s">
        <v>116</v>
      </c>
      <c r="G40" s="2" t="s">
        <v>54</v>
      </c>
      <c r="H40" s="2" t="s">
        <v>86</v>
      </c>
      <c r="I40" s="2" t="s">
        <v>87</v>
      </c>
      <c r="J40" s="2">
        <v>8.8000000000000007</v>
      </c>
      <c r="K40" s="2">
        <v>4</v>
      </c>
      <c r="L40" s="2" t="s">
        <v>27</v>
      </c>
      <c r="M40" s="2">
        <v>3</v>
      </c>
      <c r="N40" s="2" t="s">
        <v>26</v>
      </c>
      <c r="O40" s="2" t="s">
        <v>28</v>
      </c>
      <c r="P40" s="2" t="s">
        <v>1670</v>
      </c>
      <c r="Q40" s="6" t="s">
        <v>58</v>
      </c>
    </row>
    <row r="41" spans="1:17">
      <c r="A41" s="3" t="s">
        <v>188</v>
      </c>
      <c r="B41" s="4" t="s">
        <v>106</v>
      </c>
      <c r="C41" s="4" t="s">
        <v>189</v>
      </c>
      <c r="D41" s="4" t="s">
        <v>190</v>
      </c>
      <c r="E41" s="4" t="s">
        <v>78</v>
      </c>
      <c r="F41" s="4" t="s">
        <v>191</v>
      </c>
      <c r="G41" s="4" t="s">
        <v>23</v>
      </c>
      <c r="H41" s="4" t="s">
        <v>64</v>
      </c>
      <c r="I41" s="4" t="s">
        <v>38</v>
      </c>
      <c r="J41" s="4">
        <v>8.6</v>
      </c>
      <c r="K41" s="4">
        <v>24</v>
      </c>
      <c r="L41" s="4" t="s">
        <v>26</v>
      </c>
      <c r="M41" s="4">
        <v>4</v>
      </c>
      <c r="N41" s="4" t="s">
        <v>27</v>
      </c>
      <c r="O41" s="4" t="s">
        <v>28</v>
      </c>
      <c r="P41" s="4" t="s">
        <v>29</v>
      </c>
      <c r="Q41" s="5" t="s">
        <v>101</v>
      </c>
    </row>
    <row r="42" spans="1:17">
      <c r="A42" s="1" t="s">
        <v>192</v>
      </c>
      <c r="B42" s="2" t="s">
        <v>50</v>
      </c>
      <c r="C42" s="2" t="s">
        <v>193</v>
      </c>
      <c r="D42" s="2" t="s">
        <v>194</v>
      </c>
      <c r="E42" s="2" t="s">
        <v>78</v>
      </c>
      <c r="F42" s="2" t="s">
        <v>166</v>
      </c>
      <c r="G42" s="2" t="s">
        <v>46</v>
      </c>
      <c r="H42" s="2" t="s">
        <v>70</v>
      </c>
      <c r="I42" s="2" t="s">
        <v>80</v>
      </c>
      <c r="J42" s="2">
        <v>9.8000000000000007</v>
      </c>
      <c r="K42" s="2">
        <v>8</v>
      </c>
      <c r="L42" s="2" t="s">
        <v>27</v>
      </c>
      <c r="M42" s="2">
        <v>1</v>
      </c>
      <c r="N42" s="2" t="s">
        <v>26</v>
      </c>
      <c r="O42" s="2" t="s">
        <v>28</v>
      </c>
      <c r="P42" s="2" t="s">
        <v>57</v>
      </c>
      <c r="Q42" s="6" t="s">
        <v>58</v>
      </c>
    </row>
    <row r="43" spans="1:17">
      <c r="A43" s="3" t="s">
        <v>195</v>
      </c>
      <c r="B43" s="4" t="s">
        <v>32</v>
      </c>
      <c r="C43" s="4" t="s">
        <v>196</v>
      </c>
      <c r="D43" s="4" t="s">
        <v>197</v>
      </c>
      <c r="E43" s="4" t="s">
        <v>35</v>
      </c>
      <c r="F43" s="4" t="s">
        <v>127</v>
      </c>
      <c r="G43" s="4" t="s">
        <v>46</v>
      </c>
      <c r="H43" s="4" t="s">
        <v>86</v>
      </c>
      <c r="I43" s="4" t="s">
        <v>56</v>
      </c>
      <c r="J43" s="4">
        <v>12.3</v>
      </c>
      <c r="K43" s="4">
        <v>8</v>
      </c>
      <c r="L43" s="4" t="s">
        <v>27</v>
      </c>
      <c r="M43" s="4">
        <v>1</v>
      </c>
      <c r="N43" s="4" t="s">
        <v>26</v>
      </c>
      <c r="O43" s="4" t="s">
        <v>28</v>
      </c>
      <c r="P43" s="4" t="s">
        <v>57</v>
      </c>
      <c r="Q43" s="5" t="s">
        <v>39</v>
      </c>
    </row>
    <row r="44" spans="1:17">
      <c r="A44" s="1" t="s">
        <v>198</v>
      </c>
      <c r="B44" s="2" t="s">
        <v>75</v>
      </c>
      <c r="C44" s="2" t="s">
        <v>199</v>
      </c>
      <c r="D44" s="2" t="s">
        <v>200</v>
      </c>
      <c r="E44" s="2" t="s">
        <v>21</v>
      </c>
      <c r="F44" s="2" t="s">
        <v>69</v>
      </c>
      <c r="G44" s="2" t="s">
        <v>46</v>
      </c>
      <c r="H44" s="2" t="s">
        <v>91</v>
      </c>
      <c r="I44" s="2" t="s">
        <v>25</v>
      </c>
      <c r="J44" s="2">
        <v>10.7</v>
      </c>
      <c r="K44" s="2">
        <v>8</v>
      </c>
      <c r="L44" s="2" t="s">
        <v>27</v>
      </c>
      <c r="M44" s="2">
        <v>1</v>
      </c>
      <c r="N44" s="2" t="s">
        <v>27</v>
      </c>
      <c r="O44" s="2" t="s">
        <v>28</v>
      </c>
      <c r="P44" s="2" t="s">
        <v>57</v>
      </c>
      <c r="Q44" s="6" t="s">
        <v>39</v>
      </c>
    </row>
    <row r="45" spans="1:17">
      <c r="A45" s="3" t="s">
        <v>201</v>
      </c>
      <c r="B45" s="4" t="s">
        <v>75</v>
      </c>
      <c r="C45" s="4" t="s">
        <v>202</v>
      </c>
      <c r="D45" s="4" t="s">
        <v>203</v>
      </c>
      <c r="E45" s="4" t="s">
        <v>35</v>
      </c>
      <c r="F45" s="4" t="s">
        <v>36</v>
      </c>
      <c r="G45" s="4" t="s">
        <v>46</v>
      </c>
      <c r="H45" s="4" t="s">
        <v>91</v>
      </c>
      <c r="I45" s="4" t="s">
        <v>38</v>
      </c>
      <c r="J45" s="4">
        <v>4.9000000000000004</v>
      </c>
      <c r="K45" s="4">
        <v>8</v>
      </c>
      <c r="L45" s="4" t="s">
        <v>26</v>
      </c>
      <c r="M45" s="4">
        <v>4</v>
      </c>
      <c r="N45" s="4" t="s">
        <v>27</v>
      </c>
      <c r="O45" s="4" t="s">
        <v>28</v>
      </c>
      <c r="P45" s="4" t="s">
        <v>29</v>
      </c>
      <c r="Q45" s="5" t="s">
        <v>101</v>
      </c>
    </row>
    <row r="46" spans="1:17">
      <c r="A46" s="1" t="s">
        <v>204</v>
      </c>
      <c r="B46" s="2" t="s">
        <v>18</v>
      </c>
      <c r="C46" s="2" t="s">
        <v>205</v>
      </c>
      <c r="D46" s="2" t="s">
        <v>206</v>
      </c>
      <c r="E46" s="2" t="s">
        <v>78</v>
      </c>
      <c r="F46" s="2" t="s">
        <v>79</v>
      </c>
      <c r="G46" s="2" t="s">
        <v>46</v>
      </c>
      <c r="H46" s="2" t="s">
        <v>37</v>
      </c>
      <c r="I46" s="2" t="s">
        <v>80</v>
      </c>
      <c r="J46" s="2">
        <v>21.1</v>
      </c>
      <c r="K46" s="2">
        <v>8</v>
      </c>
      <c r="L46" s="2" t="s">
        <v>27</v>
      </c>
      <c r="M46" s="2">
        <v>3</v>
      </c>
      <c r="N46" s="2" t="s">
        <v>26</v>
      </c>
      <c r="O46" s="2" t="s">
        <v>28</v>
      </c>
      <c r="P46" s="2" t="s">
        <v>1670</v>
      </c>
      <c r="Q46" s="6" t="s">
        <v>30</v>
      </c>
    </row>
    <row r="47" spans="1:17">
      <c r="A47" s="3" t="s">
        <v>207</v>
      </c>
      <c r="B47" s="4" t="s">
        <v>50</v>
      </c>
      <c r="C47" s="4" t="s">
        <v>208</v>
      </c>
      <c r="D47" s="4" t="s">
        <v>209</v>
      </c>
      <c r="E47" s="4" t="s">
        <v>78</v>
      </c>
      <c r="F47" s="4" t="s">
        <v>166</v>
      </c>
      <c r="G47" s="4" t="s">
        <v>23</v>
      </c>
      <c r="H47" s="4" t="s">
        <v>70</v>
      </c>
      <c r="I47" s="4" t="s">
        <v>80</v>
      </c>
      <c r="J47" s="4">
        <v>21.9</v>
      </c>
      <c r="K47" s="4">
        <v>24</v>
      </c>
      <c r="L47" s="4" t="s">
        <v>26</v>
      </c>
      <c r="M47" s="4">
        <v>4</v>
      </c>
      <c r="N47" s="4" t="s">
        <v>27</v>
      </c>
      <c r="O47" s="4" t="s">
        <v>28</v>
      </c>
      <c r="P47" s="4" t="s">
        <v>29</v>
      </c>
      <c r="Q47" s="5" t="s">
        <v>39</v>
      </c>
    </row>
    <row r="48" spans="1:17">
      <c r="A48" s="1" t="s">
        <v>210</v>
      </c>
      <c r="B48" s="2" t="s">
        <v>60</v>
      </c>
      <c r="C48" s="2" t="s">
        <v>211</v>
      </c>
      <c r="D48" s="2" t="s">
        <v>212</v>
      </c>
      <c r="E48" s="2" t="s">
        <v>84</v>
      </c>
      <c r="F48" s="2" t="s">
        <v>85</v>
      </c>
      <c r="G48" s="2" t="s">
        <v>46</v>
      </c>
      <c r="H48" s="2" t="s">
        <v>91</v>
      </c>
      <c r="I48" s="2" t="s">
        <v>87</v>
      </c>
      <c r="J48" s="2">
        <v>5.9</v>
      </c>
      <c r="K48" s="2">
        <v>8</v>
      </c>
      <c r="L48" s="2" t="s">
        <v>26</v>
      </c>
      <c r="M48" s="2">
        <v>4</v>
      </c>
      <c r="N48" s="2" t="s">
        <v>27</v>
      </c>
      <c r="O48" s="2" t="s">
        <v>28</v>
      </c>
      <c r="P48" s="2" t="s">
        <v>29</v>
      </c>
      <c r="Q48" s="6" t="s">
        <v>101</v>
      </c>
    </row>
    <row r="49" spans="1:17">
      <c r="A49" s="3" t="s">
        <v>213</v>
      </c>
      <c r="B49" s="4" t="s">
        <v>50</v>
      </c>
      <c r="C49" s="4" t="s">
        <v>214</v>
      </c>
      <c r="D49" s="4" t="s">
        <v>215</v>
      </c>
      <c r="E49" s="4" t="s">
        <v>78</v>
      </c>
      <c r="F49" s="4" t="s">
        <v>79</v>
      </c>
      <c r="G49" s="4" t="s">
        <v>23</v>
      </c>
      <c r="H49" s="4" t="s">
        <v>138</v>
      </c>
      <c r="I49" s="4" t="s">
        <v>80</v>
      </c>
      <c r="J49" s="4">
        <v>10.4</v>
      </c>
      <c r="K49" s="4">
        <v>24</v>
      </c>
      <c r="L49" s="4" t="s">
        <v>26</v>
      </c>
      <c r="M49" s="4">
        <v>4</v>
      </c>
      <c r="N49" s="4" t="s">
        <v>27</v>
      </c>
      <c r="O49" s="4" t="s">
        <v>28</v>
      </c>
      <c r="P49" s="4" t="s">
        <v>29</v>
      </c>
      <c r="Q49" s="5" t="s">
        <v>30</v>
      </c>
    </row>
    <row r="50" spans="1:17">
      <c r="A50" s="1" t="s">
        <v>216</v>
      </c>
      <c r="B50" s="2" t="s">
        <v>135</v>
      </c>
      <c r="C50" s="2" t="s">
        <v>217</v>
      </c>
      <c r="D50" s="2" t="s">
        <v>218</v>
      </c>
      <c r="E50" s="2" t="s">
        <v>21</v>
      </c>
      <c r="F50" s="2" t="s">
        <v>69</v>
      </c>
      <c r="G50" s="2" t="s">
        <v>54</v>
      </c>
      <c r="H50" s="2" t="s">
        <v>37</v>
      </c>
      <c r="I50" s="2" t="s">
        <v>25</v>
      </c>
      <c r="J50" s="2">
        <v>8.9</v>
      </c>
      <c r="K50" s="2">
        <v>4</v>
      </c>
      <c r="L50" s="2" t="s">
        <v>27</v>
      </c>
      <c r="M50" s="2">
        <v>2</v>
      </c>
      <c r="N50" s="2" t="s">
        <v>27</v>
      </c>
      <c r="O50" s="2" t="s">
        <v>28</v>
      </c>
      <c r="P50" s="2" t="s">
        <v>57</v>
      </c>
      <c r="Q50" s="6" t="s">
        <v>101</v>
      </c>
    </row>
    <row r="51" spans="1:17">
      <c r="A51" s="3" t="s">
        <v>219</v>
      </c>
      <c r="B51" s="4" t="s">
        <v>135</v>
      </c>
      <c r="C51" s="4" t="s">
        <v>220</v>
      </c>
      <c r="D51" s="4" t="s">
        <v>221</v>
      </c>
      <c r="E51" s="4" t="s">
        <v>35</v>
      </c>
      <c r="F51" s="4" t="s">
        <v>53</v>
      </c>
      <c r="G51" s="4" t="s">
        <v>46</v>
      </c>
      <c r="H51" s="4" t="s">
        <v>55</v>
      </c>
      <c r="I51" s="4" t="s">
        <v>56</v>
      </c>
      <c r="J51" s="4">
        <v>12.6</v>
      </c>
      <c r="K51" s="4">
        <v>8</v>
      </c>
      <c r="L51" s="4" t="s">
        <v>27</v>
      </c>
      <c r="M51" s="4">
        <v>3</v>
      </c>
      <c r="N51" s="4" t="s">
        <v>26</v>
      </c>
      <c r="O51" s="4" t="s">
        <v>28</v>
      </c>
      <c r="P51" s="4" t="s">
        <v>1670</v>
      </c>
      <c r="Q51" s="5" t="s">
        <v>30</v>
      </c>
    </row>
    <row r="52" spans="1:17">
      <c r="A52" s="1" t="s">
        <v>222</v>
      </c>
      <c r="B52" s="2" t="s">
        <v>60</v>
      </c>
      <c r="C52" s="2" t="s">
        <v>223</v>
      </c>
      <c r="D52" s="2" t="s">
        <v>224</v>
      </c>
      <c r="E52" s="2" t="s">
        <v>84</v>
      </c>
      <c r="F52" s="2" t="s">
        <v>116</v>
      </c>
      <c r="G52" s="2" t="s">
        <v>54</v>
      </c>
      <c r="H52" s="2" t="s">
        <v>91</v>
      </c>
      <c r="I52" s="2" t="s">
        <v>87</v>
      </c>
      <c r="J52" s="2">
        <v>7.6</v>
      </c>
      <c r="K52" s="2">
        <v>4</v>
      </c>
      <c r="L52" s="2" t="s">
        <v>27</v>
      </c>
      <c r="M52" s="2">
        <v>2</v>
      </c>
      <c r="N52" s="2" t="s">
        <v>26</v>
      </c>
      <c r="O52" s="2" t="s">
        <v>28</v>
      </c>
      <c r="P52" s="2" t="s">
        <v>57</v>
      </c>
      <c r="Q52" s="6" t="s">
        <v>39</v>
      </c>
    </row>
    <row r="53" spans="1:17">
      <c r="A53" s="3" t="s">
        <v>225</v>
      </c>
      <c r="B53" s="4" t="s">
        <v>41</v>
      </c>
      <c r="C53" s="4" t="s">
        <v>226</v>
      </c>
      <c r="D53" s="4" t="s">
        <v>227</v>
      </c>
      <c r="E53" s="4" t="s">
        <v>35</v>
      </c>
      <c r="F53" s="4" t="s">
        <v>127</v>
      </c>
      <c r="G53" s="4" t="s">
        <v>54</v>
      </c>
      <c r="H53" s="4" t="s">
        <v>47</v>
      </c>
      <c r="I53" s="4" t="s">
        <v>56</v>
      </c>
      <c r="J53" s="4">
        <v>7.4</v>
      </c>
      <c r="K53" s="4">
        <v>4</v>
      </c>
      <c r="L53" s="4" t="s">
        <v>27</v>
      </c>
      <c r="M53" s="4">
        <v>2</v>
      </c>
      <c r="N53" s="4" t="s">
        <v>27</v>
      </c>
      <c r="O53" s="4" t="s">
        <v>28</v>
      </c>
      <c r="P53" s="4" t="s">
        <v>57</v>
      </c>
      <c r="Q53" s="5" t="s">
        <v>101</v>
      </c>
    </row>
    <row r="54" spans="1:17">
      <c r="A54" s="1" t="s">
        <v>228</v>
      </c>
      <c r="B54" s="2" t="s">
        <v>135</v>
      </c>
      <c r="C54" s="2" t="s">
        <v>229</v>
      </c>
      <c r="D54" s="2" t="s">
        <v>230</v>
      </c>
      <c r="E54" s="2" t="s">
        <v>21</v>
      </c>
      <c r="F54" s="2" t="s">
        <v>22</v>
      </c>
      <c r="G54" s="2" t="s">
        <v>46</v>
      </c>
      <c r="H54" s="2" t="s">
        <v>138</v>
      </c>
      <c r="I54" s="2" t="s">
        <v>25</v>
      </c>
      <c r="J54" s="2">
        <v>11.7</v>
      </c>
      <c r="K54" s="2">
        <v>8</v>
      </c>
      <c r="L54" s="2" t="s">
        <v>27</v>
      </c>
      <c r="M54" s="2">
        <v>2</v>
      </c>
      <c r="N54" s="2" t="s">
        <v>26</v>
      </c>
      <c r="O54" s="2" t="s">
        <v>28</v>
      </c>
      <c r="P54" s="2" t="s">
        <v>57</v>
      </c>
      <c r="Q54" s="6" t="s">
        <v>30</v>
      </c>
    </row>
    <row r="55" spans="1:17">
      <c r="A55" s="3" t="s">
        <v>231</v>
      </c>
      <c r="B55" s="4" t="s">
        <v>32</v>
      </c>
      <c r="C55" s="4" t="s">
        <v>232</v>
      </c>
      <c r="D55" s="4" t="s">
        <v>233</v>
      </c>
      <c r="E55" s="4" t="s">
        <v>21</v>
      </c>
      <c r="F55" s="4" t="s">
        <v>69</v>
      </c>
      <c r="G55" s="4" t="s">
        <v>54</v>
      </c>
      <c r="H55" s="4" t="s">
        <v>234</v>
      </c>
      <c r="I55" s="4" t="s">
        <v>25</v>
      </c>
      <c r="J55" s="4">
        <v>7.3</v>
      </c>
      <c r="K55" s="4">
        <v>4</v>
      </c>
      <c r="L55" s="4" t="s">
        <v>27</v>
      </c>
      <c r="M55" s="4">
        <v>2</v>
      </c>
      <c r="N55" s="4" t="s">
        <v>26</v>
      </c>
      <c r="O55" s="4" t="s">
        <v>28</v>
      </c>
      <c r="P55" s="4" t="s">
        <v>1670</v>
      </c>
      <c r="Q55" s="5" t="s">
        <v>30</v>
      </c>
    </row>
    <row r="56" spans="1:17">
      <c r="A56" s="1" t="s">
        <v>235</v>
      </c>
      <c r="B56" s="2" t="s">
        <v>66</v>
      </c>
      <c r="C56" s="2" t="s">
        <v>236</v>
      </c>
      <c r="D56" s="2" t="s">
        <v>237</v>
      </c>
      <c r="E56" s="2" t="s">
        <v>78</v>
      </c>
      <c r="F56" s="2" t="s">
        <v>79</v>
      </c>
      <c r="G56" s="2" t="s">
        <v>46</v>
      </c>
      <c r="H56" s="2" t="s">
        <v>86</v>
      </c>
      <c r="I56" s="2" t="s">
        <v>80</v>
      </c>
      <c r="J56" s="2">
        <v>22.4</v>
      </c>
      <c r="K56" s="2">
        <v>8</v>
      </c>
      <c r="L56" s="2" t="s">
        <v>27</v>
      </c>
      <c r="M56" s="2">
        <v>3</v>
      </c>
      <c r="N56" s="2" t="s">
        <v>26</v>
      </c>
      <c r="O56" s="2" t="s">
        <v>28</v>
      </c>
      <c r="P56" s="2" t="s">
        <v>1670</v>
      </c>
      <c r="Q56" s="6" t="s">
        <v>101</v>
      </c>
    </row>
    <row r="57" spans="1:17">
      <c r="A57" s="3" t="s">
        <v>238</v>
      </c>
      <c r="B57" s="4" t="s">
        <v>135</v>
      </c>
      <c r="C57" s="4" t="s">
        <v>239</v>
      </c>
      <c r="D57" s="4" t="s">
        <v>240</v>
      </c>
      <c r="E57" s="4" t="s">
        <v>21</v>
      </c>
      <c r="F57" s="4" t="s">
        <v>22</v>
      </c>
      <c r="G57" s="4" t="s">
        <v>23</v>
      </c>
      <c r="H57" s="4" t="s">
        <v>47</v>
      </c>
      <c r="I57" s="4" t="s">
        <v>25</v>
      </c>
      <c r="J57" s="4">
        <v>9.1</v>
      </c>
      <c r="K57" s="4">
        <v>24</v>
      </c>
      <c r="L57" s="4" t="s">
        <v>26</v>
      </c>
      <c r="M57" s="4">
        <v>5</v>
      </c>
      <c r="N57" s="4" t="s">
        <v>27</v>
      </c>
      <c r="O57" s="4" t="s">
        <v>28</v>
      </c>
      <c r="P57" s="4" t="s">
        <v>29</v>
      </c>
      <c r="Q57" s="5" t="s">
        <v>101</v>
      </c>
    </row>
    <row r="58" spans="1:17">
      <c r="A58" s="1" t="s">
        <v>241</v>
      </c>
      <c r="B58" s="2" t="s">
        <v>32</v>
      </c>
      <c r="C58" s="2" t="s">
        <v>242</v>
      </c>
      <c r="D58" s="2" t="s">
        <v>243</v>
      </c>
      <c r="E58" s="2" t="s">
        <v>21</v>
      </c>
      <c r="F58" s="2" t="s">
        <v>22</v>
      </c>
      <c r="G58" s="2" t="s">
        <v>46</v>
      </c>
      <c r="H58" s="2" t="s">
        <v>55</v>
      </c>
      <c r="I58" s="2" t="s">
        <v>25</v>
      </c>
      <c r="J58" s="2">
        <v>7.5</v>
      </c>
      <c r="K58" s="2">
        <v>8</v>
      </c>
      <c r="L58" s="2" t="s">
        <v>26</v>
      </c>
      <c r="M58" s="2">
        <v>5</v>
      </c>
      <c r="N58" s="2" t="s">
        <v>27</v>
      </c>
      <c r="O58" s="2" t="s">
        <v>28</v>
      </c>
      <c r="P58" s="2" t="s">
        <v>29</v>
      </c>
      <c r="Q58" s="6" t="s">
        <v>58</v>
      </c>
    </row>
    <row r="59" spans="1:17">
      <c r="A59" s="3" t="s">
        <v>244</v>
      </c>
      <c r="B59" s="4" t="s">
        <v>18</v>
      </c>
      <c r="C59" s="4" t="s">
        <v>245</v>
      </c>
      <c r="D59" s="4" t="s">
        <v>246</v>
      </c>
      <c r="E59" s="4" t="s">
        <v>35</v>
      </c>
      <c r="F59" s="4" t="s">
        <v>53</v>
      </c>
      <c r="G59" s="4" t="s">
        <v>23</v>
      </c>
      <c r="H59" s="4" t="s">
        <v>70</v>
      </c>
      <c r="I59" s="4" t="s">
        <v>56</v>
      </c>
      <c r="J59" s="4">
        <v>7.4</v>
      </c>
      <c r="K59" s="4">
        <v>24</v>
      </c>
      <c r="L59" s="4" t="s">
        <v>26</v>
      </c>
      <c r="M59" s="4">
        <v>4</v>
      </c>
      <c r="N59" s="4" t="s">
        <v>27</v>
      </c>
      <c r="O59" s="4" t="s">
        <v>28</v>
      </c>
      <c r="P59" s="4" t="s">
        <v>29</v>
      </c>
      <c r="Q59" s="5" t="s">
        <v>101</v>
      </c>
    </row>
    <row r="60" spans="1:17">
      <c r="A60" s="1" t="s">
        <v>247</v>
      </c>
      <c r="B60" s="2" t="s">
        <v>50</v>
      </c>
      <c r="C60" s="2" t="s">
        <v>248</v>
      </c>
      <c r="D60" s="2" t="s">
        <v>249</v>
      </c>
      <c r="E60" s="2" t="s">
        <v>21</v>
      </c>
      <c r="F60" s="2" t="s">
        <v>63</v>
      </c>
      <c r="G60" s="2" t="s">
        <v>23</v>
      </c>
      <c r="H60" s="2" t="s">
        <v>70</v>
      </c>
      <c r="I60" s="2" t="s">
        <v>25</v>
      </c>
      <c r="J60" s="2">
        <v>10.1</v>
      </c>
      <c r="K60" s="2">
        <v>24</v>
      </c>
      <c r="L60" s="2" t="s">
        <v>26</v>
      </c>
      <c r="M60" s="2">
        <v>4</v>
      </c>
      <c r="N60" s="2" t="s">
        <v>27</v>
      </c>
      <c r="O60" s="2" t="s">
        <v>28</v>
      </c>
      <c r="P60" s="2" t="s">
        <v>29</v>
      </c>
      <c r="Q60" s="6" t="s">
        <v>30</v>
      </c>
    </row>
    <row r="61" spans="1:17">
      <c r="A61" s="3" t="s">
        <v>250</v>
      </c>
      <c r="B61" s="4" t="s">
        <v>75</v>
      </c>
      <c r="C61" s="4" t="s">
        <v>251</v>
      </c>
      <c r="D61" s="4" t="s">
        <v>252</v>
      </c>
      <c r="E61" s="4" t="s">
        <v>78</v>
      </c>
      <c r="F61" s="4" t="s">
        <v>79</v>
      </c>
      <c r="G61" s="4" t="s">
        <v>46</v>
      </c>
      <c r="H61" s="4" t="s">
        <v>24</v>
      </c>
      <c r="I61" s="4" t="s">
        <v>80</v>
      </c>
      <c r="J61" s="4">
        <v>14.9</v>
      </c>
      <c r="K61" s="4">
        <v>8</v>
      </c>
      <c r="L61" s="4" t="s">
        <v>27</v>
      </c>
      <c r="M61" s="4">
        <v>3</v>
      </c>
      <c r="N61" s="4" t="s">
        <v>27</v>
      </c>
      <c r="O61" s="4" t="s">
        <v>28</v>
      </c>
      <c r="P61" s="4" t="s">
        <v>1670</v>
      </c>
      <c r="Q61" s="5" t="s">
        <v>101</v>
      </c>
    </row>
    <row r="62" spans="1:17">
      <c r="A62" s="1" t="s">
        <v>253</v>
      </c>
      <c r="B62" s="2" t="s">
        <v>41</v>
      </c>
      <c r="C62" s="2" t="s">
        <v>254</v>
      </c>
      <c r="D62" s="2" t="s">
        <v>255</v>
      </c>
      <c r="E62" s="2" t="s">
        <v>78</v>
      </c>
      <c r="F62" s="2" t="s">
        <v>79</v>
      </c>
      <c r="G62" s="2" t="s">
        <v>46</v>
      </c>
      <c r="H62" s="2" t="s">
        <v>70</v>
      </c>
      <c r="I62" s="2" t="s">
        <v>80</v>
      </c>
      <c r="J62" s="2">
        <v>18.2</v>
      </c>
      <c r="K62" s="2">
        <v>8</v>
      </c>
      <c r="L62" s="2" t="s">
        <v>27</v>
      </c>
      <c r="M62" s="2">
        <v>2</v>
      </c>
      <c r="N62" s="2" t="s">
        <v>27</v>
      </c>
      <c r="O62" s="2" t="s">
        <v>28</v>
      </c>
      <c r="P62" s="2" t="s">
        <v>57</v>
      </c>
      <c r="Q62" s="6" t="s">
        <v>39</v>
      </c>
    </row>
    <row r="63" spans="1:17">
      <c r="A63" s="3" t="s">
        <v>256</v>
      </c>
      <c r="B63" s="4" t="s">
        <v>50</v>
      </c>
      <c r="C63" s="4" t="s">
        <v>257</v>
      </c>
      <c r="D63" s="4" t="s">
        <v>258</v>
      </c>
      <c r="E63" s="4" t="s">
        <v>44</v>
      </c>
      <c r="F63" s="4" t="s">
        <v>109</v>
      </c>
      <c r="G63" s="4" t="s">
        <v>46</v>
      </c>
      <c r="H63" s="4" t="s">
        <v>234</v>
      </c>
      <c r="I63" s="4" t="s">
        <v>48</v>
      </c>
      <c r="J63" s="4">
        <v>2.2999999999999998</v>
      </c>
      <c r="K63" s="4">
        <v>8</v>
      </c>
      <c r="L63" s="4" t="s">
        <v>26</v>
      </c>
      <c r="M63" s="4">
        <v>4</v>
      </c>
      <c r="N63" s="4" t="s">
        <v>27</v>
      </c>
      <c r="O63" s="4" t="s">
        <v>28</v>
      </c>
      <c r="P63" s="4" t="s">
        <v>29</v>
      </c>
      <c r="Q63" s="5" t="s">
        <v>39</v>
      </c>
    </row>
    <row r="64" spans="1:17">
      <c r="A64" s="1" t="s">
        <v>259</v>
      </c>
      <c r="B64" s="2" t="s">
        <v>121</v>
      </c>
      <c r="C64" s="2" t="s">
        <v>260</v>
      </c>
      <c r="D64" s="2" t="s">
        <v>261</v>
      </c>
      <c r="E64" s="2" t="s">
        <v>35</v>
      </c>
      <c r="F64" s="2" t="s">
        <v>36</v>
      </c>
      <c r="G64" s="2" t="s">
        <v>54</v>
      </c>
      <c r="H64" s="2" t="s">
        <v>24</v>
      </c>
      <c r="I64" s="2" t="s">
        <v>38</v>
      </c>
      <c r="J64" s="2">
        <v>12.3</v>
      </c>
      <c r="K64" s="2">
        <v>4</v>
      </c>
      <c r="L64" s="2" t="s">
        <v>27</v>
      </c>
      <c r="M64" s="2">
        <v>1</v>
      </c>
      <c r="N64" s="2" t="s">
        <v>27</v>
      </c>
      <c r="O64" s="2" t="s">
        <v>28</v>
      </c>
      <c r="P64" s="2" t="s">
        <v>1670</v>
      </c>
      <c r="Q64" s="6" t="s">
        <v>39</v>
      </c>
    </row>
    <row r="65" spans="1:17">
      <c r="A65" s="3" t="s">
        <v>262</v>
      </c>
      <c r="B65" s="4" t="s">
        <v>106</v>
      </c>
      <c r="C65" s="4" t="s">
        <v>263</v>
      </c>
      <c r="D65" s="4" t="s">
        <v>264</v>
      </c>
      <c r="E65" s="4" t="s">
        <v>78</v>
      </c>
      <c r="F65" s="4" t="s">
        <v>79</v>
      </c>
      <c r="G65" s="4" t="s">
        <v>46</v>
      </c>
      <c r="H65" s="4" t="s">
        <v>64</v>
      </c>
      <c r="I65" s="4" t="s">
        <v>80</v>
      </c>
      <c r="J65" s="4">
        <v>12.5</v>
      </c>
      <c r="K65" s="4">
        <v>8</v>
      </c>
      <c r="L65" s="4" t="s">
        <v>27</v>
      </c>
      <c r="M65" s="4">
        <v>3</v>
      </c>
      <c r="N65" s="4" t="s">
        <v>27</v>
      </c>
      <c r="O65" s="4" t="s">
        <v>28</v>
      </c>
      <c r="P65" s="4" t="s">
        <v>1670</v>
      </c>
      <c r="Q65" s="5" t="s">
        <v>30</v>
      </c>
    </row>
    <row r="66" spans="1:17">
      <c r="A66" s="1" t="s">
        <v>265</v>
      </c>
      <c r="B66" s="2" t="s">
        <v>50</v>
      </c>
      <c r="C66" s="2" t="s">
        <v>266</v>
      </c>
      <c r="D66" s="2" t="s">
        <v>267</v>
      </c>
      <c r="E66" s="2" t="s">
        <v>84</v>
      </c>
      <c r="F66" s="2" t="s">
        <v>85</v>
      </c>
      <c r="G66" s="2" t="s">
        <v>46</v>
      </c>
      <c r="H66" s="2" t="s">
        <v>234</v>
      </c>
      <c r="I66" s="2" t="s">
        <v>87</v>
      </c>
      <c r="J66" s="2">
        <v>4.3</v>
      </c>
      <c r="K66" s="2">
        <v>8</v>
      </c>
      <c r="L66" s="2" t="s">
        <v>26</v>
      </c>
      <c r="M66" s="2">
        <v>5</v>
      </c>
      <c r="N66" s="2" t="s">
        <v>27</v>
      </c>
      <c r="O66" s="2" t="s">
        <v>28</v>
      </c>
      <c r="P66" s="2" t="s">
        <v>29</v>
      </c>
      <c r="Q66" s="6" t="s">
        <v>39</v>
      </c>
    </row>
    <row r="67" spans="1:17">
      <c r="A67" s="3" t="s">
        <v>268</v>
      </c>
      <c r="B67" s="4" t="s">
        <v>135</v>
      </c>
      <c r="C67" s="4" t="s">
        <v>269</v>
      </c>
      <c r="D67" s="4" t="s">
        <v>270</v>
      </c>
      <c r="E67" s="4" t="s">
        <v>78</v>
      </c>
      <c r="F67" s="4" t="s">
        <v>79</v>
      </c>
      <c r="G67" s="4" t="s">
        <v>46</v>
      </c>
      <c r="H67" s="4" t="s">
        <v>138</v>
      </c>
      <c r="I67" s="4" t="s">
        <v>80</v>
      </c>
      <c r="J67" s="4">
        <v>19.5</v>
      </c>
      <c r="K67" s="4">
        <v>8</v>
      </c>
      <c r="L67" s="4" t="s">
        <v>27</v>
      </c>
      <c r="M67" s="4">
        <v>3</v>
      </c>
      <c r="N67" s="4" t="s">
        <v>26</v>
      </c>
      <c r="O67" s="4" t="s">
        <v>28</v>
      </c>
      <c r="P67" s="4" t="s">
        <v>57</v>
      </c>
      <c r="Q67" s="5" t="s">
        <v>58</v>
      </c>
    </row>
    <row r="68" spans="1:17">
      <c r="A68" s="1" t="s">
        <v>271</v>
      </c>
      <c r="B68" s="2" t="s">
        <v>32</v>
      </c>
      <c r="C68" s="2" t="s">
        <v>272</v>
      </c>
      <c r="D68" s="2" t="s">
        <v>273</v>
      </c>
      <c r="E68" s="2" t="s">
        <v>21</v>
      </c>
      <c r="F68" s="2" t="s">
        <v>63</v>
      </c>
      <c r="G68" s="2" t="s">
        <v>46</v>
      </c>
      <c r="H68" s="2" t="s">
        <v>234</v>
      </c>
      <c r="I68" s="2" t="s">
        <v>25</v>
      </c>
      <c r="J68" s="2">
        <v>15.5</v>
      </c>
      <c r="K68" s="2">
        <v>8</v>
      </c>
      <c r="L68" s="2" t="s">
        <v>27</v>
      </c>
      <c r="M68" s="2">
        <v>2</v>
      </c>
      <c r="N68" s="2" t="s">
        <v>27</v>
      </c>
      <c r="O68" s="2" t="s">
        <v>28</v>
      </c>
      <c r="P68" s="2" t="s">
        <v>1670</v>
      </c>
      <c r="Q68" s="6" t="s">
        <v>101</v>
      </c>
    </row>
    <row r="69" spans="1:17">
      <c r="A69" s="3" t="s">
        <v>274</v>
      </c>
      <c r="B69" s="4" t="s">
        <v>32</v>
      </c>
      <c r="C69" s="4" t="s">
        <v>275</v>
      </c>
      <c r="D69" s="4" t="s">
        <v>276</v>
      </c>
      <c r="E69" s="4" t="s">
        <v>84</v>
      </c>
      <c r="F69" s="4" t="s">
        <v>116</v>
      </c>
      <c r="G69" s="4" t="s">
        <v>46</v>
      </c>
      <c r="H69" s="4" t="s">
        <v>55</v>
      </c>
      <c r="I69" s="4" t="s">
        <v>87</v>
      </c>
      <c r="J69" s="4">
        <v>8.1</v>
      </c>
      <c r="K69" s="4">
        <v>8</v>
      </c>
      <c r="L69" s="4" t="s">
        <v>27</v>
      </c>
      <c r="M69" s="4">
        <v>2</v>
      </c>
      <c r="N69" s="4" t="s">
        <v>26</v>
      </c>
      <c r="O69" s="4" t="s">
        <v>28</v>
      </c>
      <c r="P69" s="4" t="s">
        <v>57</v>
      </c>
      <c r="Q69" s="5" t="s">
        <v>58</v>
      </c>
    </row>
    <row r="70" spans="1:17">
      <c r="A70" s="1" t="s">
        <v>277</v>
      </c>
      <c r="B70" s="2" t="s">
        <v>60</v>
      </c>
      <c r="C70" s="2" t="s">
        <v>278</v>
      </c>
      <c r="D70" s="2" t="s">
        <v>279</v>
      </c>
      <c r="E70" s="2" t="s">
        <v>35</v>
      </c>
      <c r="F70" s="2" t="s">
        <v>127</v>
      </c>
      <c r="G70" s="2" t="s">
        <v>23</v>
      </c>
      <c r="H70" s="2" t="s">
        <v>234</v>
      </c>
      <c r="I70" s="2" t="s">
        <v>56</v>
      </c>
      <c r="J70" s="2">
        <v>9.1</v>
      </c>
      <c r="K70" s="2">
        <v>24</v>
      </c>
      <c r="L70" s="2" t="s">
        <v>27</v>
      </c>
      <c r="M70" s="2">
        <v>1</v>
      </c>
      <c r="N70" s="2" t="s">
        <v>27</v>
      </c>
      <c r="O70" s="2" t="s">
        <v>28</v>
      </c>
      <c r="P70" s="2" t="s">
        <v>57</v>
      </c>
      <c r="Q70" s="6" t="s">
        <v>39</v>
      </c>
    </row>
    <row r="71" spans="1:17">
      <c r="A71" s="3" t="s">
        <v>280</v>
      </c>
      <c r="B71" s="4" t="s">
        <v>32</v>
      </c>
      <c r="C71" s="4" t="s">
        <v>281</v>
      </c>
      <c r="D71" s="4" t="s">
        <v>282</v>
      </c>
      <c r="E71" s="4" t="s">
        <v>35</v>
      </c>
      <c r="F71" s="4" t="s">
        <v>53</v>
      </c>
      <c r="G71" s="4" t="s">
        <v>23</v>
      </c>
      <c r="H71" s="4" t="s">
        <v>91</v>
      </c>
      <c r="I71" s="4" t="s">
        <v>56</v>
      </c>
      <c r="J71" s="4">
        <v>11.9</v>
      </c>
      <c r="K71" s="4">
        <v>24</v>
      </c>
      <c r="L71" s="4" t="s">
        <v>26</v>
      </c>
      <c r="M71" s="4">
        <v>5</v>
      </c>
      <c r="N71" s="4" t="s">
        <v>27</v>
      </c>
      <c r="O71" s="4" t="s">
        <v>28</v>
      </c>
      <c r="P71" s="4" t="s">
        <v>29</v>
      </c>
      <c r="Q71" s="5" t="s">
        <v>101</v>
      </c>
    </row>
    <row r="72" spans="1:17">
      <c r="A72" s="1" t="s">
        <v>283</v>
      </c>
      <c r="B72" s="2" t="s">
        <v>75</v>
      </c>
      <c r="C72" s="2" t="s">
        <v>284</v>
      </c>
      <c r="D72" s="2" t="s">
        <v>285</v>
      </c>
      <c r="E72" s="2" t="s">
        <v>21</v>
      </c>
      <c r="F72" s="2" t="s">
        <v>69</v>
      </c>
      <c r="G72" s="2" t="s">
        <v>46</v>
      </c>
      <c r="H72" s="2" t="s">
        <v>64</v>
      </c>
      <c r="I72" s="2" t="s">
        <v>25</v>
      </c>
      <c r="J72" s="2">
        <v>5</v>
      </c>
      <c r="K72" s="2">
        <v>8</v>
      </c>
      <c r="L72" s="2" t="s">
        <v>26</v>
      </c>
      <c r="M72" s="2">
        <v>5</v>
      </c>
      <c r="N72" s="2" t="s">
        <v>27</v>
      </c>
      <c r="O72" s="2" t="s">
        <v>28</v>
      </c>
      <c r="P72" s="2" t="s">
        <v>29</v>
      </c>
      <c r="Q72" s="6" t="s">
        <v>58</v>
      </c>
    </row>
    <row r="73" spans="1:17">
      <c r="A73" s="3" t="s">
        <v>286</v>
      </c>
      <c r="B73" s="4" t="s">
        <v>50</v>
      </c>
      <c r="C73" s="4" t="s">
        <v>287</v>
      </c>
      <c r="D73" s="4" t="s">
        <v>288</v>
      </c>
      <c r="E73" s="4" t="s">
        <v>44</v>
      </c>
      <c r="F73" s="4" t="s">
        <v>45</v>
      </c>
      <c r="G73" s="4" t="s">
        <v>46</v>
      </c>
      <c r="H73" s="4" t="s">
        <v>37</v>
      </c>
      <c r="I73" s="4" t="s">
        <v>48</v>
      </c>
      <c r="J73" s="4">
        <v>4.8</v>
      </c>
      <c r="K73" s="4">
        <v>8</v>
      </c>
      <c r="L73" s="4" t="s">
        <v>26</v>
      </c>
      <c r="M73" s="4">
        <v>4</v>
      </c>
      <c r="N73" s="4" t="s">
        <v>27</v>
      </c>
      <c r="O73" s="4" t="s">
        <v>28</v>
      </c>
      <c r="P73" s="4" t="s">
        <v>29</v>
      </c>
      <c r="Q73" s="5" t="s">
        <v>101</v>
      </c>
    </row>
    <row r="74" spans="1:17">
      <c r="A74" s="1" t="s">
        <v>289</v>
      </c>
      <c r="B74" s="2" t="s">
        <v>18</v>
      </c>
      <c r="C74" s="2" t="s">
        <v>290</v>
      </c>
      <c r="D74" s="2" t="s">
        <v>291</v>
      </c>
      <c r="E74" s="2" t="s">
        <v>84</v>
      </c>
      <c r="F74" s="2" t="s">
        <v>85</v>
      </c>
      <c r="G74" s="2" t="s">
        <v>46</v>
      </c>
      <c r="H74" s="2" t="s">
        <v>234</v>
      </c>
      <c r="I74" s="2" t="s">
        <v>87</v>
      </c>
      <c r="J74" s="2">
        <v>5.9</v>
      </c>
      <c r="K74" s="2">
        <v>8</v>
      </c>
      <c r="L74" s="2" t="s">
        <v>26</v>
      </c>
      <c r="M74" s="2">
        <v>5</v>
      </c>
      <c r="N74" s="2" t="s">
        <v>27</v>
      </c>
      <c r="O74" s="2" t="s">
        <v>28</v>
      </c>
      <c r="P74" s="2" t="s">
        <v>29</v>
      </c>
      <c r="Q74" s="6" t="s">
        <v>39</v>
      </c>
    </row>
    <row r="75" spans="1:17">
      <c r="A75" s="3" t="s">
        <v>292</v>
      </c>
      <c r="B75" s="4" t="s">
        <v>75</v>
      </c>
      <c r="C75" s="4" t="s">
        <v>293</v>
      </c>
      <c r="D75" s="4" t="s">
        <v>294</v>
      </c>
      <c r="E75" s="4" t="s">
        <v>21</v>
      </c>
      <c r="F75" s="4" t="s">
        <v>22</v>
      </c>
      <c r="G75" s="4" t="s">
        <v>46</v>
      </c>
      <c r="H75" s="4" t="s">
        <v>91</v>
      </c>
      <c r="I75" s="4" t="s">
        <v>25</v>
      </c>
      <c r="J75" s="4">
        <v>12.4</v>
      </c>
      <c r="K75" s="4">
        <v>8</v>
      </c>
      <c r="L75" s="4" t="s">
        <v>27</v>
      </c>
      <c r="M75" s="4">
        <v>1</v>
      </c>
      <c r="N75" s="4" t="s">
        <v>27</v>
      </c>
      <c r="O75" s="4" t="s">
        <v>28</v>
      </c>
      <c r="P75" s="4" t="s">
        <v>57</v>
      </c>
      <c r="Q75" s="5" t="s">
        <v>30</v>
      </c>
    </row>
    <row r="76" spans="1:17">
      <c r="A76" s="1" t="s">
        <v>295</v>
      </c>
      <c r="B76" s="2" t="s">
        <v>75</v>
      </c>
      <c r="C76" s="2" t="s">
        <v>296</v>
      </c>
      <c r="D76" s="2" t="s">
        <v>297</v>
      </c>
      <c r="E76" s="2" t="s">
        <v>21</v>
      </c>
      <c r="F76" s="2" t="s">
        <v>69</v>
      </c>
      <c r="G76" s="2" t="s">
        <v>54</v>
      </c>
      <c r="H76" s="2" t="s">
        <v>234</v>
      </c>
      <c r="I76" s="2" t="s">
        <v>25</v>
      </c>
      <c r="J76" s="2">
        <v>8.6999999999999993</v>
      </c>
      <c r="K76" s="2">
        <v>4</v>
      </c>
      <c r="L76" s="2" t="s">
        <v>27</v>
      </c>
      <c r="M76" s="2">
        <v>2</v>
      </c>
      <c r="N76" s="2" t="s">
        <v>27</v>
      </c>
      <c r="O76" s="2" t="s">
        <v>28</v>
      </c>
      <c r="P76" s="2" t="s">
        <v>57</v>
      </c>
      <c r="Q76" s="6" t="s">
        <v>39</v>
      </c>
    </row>
    <row r="77" spans="1:17">
      <c r="A77" s="3" t="s">
        <v>298</v>
      </c>
      <c r="B77" s="4" t="s">
        <v>41</v>
      </c>
      <c r="C77" s="4" t="s">
        <v>299</v>
      </c>
      <c r="D77" s="4" t="s">
        <v>300</v>
      </c>
      <c r="E77" s="4" t="s">
        <v>21</v>
      </c>
      <c r="F77" s="4" t="s">
        <v>22</v>
      </c>
      <c r="G77" s="4" t="s">
        <v>46</v>
      </c>
      <c r="H77" s="4" t="s">
        <v>47</v>
      </c>
      <c r="I77" s="4" t="s">
        <v>25</v>
      </c>
      <c r="J77" s="4">
        <v>7.1</v>
      </c>
      <c r="K77" s="4">
        <v>8</v>
      </c>
      <c r="L77" s="4" t="s">
        <v>26</v>
      </c>
      <c r="M77" s="4"/>
      <c r="N77" s="4" t="s">
        <v>27</v>
      </c>
      <c r="O77" s="4" t="s">
        <v>28</v>
      </c>
      <c r="P77" s="4" t="s">
        <v>29</v>
      </c>
      <c r="Q77" s="5" t="s">
        <v>101</v>
      </c>
    </row>
    <row r="78" spans="1:17">
      <c r="A78" s="1" t="s">
        <v>301</v>
      </c>
      <c r="B78" s="2" t="s">
        <v>41</v>
      </c>
      <c r="C78" s="2" t="s">
        <v>302</v>
      </c>
      <c r="D78" s="2" t="s">
        <v>303</v>
      </c>
      <c r="E78" s="2" t="s">
        <v>21</v>
      </c>
      <c r="F78" s="2" t="s">
        <v>63</v>
      </c>
      <c r="G78" s="2" t="s">
        <v>46</v>
      </c>
      <c r="H78" s="2" t="s">
        <v>138</v>
      </c>
      <c r="I78" s="2" t="s">
        <v>25</v>
      </c>
      <c r="J78" s="2">
        <v>8.5</v>
      </c>
      <c r="K78" s="2">
        <v>8</v>
      </c>
      <c r="L78" s="2" t="s">
        <v>27</v>
      </c>
      <c r="M78" s="2">
        <v>2</v>
      </c>
      <c r="N78" s="2" t="s">
        <v>26</v>
      </c>
      <c r="O78" s="2" t="s">
        <v>28</v>
      </c>
      <c r="P78" s="2" t="s">
        <v>1670</v>
      </c>
      <c r="Q78" s="6" t="s">
        <v>39</v>
      </c>
    </row>
    <row r="79" spans="1:17">
      <c r="A79" s="3" t="s">
        <v>304</v>
      </c>
      <c r="B79" s="4" t="s">
        <v>41</v>
      </c>
      <c r="C79" s="4" t="s">
        <v>305</v>
      </c>
      <c r="D79" s="4" t="s">
        <v>306</v>
      </c>
      <c r="E79" s="4" t="s">
        <v>21</v>
      </c>
      <c r="F79" s="4" t="s">
        <v>69</v>
      </c>
      <c r="G79" s="4" t="s">
        <v>23</v>
      </c>
      <c r="H79" s="4" t="s">
        <v>91</v>
      </c>
      <c r="I79" s="4" t="s">
        <v>25</v>
      </c>
      <c r="J79" s="4">
        <v>12.4</v>
      </c>
      <c r="K79" s="4">
        <v>24</v>
      </c>
      <c r="L79" s="4" t="s">
        <v>26</v>
      </c>
      <c r="M79" s="4">
        <v>5</v>
      </c>
      <c r="N79" s="4" t="s">
        <v>27</v>
      </c>
      <c r="O79" s="4" t="s">
        <v>28</v>
      </c>
      <c r="P79" s="4" t="s">
        <v>29</v>
      </c>
      <c r="Q79" s="5" t="s">
        <v>101</v>
      </c>
    </row>
    <row r="80" spans="1:17">
      <c r="A80" s="1" t="s">
        <v>307</v>
      </c>
      <c r="B80" s="2" t="s">
        <v>50</v>
      </c>
      <c r="C80" s="2" t="s">
        <v>308</v>
      </c>
      <c r="D80" s="2" t="s">
        <v>309</v>
      </c>
      <c r="E80" s="2" t="s">
        <v>78</v>
      </c>
      <c r="F80" s="2" t="s">
        <v>191</v>
      </c>
      <c r="G80" s="2" t="s">
        <v>23</v>
      </c>
      <c r="H80" s="2" t="s">
        <v>86</v>
      </c>
      <c r="I80" s="2" t="s">
        <v>38</v>
      </c>
      <c r="J80" s="2">
        <v>15.3</v>
      </c>
      <c r="K80" s="2">
        <v>24</v>
      </c>
      <c r="L80" s="2" t="s">
        <v>26</v>
      </c>
      <c r="M80" s="2">
        <v>5</v>
      </c>
      <c r="N80" s="2" t="s">
        <v>27</v>
      </c>
      <c r="O80" s="2" t="s">
        <v>28</v>
      </c>
      <c r="P80" s="2" t="s">
        <v>29</v>
      </c>
      <c r="Q80" s="6" t="s">
        <v>58</v>
      </c>
    </row>
    <row r="81" spans="1:17">
      <c r="A81" s="3" t="s">
        <v>310</v>
      </c>
      <c r="B81" s="4" t="s">
        <v>32</v>
      </c>
      <c r="C81" s="4" t="s">
        <v>311</v>
      </c>
      <c r="D81" s="4" t="s">
        <v>312</v>
      </c>
      <c r="E81" s="4" t="s">
        <v>21</v>
      </c>
      <c r="F81" s="4" t="s">
        <v>69</v>
      </c>
      <c r="G81" s="4" t="s">
        <v>46</v>
      </c>
      <c r="H81" s="4" t="s">
        <v>47</v>
      </c>
      <c r="I81" s="4" t="s">
        <v>25</v>
      </c>
      <c r="J81" s="4">
        <v>6.5</v>
      </c>
      <c r="K81" s="4">
        <v>8</v>
      </c>
      <c r="L81" s="4" t="s">
        <v>26</v>
      </c>
      <c r="M81" s="4">
        <v>5</v>
      </c>
      <c r="N81" s="4" t="s">
        <v>27</v>
      </c>
      <c r="O81" s="4" t="s">
        <v>28</v>
      </c>
      <c r="P81" s="4" t="s">
        <v>29</v>
      </c>
      <c r="Q81" s="5" t="s">
        <v>39</v>
      </c>
    </row>
    <row r="82" spans="1:17">
      <c r="A82" s="1" t="s">
        <v>313</v>
      </c>
      <c r="B82" s="2" t="s">
        <v>135</v>
      </c>
      <c r="C82" s="2" t="s">
        <v>314</v>
      </c>
      <c r="D82" s="2" t="s">
        <v>315</v>
      </c>
      <c r="E82" s="2" t="s">
        <v>44</v>
      </c>
      <c r="F82" s="2" t="s">
        <v>109</v>
      </c>
      <c r="G82" s="2" t="s">
        <v>46</v>
      </c>
      <c r="H82" s="2" t="s">
        <v>24</v>
      </c>
      <c r="I82" s="2" t="s">
        <v>48</v>
      </c>
      <c r="J82" s="2">
        <v>5.2</v>
      </c>
      <c r="K82" s="2">
        <v>8</v>
      </c>
      <c r="L82" s="2" t="s">
        <v>26</v>
      </c>
      <c r="M82" s="2">
        <v>4</v>
      </c>
      <c r="N82" s="2" t="s">
        <v>27</v>
      </c>
      <c r="O82" s="2" t="s">
        <v>28</v>
      </c>
      <c r="P82" s="2" t="s">
        <v>29</v>
      </c>
      <c r="Q82" s="6" t="s">
        <v>58</v>
      </c>
    </row>
    <row r="83" spans="1:17">
      <c r="A83" s="3" t="s">
        <v>316</v>
      </c>
      <c r="B83" s="4" t="s">
        <v>121</v>
      </c>
      <c r="C83" s="4" t="s">
        <v>317</v>
      </c>
      <c r="D83" s="4" t="s">
        <v>318</v>
      </c>
      <c r="E83" s="4" t="s">
        <v>84</v>
      </c>
      <c r="F83" s="4" t="s">
        <v>116</v>
      </c>
      <c r="G83" s="4" t="s">
        <v>23</v>
      </c>
      <c r="H83" s="4" t="s">
        <v>37</v>
      </c>
      <c r="I83" s="4" t="s">
        <v>87</v>
      </c>
      <c r="J83" s="4">
        <v>8.3000000000000007</v>
      </c>
      <c r="K83" s="4">
        <v>24</v>
      </c>
      <c r="L83" s="4" t="s">
        <v>26</v>
      </c>
      <c r="M83" s="4">
        <v>4</v>
      </c>
      <c r="N83" s="4" t="s">
        <v>27</v>
      </c>
      <c r="O83" s="4" t="s">
        <v>28</v>
      </c>
      <c r="P83" s="4" t="s">
        <v>29</v>
      </c>
      <c r="Q83" s="5" t="s">
        <v>101</v>
      </c>
    </row>
    <row r="84" spans="1:17">
      <c r="A84" s="1" t="s">
        <v>319</v>
      </c>
      <c r="B84" s="2" t="s">
        <v>18</v>
      </c>
      <c r="C84" s="2" t="s">
        <v>320</v>
      </c>
      <c r="D84" s="2" t="s">
        <v>321</v>
      </c>
      <c r="E84" s="2" t="s">
        <v>21</v>
      </c>
      <c r="F84" s="2" t="s">
        <v>22</v>
      </c>
      <c r="G84" s="2" t="s">
        <v>46</v>
      </c>
      <c r="H84" s="2" t="s">
        <v>64</v>
      </c>
      <c r="I84" s="2" t="s">
        <v>25</v>
      </c>
      <c r="J84" s="2">
        <v>5.3</v>
      </c>
      <c r="K84" s="2">
        <v>8</v>
      </c>
      <c r="L84" s="2" t="s">
        <v>26</v>
      </c>
      <c r="M84" s="2">
        <v>4</v>
      </c>
      <c r="N84" s="2" t="s">
        <v>27</v>
      </c>
      <c r="O84" s="2" t="s">
        <v>28</v>
      </c>
      <c r="P84" s="2" t="s">
        <v>29</v>
      </c>
      <c r="Q84" s="6" t="s">
        <v>39</v>
      </c>
    </row>
    <row r="85" spans="1:17">
      <c r="A85" s="3" t="s">
        <v>322</v>
      </c>
      <c r="B85" s="4" t="s">
        <v>60</v>
      </c>
      <c r="C85" s="4" t="s">
        <v>323</v>
      </c>
      <c r="D85" s="4" t="s">
        <v>324</v>
      </c>
      <c r="E85" s="4" t="s">
        <v>78</v>
      </c>
      <c r="F85" s="4" t="s">
        <v>79</v>
      </c>
      <c r="G85" s="4" t="s">
        <v>46</v>
      </c>
      <c r="H85" s="4" t="s">
        <v>86</v>
      </c>
      <c r="I85" s="4" t="s">
        <v>80</v>
      </c>
      <c r="J85" s="4">
        <v>12.1</v>
      </c>
      <c r="K85" s="4">
        <v>8</v>
      </c>
      <c r="L85" s="4" t="s">
        <v>27</v>
      </c>
      <c r="M85" s="4">
        <v>3</v>
      </c>
      <c r="N85" s="4" t="s">
        <v>26</v>
      </c>
      <c r="O85" s="4" t="s">
        <v>28</v>
      </c>
      <c r="P85" s="4" t="s">
        <v>1670</v>
      </c>
      <c r="Q85" s="5" t="s">
        <v>101</v>
      </c>
    </row>
    <row r="86" spans="1:17">
      <c r="A86" s="1" t="s">
        <v>325</v>
      </c>
      <c r="B86" s="2" t="s">
        <v>106</v>
      </c>
      <c r="C86" s="2" t="s">
        <v>326</v>
      </c>
      <c r="D86" s="2" t="s">
        <v>327</v>
      </c>
      <c r="E86" s="2" t="s">
        <v>21</v>
      </c>
      <c r="F86" s="2" t="s">
        <v>63</v>
      </c>
      <c r="G86" s="2" t="s">
        <v>46</v>
      </c>
      <c r="H86" s="2" t="s">
        <v>47</v>
      </c>
      <c r="I86" s="2" t="s">
        <v>25</v>
      </c>
      <c r="J86" s="2">
        <v>7.6</v>
      </c>
      <c r="K86" s="2">
        <v>8</v>
      </c>
      <c r="L86" s="2" t="s">
        <v>26</v>
      </c>
      <c r="M86" s="2">
        <v>5</v>
      </c>
      <c r="N86" s="2" t="s">
        <v>27</v>
      </c>
      <c r="O86" s="2" t="s">
        <v>28</v>
      </c>
      <c r="P86" s="2" t="s">
        <v>29</v>
      </c>
      <c r="Q86" s="6" t="s">
        <v>30</v>
      </c>
    </row>
    <row r="87" spans="1:17">
      <c r="A87" s="3" t="s">
        <v>328</v>
      </c>
      <c r="B87" s="4" t="s">
        <v>66</v>
      </c>
      <c r="C87" s="4" t="s">
        <v>329</v>
      </c>
      <c r="D87" s="4" t="s">
        <v>330</v>
      </c>
      <c r="E87" s="4" t="s">
        <v>35</v>
      </c>
      <c r="F87" s="4" t="s">
        <v>53</v>
      </c>
      <c r="G87" s="4" t="s">
        <v>23</v>
      </c>
      <c r="H87" s="4" t="s">
        <v>37</v>
      </c>
      <c r="I87" s="4" t="s">
        <v>56</v>
      </c>
      <c r="J87" s="4">
        <v>11.6</v>
      </c>
      <c r="K87" s="4">
        <v>24</v>
      </c>
      <c r="L87" s="4" t="s">
        <v>26</v>
      </c>
      <c r="M87" s="4">
        <v>4</v>
      </c>
      <c r="N87" s="4" t="s">
        <v>27</v>
      </c>
      <c r="O87" s="4" t="s">
        <v>28</v>
      </c>
      <c r="P87" s="4" t="s">
        <v>29</v>
      </c>
      <c r="Q87" s="5" t="s">
        <v>58</v>
      </c>
    </row>
    <row r="88" spans="1:17">
      <c r="A88" s="1" t="s">
        <v>331</v>
      </c>
      <c r="B88" s="2" t="s">
        <v>50</v>
      </c>
      <c r="C88" s="2" t="s">
        <v>332</v>
      </c>
      <c r="D88" s="2" t="s">
        <v>333</v>
      </c>
      <c r="E88" s="2" t="s">
        <v>84</v>
      </c>
      <c r="F88" s="2" t="s">
        <v>116</v>
      </c>
      <c r="G88" s="2" t="s">
        <v>46</v>
      </c>
      <c r="H88" s="2" t="s">
        <v>24</v>
      </c>
      <c r="I88" s="2" t="s">
        <v>87</v>
      </c>
      <c r="J88" s="2">
        <v>9.6999999999999993</v>
      </c>
      <c r="K88" s="2">
        <v>8</v>
      </c>
      <c r="L88" s="2" t="s">
        <v>27</v>
      </c>
      <c r="M88" s="2">
        <v>3</v>
      </c>
      <c r="N88" s="2" t="s">
        <v>26</v>
      </c>
      <c r="O88" s="2" t="s">
        <v>28</v>
      </c>
      <c r="P88" s="2" t="s">
        <v>1670</v>
      </c>
      <c r="Q88" s="6" t="s">
        <v>101</v>
      </c>
    </row>
    <row r="89" spans="1:17">
      <c r="A89" s="3" t="s">
        <v>334</v>
      </c>
      <c r="B89" s="4" t="s">
        <v>50</v>
      </c>
      <c r="C89" s="4" t="s">
        <v>335</v>
      </c>
      <c r="D89" s="4" t="s">
        <v>336</v>
      </c>
      <c r="E89" s="4" t="s">
        <v>21</v>
      </c>
      <c r="F89" s="4" t="s">
        <v>63</v>
      </c>
      <c r="G89" s="4" t="s">
        <v>54</v>
      </c>
      <c r="H89" s="4" t="s">
        <v>91</v>
      </c>
      <c r="I89" s="4" t="s">
        <v>25</v>
      </c>
      <c r="J89" s="4">
        <v>12.4</v>
      </c>
      <c r="K89" s="4">
        <v>4</v>
      </c>
      <c r="L89" s="4" t="s">
        <v>27</v>
      </c>
      <c r="M89" s="4">
        <v>3</v>
      </c>
      <c r="N89" s="4" t="s">
        <v>26</v>
      </c>
      <c r="O89" s="4" t="s">
        <v>28</v>
      </c>
      <c r="P89" s="4" t="s">
        <v>57</v>
      </c>
      <c r="Q89" s="5" t="s">
        <v>101</v>
      </c>
    </row>
    <row r="90" spans="1:17">
      <c r="A90" s="1" t="s">
        <v>337</v>
      </c>
      <c r="B90" s="2" t="s">
        <v>106</v>
      </c>
      <c r="C90" s="2" t="s">
        <v>338</v>
      </c>
      <c r="D90" s="2" t="s">
        <v>339</v>
      </c>
      <c r="E90" s="2" t="s">
        <v>35</v>
      </c>
      <c r="F90" s="2" t="s">
        <v>53</v>
      </c>
      <c r="G90" s="2" t="s">
        <v>46</v>
      </c>
      <c r="H90" s="2" t="s">
        <v>91</v>
      </c>
      <c r="I90" s="2" t="s">
        <v>56</v>
      </c>
      <c r="J90" s="2">
        <v>8.4</v>
      </c>
      <c r="K90" s="2">
        <v>8</v>
      </c>
      <c r="L90" s="2" t="s">
        <v>27</v>
      </c>
      <c r="M90" s="2">
        <v>3</v>
      </c>
      <c r="N90" s="2" t="s">
        <v>27</v>
      </c>
      <c r="O90" s="2" t="s">
        <v>28</v>
      </c>
      <c r="P90" s="2" t="s">
        <v>1670</v>
      </c>
      <c r="Q90" s="6" t="s">
        <v>39</v>
      </c>
    </row>
    <row r="91" spans="1:17">
      <c r="A91" s="3" t="s">
        <v>340</v>
      </c>
      <c r="B91" s="4" t="s">
        <v>41</v>
      </c>
      <c r="C91" s="4" t="s">
        <v>341</v>
      </c>
      <c r="D91" s="4" t="s">
        <v>342</v>
      </c>
      <c r="E91" s="4" t="s">
        <v>35</v>
      </c>
      <c r="F91" s="4" t="s">
        <v>36</v>
      </c>
      <c r="G91" s="4" t="s">
        <v>54</v>
      </c>
      <c r="H91" s="4" t="s">
        <v>64</v>
      </c>
      <c r="I91" s="4" t="s">
        <v>38</v>
      </c>
      <c r="J91" s="4">
        <v>5.0999999999999996</v>
      </c>
      <c r="K91" s="4">
        <v>4</v>
      </c>
      <c r="L91" s="4" t="s">
        <v>27</v>
      </c>
      <c r="M91" s="4">
        <v>3</v>
      </c>
      <c r="N91" s="4" t="s">
        <v>26</v>
      </c>
      <c r="O91" s="4" t="s">
        <v>28</v>
      </c>
      <c r="P91" s="4" t="s">
        <v>57</v>
      </c>
      <c r="Q91" s="5" t="s">
        <v>101</v>
      </c>
    </row>
    <row r="92" spans="1:17">
      <c r="A92" s="1" t="s">
        <v>343</v>
      </c>
      <c r="B92" s="2" t="s">
        <v>50</v>
      </c>
      <c r="C92" s="2" t="s">
        <v>344</v>
      </c>
      <c r="D92" s="2" t="s">
        <v>345</v>
      </c>
      <c r="E92" s="2" t="s">
        <v>21</v>
      </c>
      <c r="F92" s="2" t="s">
        <v>69</v>
      </c>
      <c r="G92" s="2" t="s">
        <v>54</v>
      </c>
      <c r="H92" s="2" t="s">
        <v>86</v>
      </c>
      <c r="I92" s="2" t="s">
        <v>25</v>
      </c>
      <c r="J92" s="2">
        <v>12.7</v>
      </c>
      <c r="K92" s="2">
        <v>4</v>
      </c>
      <c r="L92" s="2" t="s">
        <v>27</v>
      </c>
      <c r="M92" s="2">
        <v>1</v>
      </c>
      <c r="N92" s="2" t="s">
        <v>26</v>
      </c>
      <c r="O92" s="2" t="s">
        <v>28</v>
      </c>
      <c r="P92" s="2" t="s">
        <v>57</v>
      </c>
      <c r="Q92" s="6" t="s">
        <v>39</v>
      </c>
    </row>
    <row r="93" spans="1:17">
      <c r="A93" s="3" t="s">
        <v>346</v>
      </c>
      <c r="B93" s="4" t="s">
        <v>106</v>
      </c>
      <c r="C93" s="4" t="s">
        <v>347</v>
      </c>
      <c r="D93" s="4" t="s">
        <v>348</v>
      </c>
      <c r="E93" s="4" t="s">
        <v>21</v>
      </c>
      <c r="F93" s="4" t="s">
        <v>69</v>
      </c>
      <c r="G93" s="4" t="s">
        <v>46</v>
      </c>
      <c r="H93" s="4" t="s">
        <v>86</v>
      </c>
      <c r="I93" s="4" t="s">
        <v>25</v>
      </c>
      <c r="J93" s="4">
        <v>13.1</v>
      </c>
      <c r="K93" s="4">
        <v>8</v>
      </c>
      <c r="L93" s="4" t="s">
        <v>27</v>
      </c>
      <c r="M93" s="4">
        <v>2</v>
      </c>
      <c r="N93" s="4" t="s">
        <v>27</v>
      </c>
      <c r="O93" s="4" t="s">
        <v>28</v>
      </c>
      <c r="P93" s="4" t="s">
        <v>57</v>
      </c>
      <c r="Q93" s="5" t="s">
        <v>58</v>
      </c>
    </row>
    <row r="94" spans="1:17">
      <c r="A94" s="1" t="s">
        <v>349</v>
      </c>
      <c r="B94" s="2" t="s">
        <v>121</v>
      </c>
      <c r="C94" s="2" t="s">
        <v>350</v>
      </c>
      <c r="D94" s="2" t="s">
        <v>351</v>
      </c>
      <c r="E94" s="2" t="s">
        <v>21</v>
      </c>
      <c r="F94" s="2" t="s">
        <v>69</v>
      </c>
      <c r="G94" s="2" t="s">
        <v>54</v>
      </c>
      <c r="H94" s="2" t="s">
        <v>86</v>
      </c>
      <c r="I94" s="2" t="s">
        <v>25</v>
      </c>
      <c r="J94" s="2">
        <v>9.6</v>
      </c>
      <c r="K94" s="2">
        <v>4</v>
      </c>
      <c r="L94" s="2" t="s">
        <v>27</v>
      </c>
      <c r="M94" s="2">
        <v>1</v>
      </c>
      <c r="N94" s="2" t="s">
        <v>27</v>
      </c>
      <c r="O94" s="2" t="s">
        <v>28</v>
      </c>
      <c r="P94" s="2" t="s">
        <v>57</v>
      </c>
      <c r="Q94" s="6" t="s">
        <v>39</v>
      </c>
    </row>
    <row r="95" spans="1:17">
      <c r="A95" s="3" t="s">
        <v>352</v>
      </c>
      <c r="B95" s="4" t="s">
        <v>135</v>
      </c>
      <c r="C95" s="4" t="s">
        <v>353</v>
      </c>
      <c r="D95" s="4" t="s">
        <v>354</v>
      </c>
      <c r="E95" s="4" t="s">
        <v>78</v>
      </c>
      <c r="F95" s="4" t="s">
        <v>79</v>
      </c>
      <c r="G95" s="4" t="s">
        <v>23</v>
      </c>
      <c r="H95" s="4" t="s">
        <v>47</v>
      </c>
      <c r="I95" s="4" t="s">
        <v>80</v>
      </c>
      <c r="J95" s="4">
        <v>14.9</v>
      </c>
      <c r="K95" s="4">
        <v>24</v>
      </c>
      <c r="L95" s="4" t="s">
        <v>26</v>
      </c>
      <c r="M95" s="4">
        <v>4</v>
      </c>
      <c r="N95" s="4" t="s">
        <v>27</v>
      </c>
      <c r="O95" s="4" t="s">
        <v>28</v>
      </c>
      <c r="P95" s="4" t="s">
        <v>29</v>
      </c>
      <c r="Q95" s="5" t="s">
        <v>30</v>
      </c>
    </row>
    <row r="96" spans="1:17">
      <c r="A96" s="1" t="s">
        <v>355</v>
      </c>
      <c r="B96" s="2" t="s">
        <v>135</v>
      </c>
      <c r="C96" s="2" t="s">
        <v>356</v>
      </c>
      <c r="D96" s="2" t="s">
        <v>357</v>
      </c>
      <c r="E96" s="2" t="s">
        <v>78</v>
      </c>
      <c r="F96" s="2" t="s">
        <v>191</v>
      </c>
      <c r="G96" s="2" t="s">
        <v>46</v>
      </c>
      <c r="H96" s="2" t="s">
        <v>138</v>
      </c>
      <c r="I96" s="2" t="s">
        <v>38</v>
      </c>
      <c r="J96" s="2">
        <v>17.3</v>
      </c>
      <c r="K96" s="2">
        <v>8</v>
      </c>
      <c r="L96" s="2" t="s">
        <v>27</v>
      </c>
      <c r="M96" s="2">
        <v>2</v>
      </c>
      <c r="N96" s="2" t="s">
        <v>27</v>
      </c>
      <c r="O96" s="2" t="s">
        <v>28</v>
      </c>
      <c r="P96" s="2" t="s">
        <v>57</v>
      </c>
      <c r="Q96" s="6" t="s">
        <v>39</v>
      </c>
    </row>
    <row r="97" spans="1:17">
      <c r="A97" s="3" t="s">
        <v>358</v>
      </c>
      <c r="B97" s="4" t="s">
        <v>121</v>
      </c>
      <c r="C97" s="4" t="s">
        <v>359</v>
      </c>
      <c r="D97" s="4" t="s">
        <v>360</v>
      </c>
      <c r="E97" s="4" t="s">
        <v>35</v>
      </c>
      <c r="F97" s="4" t="s">
        <v>36</v>
      </c>
      <c r="G97" s="4" t="s">
        <v>23</v>
      </c>
      <c r="H97" s="4" t="s">
        <v>47</v>
      </c>
      <c r="I97" s="4" t="s">
        <v>38</v>
      </c>
      <c r="J97" s="4">
        <v>7.1</v>
      </c>
      <c r="K97" s="4">
        <v>24</v>
      </c>
      <c r="L97" s="4" t="s">
        <v>26</v>
      </c>
      <c r="M97" s="4">
        <v>5</v>
      </c>
      <c r="N97" s="4" t="s">
        <v>27</v>
      </c>
      <c r="O97" s="4" t="s">
        <v>28</v>
      </c>
      <c r="P97" s="4" t="s">
        <v>29</v>
      </c>
      <c r="Q97" s="5" t="s">
        <v>30</v>
      </c>
    </row>
    <row r="98" spans="1:17">
      <c r="A98" s="1" t="s">
        <v>361</v>
      </c>
      <c r="B98" s="2" t="s">
        <v>18</v>
      </c>
      <c r="C98" s="2" t="s">
        <v>362</v>
      </c>
      <c r="D98" s="2" t="s">
        <v>363</v>
      </c>
      <c r="E98" s="2" t="s">
        <v>35</v>
      </c>
      <c r="F98" s="2" t="s">
        <v>36</v>
      </c>
      <c r="G98" s="2" t="s">
        <v>54</v>
      </c>
      <c r="H98" s="2" t="s">
        <v>55</v>
      </c>
      <c r="I98" s="2" t="s">
        <v>38</v>
      </c>
      <c r="J98" s="2">
        <v>8.5</v>
      </c>
      <c r="K98" s="2">
        <v>4</v>
      </c>
      <c r="L98" s="2" t="s">
        <v>27</v>
      </c>
      <c r="M98" s="2">
        <v>1</v>
      </c>
      <c r="N98" s="2" t="s">
        <v>27</v>
      </c>
      <c r="O98" s="2" t="s">
        <v>28</v>
      </c>
      <c r="P98" s="2" t="s">
        <v>57</v>
      </c>
      <c r="Q98" s="6" t="s">
        <v>58</v>
      </c>
    </row>
    <row r="99" spans="1:17">
      <c r="A99" s="3" t="s">
        <v>364</v>
      </c>
      <c r="B99" s="4" t="s">
        <v>32</v>
      </c>
      <c r="C99" s="4" t="s">
        <v>365</v>
      </c>
      <c r="D99" s="4" t="s">
        <v>366</v>
      </c>
      <c r="E99" s="4" t="s">
        <v>84</v>
      </c>
      <c r="F99" s="4" t="s">
        <v>116</v>
      </c>
      <c r="G99" s="4" t="s">
        <v>23</v>
      </c>
      <c r="H99" s="4" t="s">
        <v>24</v>
      </c>
      <c r="I99" s="4" t="s">
        <v>87</v>
      </c>
      <c r="J99" s="4">
        <v>7.6</v>
      </c>
      <c r="K99" s="4">
        <v>24</v>
      </c>
      <c r="L99" s="4" t="s">
        <v>26</v>
      </c>
      <c r="M99" s="4">
        <v>4</v>
      </c>
      <c r="N99" s="4" t="s">
        <v>27</v>
      </c>
      <c r="O99" s="4" t="s">
        <v>28</v>
      </c>
      <c r="P99" s="4" t="s">
        <v>29</v>
      </c>
      <c r="Q99" s="5" t="s">
        <v>101</v>
      </c>
    </row>
    <row r="100" spans="1:17">
      <c r="A100" s="1" t="s">
        <v>367</v>
      </c>
      <c r="B100" s="2" t="s">
        <v>41</v>
      </c>
      <c r="C100" s="2" t="s">
        <v>368</v>
      </c>
      <c r="D100" s="2" t="s">
        <v>369</v>
      </c>
      <c r="E100" s="2" t="s">
        <v>35</v>
      </c>
      <c r="F100" s="2" t="s">
        <v>127</v>
      </c>
      <c r="G100" s="2" t="s">
        <v>54</v>
      </c>
      <c r="H100" s="2" t="s">
        <v>91</v>
      </c>
      <c r="I100" s="2" t="s">
        <v>56</v>
      </c>
      <c r="J100" s="2">
        <v>5.0999999999999996</v>
      </c>
      <c r="K100" s="2">
        <v>4</v>
      </c>
      <c r="L100" s="2" t="s">
        <v>27</v>
      </c>
      <c r="M100" s="2">
        <v>2</v>
      </c>
      <c r="N100" s="2" t="s">
        <v>27</v>
      </c>
      <c r="O100" s="2" t="s">
        <v>28</v>
      </c>
      <c r="P100" s="2" t="s">
        <v>57</v>
      </c>
      <c r="Q100" s="6" t="s">
        <v>30</v>
      </c>
    </row>
    <row r="101" spans="1:17">
      <c r="A101" s="3" t="s">
        <v>370</v>
      </c>
      <c r="B101" s="4" t="s">
        <v>32</v>
      </c>
      <c r="C101" s="4" t="s">
        <v>371</v>
      </c>
      <c r="D101" s="4" t="s">
        <v>372</v>
      </c>
      <c r="E101" s="4" t="s">
        <v>78</v>
      </c>
      <c r="F101" s="4" t="s">
        <v>79</v>
      </c>
      <c r="G101" s="4" t="s">
        <v>23</v>
      </c>
      <c r="H101" s="4" t="s">
        <v>91</v>
      </c>
      <c r="I101" s="4" t="s">
        <v>80</v>
      </c>
      <c r="J101" s="4">
        <v>9.1999999999999993</v>
      </c>
      <c r="K101" s="4">
        <v>24</v>
      </c>
      <c r="L101" s="4" t="s">
        <v>26</v>
      </c>
      <c r="M101" s="4">
        <v>4</v>
      </c>
      <c r="N101" s="4" t="s">
        <v>27</v>
      </c>
      <c r="O101" s="4" t="s">
        <v>28</v>
      </c>
      <c r="P101" s="4" t="s">
        <v>29</v>
      </c>
      <c r="Q101" s="5" t="s">
        <v>58</v>
      </c>
    </row>
    <row r="102" spans="1:17">
      <c r="A102" s="1" t="s">
        <v>373</v>
      </c>
      <c r="B102" s="2" t="s">
        <v>75</v>
      </c>
      <c r="C102" s="2" t="s">
        <v>374</v>
      </c>
      <c r="D102" s="2" t="s">
        <v>375</v>
      </c>
      <c r="E102" s="2" t="s">
        <v>35</v>
      </c>
      <c r="F102" s="2" t="s">
        <v>53</v>
      </c>
      <c r="G102" s="2" t="s">
        <v>23</v>
      </c>
      <c r="H102" s="2" t="s">
        <v>70</v>
      </c>
      <c r="I102" s="2" t="s">
        <v>56</v>
      </c>
      <c r="J102" s="2">
        <v>11.7</v>
      </c>
      <c r="K102" s="2">
        <v>24</v>
      </c>
      <c r="L102" s="2" t="s">
        <v>26</v>
      </c>
      <c r="M102" s="2">
        <v>4</v>
      </c>
      <c r="N102" s="2" t="s">
        <v>27</v>
      </c>
      <c r="O102" s="2" t="s">
        <v>28</v>
      </c>
      <c r="P102" s="2" t="s">
        <v>29</v>
      </c>
      <c r="Q102" s="6" t="s">
        <v>58</v>
      </c>
    </row>
    <row r="103" spans="1:17">
      <c r="A103" s="3" t="s">
        <v>376</v>
      </c>
      <c r="B103" s="4" t="s">
        <v>41</v>
      </c>
      <c r="C103" s="4" t="s">
        <v>377</v>
      </c>
      <c r="D103" s="4" t="s">
        <v>378</v>
      </c>
      <c r="E103" s="4" t="s">
        <v>84</v>
      </c>
      <c r="F103" s="4" t="s">
        <v>85</v>
      </c>
      <c r="G103" s="4" t="s">
        <v>46</v>
      </c>
      <c r="H103" s="4" t="s">
        <v>86</v>
      </c>
      <c r="I103" s="4" t="s">
        <v>87</v>
      </c>
      <c r="J103" s="4">
        <v>5.4</v>
      </c>
      <c r="K103" s="4">
        <v>8</v>
      </c>
      <c r="L103" s="4" t="s">
        <v>26</v>
      </c>
      <c r="M103" s="4">
        <v>5</v>
      </c>
      <c r="N103" s="4" t="s">
        <v>27</v>
      </c>
      <c r="O103" s="4" t="s">
        <v>28</v>
      </c>
      <c r="P103" s="4" t="s">
        <v>29</v>
      </c>
      <c r="Q103" s="5" t="s">
        <v>39</v>
      </c>
    </row>
    <row r="104" spans="1:17">
      <c r="A104" s="1" t="s">
        <v>379</v>
      </c>
      <c r="B104" s="2" t="s">
        <v>18</v>
      </c>
      <c r="C104" s="2" t="s">
        <v>380</v>
      </c>
      <c r="D104" s="2" t="s">
        <v>381</v>
      </c>
      <c r="E104" s="2" t="s">
        <v>35</v>
      </c>
      <c r="F104" s="2" t="s">
        <v>36</v>
      </c>
      <c r="G104" s="2" t="s">
        <v>46</v>
      </c>
      <c r="H104" s="2" t="s">
        <v>70</v>
      </c>
      <c r="I104" s="2" t="s">
        <v>38</v>
      </c>
      <c r="J104" s="2">
        <v>5.0999999999999996</v>
      </c>
      <c r="K104" s="2">
        <v>8</v>
      </c>
      <c r="L104" s="2" t="s">
        <v>26</v>
      </c>
      <c r="M104" s="2">
        <v>5</v>
      </c>
      <c r="N104" s="2" t="s">
        <v>27</v>
      </c>
      <c r="O104" s="2" t="s">
        <v>28</v>
      </c>
      <c r="P104" s="2" t="s">
        <v>29</v>
      </c>
      <c r="Q104" s="6" t="s">
        <v>58</v>
      </c>
    </row>
    <row r="105" spans="1:17">
      <c r="A105" s="3" t="s">
        <v>382</v>
      </c>
      <c r="B105" s="4" t="s">
        <v>32</v>
      </c>
      <c r="C105" s="4" t="s">
        <v>383</v>
      </c>
      <c r="D105" s="4" t="s">
        <v>384</v>
      </c>
      <c r="E105" s="4" t="s">
        <v>78</v>
      </c>
      <c r="F105" s="4" t="s">
        <v>191</v>
      </c>
      <c r="G105" s="4" t="s">
        <v>23</v>
      </c>
      <c r="H105" s="4" t="s">
        <v>70</v>
      </c>
      <c r="I105" s="4" t="s">
        <v>38</v>
      </c>
      <c r="J105" s="4">
        <v>20.7</v>
      </c>
      <c r="K105" s="4">
        <v>24</v>
      </c>
      <c r="L105" s="4" t="s">
        <v>26</v>
      </c>
      <c r="M105" s="4">
        <v>4</v>
      </c>
      <c r="N105" s="4" t="s">
        <v>27</v>
      </c>
      <c r="O105" s="4" t="s">
        <v>28</v>
      </c>
      <c r="P105" s="4" t="s">
        <v>29</v>
      </c>
      <c r="Q105" s="5" t="s">
        <v>39</v>
      </c>
    </row>
    <row r="106" spans="1:17">
      <c r="A106" s="1" t="s">
        <v>385</v>
      </c>
      <c r="B106" s="2" t="s">
        <v>60</v>
      </c>
      <c r="C106" s="2" t="s">
        <v>386</v>
      </c>
      <c r="D106" s="2" t="s">
        <v>387</v>
      </c>
      <c r="E106" s="2" t="s">
        <v>21</v>
      </c>
      <c r="F106" s="2" t="s">
        <v>69</v>
      </c>
      <c r="G106" s="2" t="s">
        <v>46</v>
      </c>
      <c r="H106" s="2" t="s">
        <v>86</v>
      </c>
      <c r="I106" s="2" t="s">
        <v>25</v>
      </c>
      <c r="J106" s="2">
        <v>10.3</v>
      </c>
      <c r="K106" s="2">
        <v>8</v>
      </c>
      <c r="L106" s="2" t="s">
        <v>27</v>
      </c>
      <c r="M106" s="2">
        <v>3</v>
      </c>
      <c r="N106" s="2" t="s">
        <v>27</v>
      </c>
      <c r="O106" s="2" t="s">
        <v>28</v>
      </c>
      <c r="P106" s="2" t="s">
        <v>1670</v>
      </c>
      <c r="Q106" s="6" t="s">
        <v>39</v>
      </c>
    </row>
    <row r="107" spans="1:17">
      <c r="A107" s="3" t="s">
        <v>388</v>
      </c>
      <c r="B107" s="4" t="s">
        <v>75</v>
      </c>
      <c r="C107" s="4" t="s">
        <v>389</v>
      </c>
      <c r="D107" s="4" t="s">
        <v>390</v>
      </c>
      <c r="E107" s="4" t="s">
        <v>21</v>
      </c>
      <c r="F107" s="4" t="s">
        <v>69</v>
      </c>
      <c r="G107" s="4" t="s">
        <v>46</v>
      </c>
      <c r="H107" s="4" t="s">
        <v>47</v>
      </c>
      <c r="I107" s="4" t="s">
        <v>25</v>
      </c>
      <c r="J107" s="4">
        <v>10.5</v>
      </c>
      <c r="K107" s="4">
        <v>8</v>
      </c>
      <c r="L107" s="4" t="s">
        <v>27</v>
      </c>
      <c r="M107" s="4">
        <v>1</v>
      </c>
      <c r="N107" s="4" t="s">
        <v>27</v>
      </c>
      <c r="O107" s="4" t="s">
        <v>28</v>
      </c>
      <c r="P107" s="4" t="s">
        <v>1670</v>
      </c>
      <c r="Q107" s="5" t="s">
        <v>39</v>
      </c>
    </row>
    <row r="108" spans="1:17">
      <c r="A108" s="1" t="s">
        <v>391</v>
      </c>
      <c r="B108" s="2" t="s">
        <v>121</v>
      </c>
      <c r="C108" s="2" t="s">
        <v>392</v>
      </c>
      <c r="D108" s="2" t="s">
        <v>393</v>
      </c>
      <c r="E108" s="2" t="s">
        <v>35</v>
      </c>
      <c r="F108" s="2" t="s">
        <v>36</v>
      </c>
      <c r="G108" s="2" t="s">
        <v>54</v>
      </c>
      <c r="H108" s="2" t="s">
        <v>24</v>
      </c>
      <c r="I108" s="2" t="s">
        <v>38</v>
      </c>
      <c r="J108" s="2">
        <v>16.5</v>
      </c>
      <c r="K108" s="2">
        <v>4</v>
      </c>
      <c r="L108" s="2" t="s">
        <v>27</v>
      </c>
      <c r="M108" s="2">
        <v>1</v>
      </c>
      <c r="N108" s="2" t="s">
        <v>27</v>
      </c>
      <c r="O108" s="2" t="s">
        <v>28</v>
      </c>
      <c r="P108" s="2" t="s">
        <v>1670</v>
      </c>
      <c r="Q108" s="6" t="s">
        <v>39</v>
      </c>
    </row>
    <row r="109" spans="1:17">
      <c r="A109" s="3" t="s">
        <v>394</v>
      </c>
      <c r="B109" s="4" t="s">
        <v>106</v>
      </c>
      <c r="C109" s="4" t="s">
        <v>395</v>
      </c>
      <c r="D109" s="4" t="s">
        <v>396</v>
      </c>
      <c r="E109" s="4" t="s">
        <v>35</v>
      </c>
      <c r="F109" s="4" t="s">
        <v>127</v>
      </c>
      <c r="G109" s="4" t="s">
        <v>46</v>
      </c>
      <c r="H109" s="4" t="s">
        <v>37</v>
      </c>
      <c r="I109" s="4" t="s">
        <v>56</v>
      </c>
      <c r="J109" s="4">
        <v>10.4</v>
      </c>
      <c r="K109" s="4">
        <v>8</v>
      </c>
      <c r="L109" s="4" t="s">
        <v>27</v>
      </c>
      <c r="M109" s="4">
        <v>3</v>
      </c>
      <c r="N109" s="4" t="s">
        <v>26</v>
      </c>
      <c r="O109" s="4" t="s">
        <v>28</v>
      </c>
      <c r="P109" s="4" t="s">
        <v>57</v>
      </c>
      <c r="Q109" s="5" t="s">
        <v>30</v>
      </c>
    </row>
    <row r="110" spans="1:17">
      <c r="A110" s="1" t="s">
        <v>397</v>
      </c>
      <c r="B110" s="2" t="s">
        <v>18</v>
      </c>
      <c r="C110" s="2" t="s">
        <v>398</v>
      </c>
      <c r="D110" s="2" t="s">
        <v>399</v>
      </c>
      <c r="E110" s="2" t="s">
        <v>35</v>
      </c>
      <c r="F110" s="2" t="s">
        <v>36</v>
      </c>
      <c r="G110" s="2" t="s">
        <v>46</v>
      </c>
      <c r="H110" s="2" t="s">
        <v>86</v>
      </c>
      <c r="I110" s="2" t="s">
        <v>38</v>
      </c>
      <c r="J110" s="2">
        <v>8.9</v>
      </c>
      <c r="K110" s="2">
        <v>8</v>
      </c>
      <c r="L110" s="2" t="s">
        <v>27</v>
      </c>
      <c r="M110" s="2">
        <v>1</v>
      </c>
      <c r="N110" s="2" t="s">
        <v>26</v>
      </c>
      <c r="O110" s="2" t="s">
        <v>28</v>
      </c>
      <c r="P110" s="2" t="s">
        <v>57</v>
      </c>
      <c r="Q110" s="6" t="s">
        <v>39</v>
      </c>
    </row>
    <row r="111" spans="1:17">
      <c r="A111" s="3" t="s">
        <v>400</v>
      </c>
      <c r="B111" s="4" t="s">
        <v>41</v>
      </c>
      <c r="C111" s="4" t="s">
        <v>401</v>
      </c>
      <c r="D111" s="4" t="s">
        <v>402</v>
      </c>
      <c r="E111" s="4" t="s">
        <v>21</v>
      </c>
      <c r="F111" s="4" t="s">
        <v>63</v>
      </c>
      <c r="G111" s="4" t="s">
        <v>23</v>
      </c>
      <c r="H111" s="4" t="s">
        <v>55</v>
      </c>
      <c r="I111" s="4" t="s">
        <v>25</v>
      </c>
      <c r="J111" s="4">
        <v>12.1</v>
      </c>
      <c r="K111" s="4">
        <v>24</v>
      </c>
      <c r="L111" s="4" t="s">
        <v>26</v>
      </c>
      <c r="M111" s="4">
        <v>4</v>
      </c>
      <c r="N111" s="4" t="s">
        <v>27</v>
      </c>
      <c r="O111" s="4" t="s">
        <v>28</v>
      </c>
      <c r="P111" s="4" t="s">
        <v>29</v>
      </c>
      <c r="Q111" s="5" t="s">
        <v>30</v>
      </c>
    </row>
    <row r="112" spans="1:17">
      <c r="A112" s="1" t="s">
        <v>403</v>
      </c>
      <c r="B112" s="2" t="s">
        <v>60</v>
      </c>
      <c r="C112" s="2" t="s">
        <v>404</v>
      </c>
      <c r="D112" s="2" t="s">
        <v>405</v>
      </c>
      <c r="E112" s="2" t="s">
        <v>84</v>
      </c>
      <c r="F112" s="2" t="s">
        <v>85</v>
      </c>
      <c r="G112" s="2" t="s">
        <v>46</v>
      </c>
      <c r="H112" s="2" t="s">
        <v>55</v>
      </c>
      <c r="I112" s="2" t="s">
        <v>87</v>
      </c>
      <c r="J112" s="2">
        <v>8.8000000000000007</v>
      </c>
      <c r="K112" s="2">
        <v>8</v>
      </c>
      <c r="L112" s="2" t="s">
        <v>27</v>
      </c>
      <c r="M112" s="2">
        <v>1</v>
      </c>
      <c r="N112" s="2" t="s">
        <v>26</v>
      </c>
      <c r="O112" s="2" t="s">
        <v>28</v>
      </c>
      <c r="P112" s="2" t="s">
        <v>57</v>
      </c>
      <c r="Q112" s="6" t="s">
        <v>101</v>
      </c>
    </row>
    <row r="113" spans="1:17">
      <c r="A113" s="3" t="s">
        <v>406</v>
      </c>
      <c r="B113" s="4" t="s">
        <v>121</v>
      </c>
      <c r="C113" s="4" t="s">
        <v>407</v>
      </c>
      <c r="D113" s="4" t="s">
        <v>408</v>
      </c>
      <c r="E113" s="4" t="s">
        <v>84</v>
      </c>
      <c r="F113" s="4" t="s">
        <v>116</v>
      </c>
      <c r="G113" s="4" t="s">
        <v>23</v>
      </c>
      <c r="H113" s="4" t="s">
        <v>24</v>
      </c>
      <c r="I113" s="4" t="s">
        <v>87</v>
      </c>
      <c r="J113" s="4">
        <v>9.3000000000000007</v>
      </c>
      <c r="K113" s="4">
        <v>24</v>
      </c>
      <c r="L113" s="4" t="s">
        <v>26</v>
      </c>
      <c r="M113" s="4">
        <v>5</v>
      </c>
      <c r="N113" s="4" t="s">
        <v>27</v>
      </c>
      <c r="O113" s="4" t="s">
        <v>28</v>
      </c>
      <c r="P113" s="4" t="s">
        <v>29</v>
      </c>
      <c r="Q113" s="5" t="s">
        <v>58</v>
      </c>
    </row>
    <row r="114" spans="1:17">
      <c r="A114" s="1" t="s">
        <v>409</v>
      </c>
      <c r="B114" s="2" t="s">
        <v>75</v>
      </c>
      <c r="C114" s="2" t="s">
        <v>410</v>
      </c>
      <c r="D114" s="2" t="s">
        <v>411</v>
      </c>
      <c r="E114" s="2" t="s">
        <v>84</v>
      </c>
      <c r="F114" s="2" t="s">
        <v>85</v>
      </c>
      <c r="G114" s="2" t="s">
        <v>54</v>
      </c>
      <c r="H114" s="2" t="s">
        <v>47</v>
      </c>
      <c r="I114" s="2" t="s">
        <v>87</v>
      </c>
      <c r="J114" s="2">
        <v>2.9</v>
      </c>
      <c r="K114" s="2">
        <v>4</v>
      </c>
      <c r="L114" s="2" t="s">
        <v>26</v>
      </c>
      <c r="M114" s="2">
        <v>5</v>
      </c>
      <c r="N114" s="2" t="s">
        <v>27</v>
      </c>
      <c r="O114" s="2" t="s">
        <v>28</v>
      </c>
      <c r="P114" s="2" t="s">
        <v>29</v>
      </c>
      <c r="Q114" s="6" t="s">
        <v>39</v>
      </c>
    </row>
    <row r="115" spans="1:17">
      <c r="A115" s="3" t="s">
        <v>412</v>
      </c>
      <c r="B115" s="4" t="s">
        <v>75</v>
      </c>
      <c r="C115" s="4" t="s">
        <v>413</v>
      </c>
      <c r="D115" s="4" t="s">
        <v>414</v>
      </c>
      <c r="E115" s="4" t="s">
        <v>21</v>
      </c>
      <c r="F115" s="4" t="s">
        <v>63</v>
      </c>
      <c r="G115" s="4" t="s">
        <v>23</v>
      </c>
      <c r="H115" s="4" t="s">
        <v>86</v>
      </c>
      <c r="I115" s="4" t="s">
        <v>25</v>
      </c>
      <c r="J115" s="4">
        <v>8</v>
      </c>
      <c r="K115" s="4">
        <v>24</v>
      </c>
      <c r="L115" s="4" t="s">
        <v>26</v>
      </c>
      <c r="M115" s="4">
        <v>4</v>
      </c>
      <c r="N115" s="4" t="s">
        <v>27</v>
      </c>
      <c r="O115" s="4" t="s">
        <v>28</v>
      </c>
      <c r="P115" s="4" t="s">
        <v>29</v>
      </c>
      <c r="Q115" s="5" t="s">
        <v>30</v>
      </c>
    </row>
    <row r="116" spans="1:17">
      <c r="A116" s="1" t="s">
        <v>415</v>
      </c>
      <c r="B116" s="2" t="s">
        <v>50</v>
      </c>
      <c r="C116" s="2" t="s">
        <v>416</v>
      </c>
      <c r="D116" s="2" t="s">
        <v>417</v>
      </c>
      <c r="E116" s="2" t="s">
        <v>21</v>
      </c>
      <c r="F116" s="2" t="s">
        <v>69</v>
      </c>
      <c r="G116" s="2" t="s">
        <v>23</v>
      </c>
      <c r="H116" s="2" t="s">
        <v>70</v>
      </c>
      <c r="I116" s="2" t="s">
        <v>25</v>
      </c>
      <c r="J116" s="2">
        <v>10.3</v>
      </c>
      <c r="K116" s="2">
        <v>24</v>
      </c>
      <c r="L116" s="2" t="s">
        <v>26</v>
      </c>
      <c r="M116" s="2">
        <v>4</v>
      </c>
      <c r="N116" s="2" t="s">
        <v>27</v>
      </c>
      <c r="O116" s="2" t="s">
        <v>28</v>
      </c>
      <c r="P116" s="2" t="s">
        <v>29</v>
      </c>
      <c r="Q116" s="6" t="s">
        <v>101</v>
      </c>
    </row>
    <row r="117" spans="1:17">
      <c r="A117" s="3" t="s">
        <v>418</v>
      </c>
      <c r="B117" s="4" t="s">
        <v>75</v>
      </c>
      <c r="C117" s="4" t="s">
        <v>419</v>
      </c>
      <c r="D117" s="4" t="s">
        <v>420</v>
      </c>
      <c r="E117" s="4" t="s">
        <v>78</v>
      </c>
      <c r="F117" s="4" t="s">
        <v>79</v>
      </c>
      <c r="G117" s="4" t="s">
        <v>46</v>
      </c>
      <c r="H117" s="4" t="s">
        <v>234</v>
      </c>
      <c r="I117" s="4" t="s">
        <v>80</v>
      </c>
      <c r="J117" s="4">
        <v>13.1</v>
      </c>
      <c r="K117" s="4">
        <v>8</v>
      </c>
      <c r="L117" s="4" t="s">
        <v>27</v>
      </c>
      <c r="M117" s="4">
        <v>3</v>
      </c>
      <c r="N117" s="4" t="s">
        <v>27</v>
      </c>
      <c r="O117" s="4" t="s">
        <v>28</v>
      </c>
      <c r="P117" s="4" t="s">
        <v>57</v>
      </c>
      <c r="Q117" s="5" t="s">
        <v>39</v>
      </c>
    </row>
    <row r="118" spans="1:17">
      <c r="A118" s="1" t="s">
        <v>421</v>
      </c>
      <c r="B118" s="2" t="s">
        <v>66</v>
      </c>
      <c r="C118" s="2" t="s">
        <v>422</v>
      </c>
      <c r="D118" s="2" t="s">
        <v>423</v>
      </c>
      <c r="E118" s="2" t="s">
        <v>78</v>
      </c>
      <c r="F118" s="2" t="s">
        <v>191</v>
      </c>
      <c r="G118" s="2" t="s">
        <v>46</v>
      </c>
      <c r="H118" s="2" t="s">
        <v>91</v>
      </c>
      <c r="I118" s="2" t="s">
        <v>38</v>
      </c>
      <c r="J118" s="2">
        <v>15.1</v>
      </c>
      <c r="K118" s="2">
        <v>8</v>
      </c>
      <c r="L118" s="2" t="s">
        <v>27</v>
      </c>
      <c r="M118" s="2">
        <v>2</v>
      </c>
      <c r="N118" s="2" t="s">
        <v>26</v>
      </c>
      <c r="O118" s="2" t="s">
        <v>28</v>
      </c>
      <c r="P118" s="2" t="s">
        <v>57</v>
      </c>
      <c r="Q118" s="6" t="s">
        <v>39</v>
      </c>
    </row>
    <row r="119" spans="1:17">
      <c r="A119" s="3" t="s">
        <v>424</v>
      </c>
      <c r="B119" s="4" t="s">
        <v>75</v>
      </c>
      <c r="C119" s="4" t="s">
        <v>425</v>
      </c>
      <c r="D119" s="4" t="s">
        <v>426</v>
      </c>
      <c r="E119" s="4" t="s">
        <v>78</v>
      </c>
      <c r="F119" s="4" t="s">
        <v>166</v>
      </c>
      <c r="G119" s="4" t="s">
        <v>46</v>
      </c>
      <c r="H119" s="4" t="s">
        <v>55</v>
      </c>
      <c r="I119" s="4" t="s">
        <v>80</v>
      </c>
      <c r="J119" s="4">
        <v>19.399999999999999</v>
      </c>
      <c r="K119" s="4">
        <v>8</v>
      </c>
      <c r="L119" s="4" t="s">
        <v>27</v>
      </c>
      <c r="M119" s="4">
        <v>3</v>
      </c>
      <c r="N119" s="4" t="s">
        <v>26</v>
      </c>
      <c r="O119" s="4" t="s">
        <v>28</v>
      </c>
      <c r="P119" s="4" t="s">
        <v>57</v>
      </c>
      <c r="Q119" s="5" t="s">
        <v>58</v>
      </c>
    </row>
    <row r="120" spans="1:17">
      <c r="A120" s="1" t="s">
        <v>427</v>
      </c>
      <c r="B120" s="2" t="s">
        <v>32</v>
      </c>
      <c r="C120" s="2" t="s">
        <v>428</v>
      </c>
      <c r="D120" s="2" t="s">
        <v>429</v>
      </c>
      <c r="E120" s="2" t="s">
        <v>21</v>
      </c>
      <c r="F120" s="2" t="s">
        <v>22</v>
      </c>
      <c r="G120" s="2" t="s">
        <v>46</v>
      </c>
      <c r="H120" s="2" t="s">
        <v>70</v>
      </c>
      <c r="I120" s="2" t="s">
        <v>25</v>
      </c>
      <c r="J120" s="2">
        <v>12.8</v>
      </c>
      <c r="K120" s="2">
        <v>8</v>
      </c>
      <c r="L120" s="2" t="s">
        <v>27</v>
      </c>
      <c r="M120" s="2">
        <v>2</v>
      </c>
      <c r="N120" s="2" t="s">
        <v>27</v>
      </c>
      <c r="O120" s="2" t="s">
        <v>28</v>
      </c>
      <c r="P120" s="2" t="s">
        <v>57</v>
      </c>
      <c r="Q120" s="6" t="s">
        <v>39</v>
      </c>
    </row>
    <row r="121" spans="1:17">
      <c r="A121" s="3" t="s">
        <v>430</v>
      </c>
      <c r="B121" s="4" t="s">
        <v>60</v>
      </c>
      <c r="C121" s="4" t="s">
        <v>431</v>
      </c>
      <c r="D121" s="4" t="s">
        <v>432</v>
      </c>
      <c r="E121" s="4" t="s">
        <v>78</v>
      </c>
      <c r="F121" s="4" t="s">
        <v>166</v>
      </c>
      <c r="G121" s="4" t="s">
        <v>46</v>
      </c>
      <c r="H121" s="4" t="s">
        <v>70</v>
      </c>
      <c r="I121" s="4" t="s">
        <v>80</v>
      </c>
      <c r="J121" s="4">
        <v>19.399999999999999</v>
      </c>
      <c r="K121" s="4">
        <v>8</v>
      </c>
      <c r="L121" s="4" t="s">
        <v>27</v>
      </c>
      <c r="M121" s="4">
        <v>3</v>
      </c>
      <c r="N121" s="4" t="s">
        <v>27</v>
      </c>
      <c r="O121" s="4" t="s">
        <v>28</v>
      </c>
      <c r="P121" s="4" t="s">
        <v>57</v>
      </c>
      <c r="Q121" s="5" t="s">
        <v>101</v>
      </c>
    </row>
    <row r="122" spans="1:17">
      <c r="A122" s="1" t="s">
        <v>433</v>
      </c>
      <c r="B122" s="2" t="s">
        <v>121</v>
      </c>
      <c r="C122" s="2" t="s">
        <v>434</v>
      </c>
      <c r="D122" s="2" t="s">
        <v>435</v>
      </c>
      <c r="E122" s="2" t="s">
        <v>78</v>
      </c>
      <c r="F122" s="2" t="s">
        <v>166</v>
      </c>
      <c r="G122" s="2" t="s">
        <v>46</v>
      </c>
      <c r="H122" s="2" t="s">
        <v>55</v>
      </c>
      <c r="I122" s="2" t="s">
        <v>80</v>
      </c>
      <c r="J122" s="2">
        <v>17.5</v>
      </c>
      <c r="K122" s="2">
        <v>8</v>
      </c>
      <c r="L122" s="2" t="s">
        <v>27</v>
      </c>
      <c r="M122" s="2">
        <v>2</v>
      </c>
      <c r="N122" s="2" t="s">
        <v>26</v>
      </c>
      <c r="O122" s="2" t="s">
        <v>28</v>
      </c>
      <c r="P122" s="2" t="s">
        <v>1670</v>
      </c>
      <c r="Q122" s="6" t="s">
        <v>30</v>
      </c>
    </row>
    <row r="123" spans="1:17">
      <c r="A123" s="3" t="s">
        <v>436</v>
      </c>
      <c r="B123" s="4" t="s">
        <v>106</v>
      </c>
      <c r="C123" s="4" t="s">
        <v>437</v>
      </c>
      <c r="D123" s="4" t="s">
        <v>438</v>
      </c>
      <c r="E123" s="4" t="s">
        <v>84</v>
      </c>
      <c r="F123" s="4" t="s">
        <v>85</v>
      </c>
      <c r="G123" s="4" t="s">
        <v>46</v>
      </c>
      <c r="H123" s="4" t="s">
        <v>64</v>
      </c>
      <c r="I123" s="4" t="s">
        <v>87</v>
      </c>
      <c r="J123" s="4">
        <v>5.4</v>
      </c>
      <c r="K123" s="4">
        <v>8</v>
      </c>
      <c r="L123" s="4" t="s">
        <v>26</v>
      </c>
      <c r="M123" s="4">
        <v>4</v>
      </c>
      <c r="N123" s="4" t="s">
        <v>27</v>
      </c>
      <c r="O123" s="4" t="s">
        <v>28</v>
      </c>
      <c r="P123" s="4" t="s">
        <v>29</v>
      </c>
      <c r="Q123" s="5" t="s">
        <v>30</v>
      </c>
    </row>
    <row r="124" spans="1:17">
      <c r="A124" s="1" t="s">
        <v>439</v>
      </c>
      <c r="B124" s="2" t="s">
        <v>41</v>
      </c>
      <c r="C124" s="2" t="s">
        <v>440</v>
      </c>
      <c r="D124" s="2" t="s">
        <v>441</v>
      </c>
      <c r="E124" s="2" t="s">
        <v>35</v>
      </c>
      <c r="F124" s="2" t="s">
        <v>127</v>
      </c>
      <c r="G124" s="2" t="s">
        <v>46</v>
      </c>
      <c r="H124" s="2" t="s">
        <v>91</v>
      </c>
      <c r="I124" s="2" t="s">
        <v>56</v>
      </c>
      <c r="J124" s="2">
        <v>11.6</v>
      </c>
      <c r="K124" s="2">
        <v>8</v>
      </c>
      <c r="L124" s="2" t="s">
        <v>27</v>
      </c>
      <c r="M124" s="2">
        <v>1</v>
      </c>
      <c r="N124" s="2" t="s">
        <v>26</v>
      </c>
      <c r="O124" s="2" t="s">
        <v>28</v>
      </c>
      <c r="P124" s="2" t="s">
        <v>57</v>
      </c>
      <c r="Q124" s="6" t="s">
        <v>58</v>
      </c>
    </row>
    <row r="125" spans="1:17">
      <c r="A125" s="3" t="s">
        <v>442</v>
      </c>
      <c r="B125" s="4" t="s">
        <v>41</v>
      </c>
      <c r="C125" s="4" t="s">
        <v>443</v>
      </c>
      <c r="D125" s="4" t="s">
        <v>444</v>
      </c>
      <c r="E125" s="4" t="s">
        <v>78</v>
      </c>
      <c r="F125" s="4" t="s">
        <v>166</v>
      </c>
      <c r="G125" s="4" t="s">
        <v>23</v>
      </c>
      <c r="H125" s="4" t="s">
        <v>234</v>
      </c>
      <c r="I125" s="4" t="s">
        <v>80</v>
      </c>
      <c r="J125" s="4">
        <v>12.1</v>
      </c>
      <c r="K125" s="4">
        <v>24</v>
      </c>
      <c r="L125" s="4" t="s">
        <v>26</v>
      </c>
      <c r="M125" s="4">
        <v>4</v>
      </c>
      <c r="N125" s="4" t="s">
        <v>27</v>
      </c>
      <c r="O125" s="4" t="s">
        <v>28</v>
      </c>
      <c r="P125" s="4" t="s">
        <v>29</v>
      </c>
      <c r="Q125" s="5" t="s">
        <v>101</v>
      </c>
    </row>
    <row r="126" spans="1:17">
      <c r="A126" s="1" t="s">
        <v>445</v>
      </c>
      <c r="B126" s="2" t="s">
        <v>135</v>
      </c>
      <c r="C126" s="2" t="s">
        <v>446</v>
      </c>
      <c r="D126" s="2" t="s">
        <v>447</v>
      </c>
      <c r="E126" s="2" t="s">
        <v>21</v>
      </c>
      <c r="F126" s="2" t="s">
        <v>69</v>
      </c>
      <c r="G126" s="2" t="s">
        <v>23</v>
      </c>
      <c r="H126" s="2" t="s">
        <v>138</v>
      </c>
      <c r="I126" s="2" t="s">
        <v>25</v>
      </c>
      <c r="J126" s="2">
        <v>9.3000000000000007</v>
      </c>
      <c r="K126" s="2">
        <v>24</v>
      </c>
      <c r="L126" s="2" t="s">
        <v>26</v>
      </c>
      <c r="M126" s="2">
        <v>5</v>
      </c>
      <c r="N126" s="2" t="s">
        <v>27</v>
      </c>
      <c r="O126" s="2" t="s">
        <v>28</v>
      </c>
      <c r="P126" s="2" t="s">
        <v>29</v>
      </c>
      <c r="Q126" s="6" t="s">
        <v>39</v>
      </c>
    </row>
    <row r="127" spans="1:17">
      <c r="A127" s="3" t="s">
        <v>448</v>
      </c>
      <c r="B127" s="4" t="s">
        <v>32</v>
      </c>
      <c r="C127" s="4" t="s">
        <v>449</v>
      </c>
      <c r="D127" s="4" t="s">
        <v>450</v>
      </c>
      <c r="E127" s="4" t="s">
        <v>35</v>
      </c>
      <c r="F127" s="4" t="s">
        <v>127</v>
      </c>
      <c r="G127" s="4" t="s">
        <v>46</v>
      </c>
      <c r="H127" s="4" t="s">
        <v>234</v>
      </c>
      <c r="I127" s="4" t="s">
        <v>56</v>
      </c>
      <c r="J127" s="4">
        <v>5</v>
      </c>
      <c r="K127" s="4">
        <v>8</v>
      </c>
      <c r="L127" s="4" t="s">
        <v>26</v>
      </c>
      <c r="M127" s="4">
        <v>5</v>
      </c>
      <c r="N127" s="4" t="s">
        <v>27</v>
      </c>
      <c r="O127" s="4" t="s">
        <v>28</v>
      </c>
      <c r="P127" s="4" t="s">
        <v>29</v>
      </c>
      <c r="Q127" s="5" t="s">
        <v>58</v>
      </c>
    </row>
    <row r="128" spans="1:17">
      <c r="A128" s="1" t="s">
        <v>451</v>
      </c>
      <c r="B128" s="2" t="s">
        <v>75</v>
      </c>
      <c r="C128" s="2" t="s">
        <v>452</v>
      </c>
      <c r="D128" s="2" t="s">
        <v>453</v>
      </c>
      <c r="E128" s="2" t="s">
        <v>35</v>
      </c>
      <c r="F128" s="2" t="s">
        <v>36</v>
      </c>
      <c r="G128" s="2" t="s">
        <v>46</v>
      </c>
      <c r="H128" s="2" t="s">
        <v>91</v>
      </c>
      <c r="I128" s="2" t="s">
        <v>38</v>
      </c>
      <c r="J128" s="2">
        <v>4.9000000000000004</v>
      </c>
      <c r="K128" s="2">
        <v>8</v>
      </c>
      <c r="L128" s="2" t="s">
        <v>26</v>
      </c>
      <c r="M128" s="2">
        <v>5</v>
      </c>
      <c r="N128" s="2" t="s">
        <v>27</v>
      </c>
      <c r="O128" s="2" t="s">
        <v>28</v>
      </c>
      <c r="P128" s="2" t="s">
        <v>29</v>
      </c>
      <c r="Q128" s="6" t="s">
        <v>30</v>
      </c>
    </row>
    <row r="129" spans="1:17">
      <c r="A129" s="3" t="s">
        <v>454</v>
      </c>
      <c r="B129" s="4" t="s">
        <v>50</v>
      </c>
      <c r="C129" s="4" t="s">
        <v>455</v>
      </c>
      <c r="D129" s="4" t="s">
        <v>456</v>
      </c>
      <c r="E129" s="4" t="s">
        <v>35</v>
      </c>
      <c r="F129" s="4" t="s">
        <v>127</v>
      </c>
      <c r="G129" s="4" t="s">
        <v>23</v>
      </c>
      <c r="H129" s="4" t="s">
        <v>91</v>
      </c>
      <c r="I129" s="4" t="s">
        <v>56</v>
      </c>
      <c r="J129" s="4">
        <v>8.6999999999999993</v>
      </c>
      <c r="K129" s="4">
        <v>24</v>
      </c>
      <c r="L129" s="4" t="s">
        <v>26</v>
      </c>
      <c r="M129" s="4">
        <v>4</v>
      </c>
      <c r="N129" s="4" t="s">
        <v>27</v>
      </c>
      <c r="O129" s="4" t="s">
        <v>28</v>
      </c>
      <c r="P129" s="4" t="s">
        <v>29</v>
      </c>
      <c r="Q129" s="5" t="s">
        <v>101</v>
      </c>
    </row>
    <row r="130" spans="1:17">
      <c r="A130" s="1" t="s">
        <v>457</v>
      </c>
      <c r="B130" s="2" t="s">
        <v>121</v>
      </c>
      <c r="C130" s="2" t="s">
        <v>458</v>
      </c>
      <c r="D130" s="2" t="s">
        <v>459</v>
      </c>
      <c r="E130" s="2" t="s">
        <v>78</v>
      </c>
      <c r="F130" s="2" t="s">
        <v>191</v>
      </c>
      <c r="G130" s="2" t="s">
        <v>54</v>
      </c>
      <c r="H130" s="2" t="s">
        <v>138</v>
      </c>
      <c r="I130" s="2" t="s">
        <v>38</v>
      </c>
      <c r="J130" s="2">
        <v>15.1</v>
      </c>
      <c r="K130" s="2">
        <v>4</v>
      </c>
      <c r="L130" s="2" t="s">
        <v>27</v>
      </c>
      <c r="M130" s="2">
        <v>3</v>
      </c>
      <c r="N130" s="2" t="s">
        <v>27</v>
      </c>
      <c r="O130" s="2" t="s">
        <v>28</v>
      </c>
      <c r="P130" s="2" t="s">
        <v>57</v>
      </c>
      <c r="Q130" s="6" t="s">
        <v>30</v>
      </c>
    </row>
    <row r="131" spans="1:17">
      <c r="A131" s="3" t="s">
        <v>460</v>
      </c>
      <c r="B131" s="4" t="s">
        <v>60</v>
      </c>
      <c r="C131" s="4" t="s">
        <v>461</v>
      </c>
      <c r="D131" s="4" t="s">
        <v>462</v>
      </c>
      <c r="E131" s="4" t="s">
        <v>84</v>
      </c>
      <c r="F131" s="4" t="s">
        <v>85</v>
      </c>
      <c r="G131" s="4" t="s">
        <v>46</v>
      </c>
      <c r="H131" s="4" t="s">
        <v>64</v>
      </c>
      <c r="I131" s="4" t="s">
        <v>87</v>
      </c>
      <c r="J131" s="4">
        <v>3.3</v>
      </c>
      <c r="K131" s="4">
        <v>8</v>
      </c>
      <c r="L131" s="4" t="s">
        <v>26</v>
      </c>
      <c r="M131" s="4">
        <v>5</v>
      </c>
      <c r="N131" s="4" t="s">
        <v>27</v>
      </c>
      <c r="O131" s="4" t="s">
        <v>28</v>
      </c>
      <c r="P131" s="4" t="s">
        <v>29</v>
      </c>
      <c r="Q131" s="5" t="s">
        <v>39</v>
      </c>
    </row>
    <row r="132" spans="1:17">
      <c r="A132" s="1" t="s">
        <v>463</v>
      </c>
      <c r="B132" s="2" t="s">
        <v>60</v>
      </c>
      <c r="C132" s="2" t="s">
        <v>464</v>
      </c>
      <c r="D132" s="2" t="s">
        <v>465</v>
      </c>
      <c r="E132" s="2" t="s">
        <v>21</v>
      </c>
      <c r="F132" s="2" t="s">
        <v>22</v>
      </c>
      <c r="G132" s="2" t="s">
        <v>23</v>
      </c>
      <c r="H132" s="2" t="s">
        <v>91</v>
      </c>
      <c r="I132" s="2" t="s">
        <v>25</v>
      </c>
      <c r="J132" s="2">
        <v>6.6</v>
      </c>
      <c r="K132" s="2">
        <v>24</v>
      </c>
      <c r="L132" s="2" t="s">
        <v>26</v>
      </c>
      <c r="M132" s="2">
        <v>5</v>
      </c>
      <c r="N132" s="2" t="s">
        <v>27</v>
      </c>
      <c r="O132" s="2" t="s">
        <v>28</v>
      </c>
      <c r="P132" s="2" t="s">
        <v>29</v>
      </c>
      <c r="Q132" s="6" t="s">
        <v>30</v>
      </c>
    </row>
    <row r="133" spans="1:17">
      <c r="A133" s="3" t="s">
        <v>466</v>
      </c>
      <c r="B133" s="4" t="s">
        <v>135</v>
      </c>
      <c r="C133" s="4" t="s">
        <v>467</v>
      </c>
      <c r="D133" s="4" t="s">
        <v>468</v>
      </c>
      <c r="E133" s="4" t="s">
        <v>35</v>
      </c>
      <c r="F133" s="4" t="s">
        <v>53</v>
      </c>
      <c r="G133" s="4" t="s">
        <v>54</v>
      </c>
      <c r="H133" s="4" t="s">
        <v>24</v>
      </c>
      <c r="I133" s="4" t="s">
        <v>56</v>
      </c>
      <c r="J133" s="4">
        <v>9.4</v>
      </c>
      <c r="K133" s="4">
        <v>4</v>
      </c>
      <c r="L133" s="4" t="s">
        <v>27</v>
      </c>
      <c r="M133" s="4">
        <v>3</v>
      </c>
      <c r="N133" s="4" t="s">
        <v>27</v>
      </c>
      <c r="O133" s="4" t="s">
        <v>28</v>
      </c>
      <c r="P133" s="4" t="s">
        <v>1670</v>
      </c>
      <c r="Q133" s="5" t="s">
        <v>58</v>
      </c>
    </row>
    <row r="134" spans="1:17">
      <c r="A134" s="1" t="s">
        <v>469</v>
      </c>
      <c r="B134" s="2" t="s">
        <v>66</v>
      </c>
      <c r="C134" s="2" t="s">
        <v>470</v>
      </c>
      <c r="D134" s="2" t="s">
        <v>471</v>
      </c>
      <c r="E134" s="2" t="s">
        <v>78</v>
      </c>
      <c r="F134" s="2" t="s">
        <v>79</v>
      </c>
      <c r="G134" s="2" t="s">
        <v>46</v>
      </c>
      <c r="H134" s="2" t="s">
        <v>47</v>
      </c>
      <c r="I134" s="2" t="s">
        <v>80</v>
      </c>
      <c r="J134" s="2">
        <v>14.7</v>
      </c>
      <c r="K134" s="2">
        <v>8</v>
      </c>
      <c r="L134" s="2" t="s">
        <v>27</v>
      </c>
      <c r="M134" s="2">
        <v>3</v>
      </c>
      <c r="N134" s="2" t="s">
        <v>27</v>
      </c>
      <c r="O134" s="2" t="s">
        <v>28</v>
      </c>
      <c r="P134" s="2" t="s">
        <v>1670</v>
      </c>
      <c r="Q134" s="6" t="s">
        <v>39</v>
      </c>
    </row>
    <row r="135" spans="1:17">
      <c r="A135" s="3" t="s">
        <v>472</v>
      </c>
      <c r="B135" s="4" t="s">
        <v>32</v>
      </c>
      <c r="C135" s="4" t="s">
        <v>473</v>
      </c>
      <c r="D135" s="4" t="s">
        <v>474</v>
      </c>
      <c r="E135" s="4" t="s">
        <v>78</v>
      </c>
      <c r="F135" s="4" t="s">
        <v>166</v>
      </c>
      <c r="G135" s="4" t="s">
        <v>46</v>
      </c>
      <c r="H135" s="4" t="s">
        <v>64</v>
      </c>
      <c r="I135" s="4" t="s">
        <v>80</v>
      </c>
      <c r="J135" s="4">
        <v>11.3</v>
      </c>
      <c r="K135" s="4">
        <v>8</v>
      </c>
      <c r="L135" s="4" t="s">
        <v>27</v>
      </c>
      <c r="M135" s="4">
        <v>3</v>
      </c>
      <c r="N135" s="4" t="s">
        <v>27</v>
      </c>
      <c r="O135" s="4" t="s">
        <v>28</v>
      </c>
      <c r="P135" s="4" t="s">
        <v>57</v>
      </c>
      <c r="Q135" s="5" t="s">
        <v>30</v>
      </c>
    </row>
    <row r="136" spans="1:17">
      <c r="A136" s="1" t="s">
        <v>475</v>
      </c>
      <c r="B136" s="2" t="s">
        <v>18</v>
      </c>
      <c r="C136" s="2" t="s">
        <v>476</v>
      </c>
      <c r="D136" s="2" t="s">
        <v>477</v>
      </c>
      <c r="E136" s="2" t="s">
        <v>21</v>
      </c>
      <c r="F136" s="2" t="s">
        <v>63</v>
      </c>
      <c r="G136" s="2" t="s">
        <v>23</v>
      </c>
      <c r="H136" s="2" t="s">
        <v>55</v>
      </c>
      <c r="I136" s="2" t="s">
        <v>25</v>
      </c>
      <c r="J136" s="2">
        <v>9.9</v>
      </c>
      <c r="K136" s="2">
        <v>24</v>
      </c>
      <c r="L136" s="2" t="s">
        <v>26</v>
      </c>
      <c r="M136" s="2">
        <v>5</v>
      </c>
      <c r="N136" s="2" t="s">
        <v>27</v>
      </c>
      <c r="O136" s="2" t="s">
        <v>28</v>
      </c>
      <c r="P136" s="2" t="s">
        <v>29</v>
      </c>
      <c r="Q136" s="6" t="s">
        <v>58</v>
      </c>
    </row>
    <row r="137" spans="1:17">
      <c r="A137" s="3" t="s">
        <v>478</v>
      </c>
      <c r="B137" s="4" t="s">
        <v>66</v>
      </c>
      <c r="C137" s="4" t="s">
        <v>479</v>
      </c>
      <c r="D137" s="4" t="s">
        <v>480</v>
      </c>
      <c r="E137" s="4" t="s">
        <v>21</v>
      </c>
      <c r="F137" s="4" t="s">
        <v>69</v>
      </c>
      <c r="G137" s="4" t="s">
        <v>46</v>
      </c>
      <c r="H137" s="4" t="s">
        <v>86</v>
      </c>
      <c r="I137" s="4" t="s">
        <v>25</v>
      </c>
      <c r="J137" s="4">
        <v>11.9</v>
      </c>
      <c r="K137" s="4">
        <v>8</v>
      </c>
      <c r="L137" s="4" t="s">
        <v>27</v>
      </c>
      <c r="M137" s="4">
        <v>2</v>
      </c>
      <c r="N137" s="4" t="s">
        <v>26</v>
      </c>
      <c r="O137" s="4" t="s">
        <v>28</v>
      </c>
      <c r="P137" s="4" t="s">
        <v>57</v>
      </c>
      <c r="Q137" s="5" t="s">
        <v>39</v>
      </c>
    </row>
    <row r="138" spans="1:17">
      <c r="A138" s="1" t="s">
        <v>481</v>
      </c>
      <c r="B138" s="2" t="s">
        <v>121</v>
      </c>
      <c r="C138" s="2" t="s">
        <v>482</v>
      </c>
      <c r="D138" s="2" t="s">
        <v>483</v>
      </c>
      <c r="E138" s="2" t="s">
        <v>35</v>
      </c>
      <c r="F138" s="2" t="s">
        <v>53</v>
      </c>
      <c r="G138" s="2" t="s">
        <v>46</v>
      </c>
      <c r="H138" s="2" t="s">
        <v>55</v>
      </c>
      <c r="I138" s="2" t="s">
        <v>56</v>
      </c>
      <c r="J138" s="2">
        <v>8.5</v>
      </c>
      <c r="K138" s="2">
        <v>8</v>
      </c>
      <c r="L138" s="2" t="s">
        <v>27</v>
      </c>
      <c r="M138" s="2">
        <v>1</v>
      </c>
      <c r="N138" s="2" t="s">
        <v>26</v>
      </c>
      <c r="O138" s="2" t="s">
        <v>28</v>
      </c>
      <c r="P138" s="2" t="s">
        <v>1670</v>
      </c>
      <c r="Q138" s="6" t="s">
        <v>101</v>
      </c>
    </row>
    <row r="139" spans="1:17">
      <c r="A139" s="3" t="s">
        <v>484</v>
      </c>
      <c r="B139" s="4" t="s">
        <v>18</v>
      </c>
      <c r="C139" s="4" t="s">
        <v>485</v>
      </c>
      <c r="D139" s="4" t="s">
        <v>486</v>
      </c>
      <c r="E139" s="4" t="s">
        <v>78</v>
      </c>
      <c r="F139" s="4" t="s">
        <v>191</v>
      </c>
      <c r="G139" s="4" t="s">
        <v>46</v>
      </c>
      <c r="H139" s="4" t="s">
        <v>47</v>
      </c>
      <c r="I139" s="4" t="s">
        <v>38</v>
      </c>
      <c r="J139" s="4">
        <v>8.9</v>
      </c>
      <c r="K139" s="4">
        <v>8</v>
      </c>
      <c r="L139" s="4" t="s">
        <v>27</v>
      </c>
      <c r="M139" s="4">
        <v>1</v>
      </c>
      <c r="N139" s="4" t="s">
        <v>27</v>
      </c>
      <c r="O139" s="4" t="s">
        <v>28</v>
      </c>
      <c r="P139" s="4" t="s">
        <v>1670</v>
      </c>
      <c r="Q139" s="5" t="s">
        <v>58</v>
      </c>
    </row>
    <row r="140" spans="1:17">
      <c r="A140" s="1" t="s">
        <v>487</v>
      </c>
      <c r="B140" s="2" t="s">
        <v>135</v>
      </c>
      <c r="C140" s="2" t="s">
        <v>488</v>
      </c>
      <c r="D140" s="2" t="s">
        <v>489</v>
      </c>
      <c r="E140" s="2" t="s">
        <v>78</v>
      </c>
      <c r="F140" s="2" t="s">
        <v>79</v>
      </c>
      <c r="G140" s="2" t="s">
        <v>46</v>
      </c>
      <c r="H140" s="2" t="s">
        <v>24</v>
      </c>
      <c r="I140" s="2" t="s">
        <v>80</v>
      </c>
      <c r="J140" s="2">
        <v>25.1</v>
      </c>
      <c r="K140" s="2">
        <v>8</v>
      </c>
      <c r="L140" s="2" t="s">
        <v>27</v>
      </c>
      <c r="M140" s="2">
        <v>3</v>
      </c>
      <c r="N140" s="2" t="s">
        <v>27</v>
      </c>
      <c r="O140" s="2" t="s">
        <v>28</v>
      </c>
      <c r="P140" s="2" t="s">
        <v>1670</v>
      </c>
      <c r="Q140" s="6" t="s">
        <v>58</v>
      </c>
    </row>
    <row r="141" spans="1:17">
      <c r="A141" s="3" t="s">
        <v>490</v>
      </c>
      <c r="B141" s="4" t="s">
        <v>106</v>
      </c>
      <c r="C141" s="4" t="s">
        <v>491</v>
      </c>
      <c r="D141" s="4" t="s">
        <v>492</v>
      </c>
      <c r="E141" s="4" t="s">
        <v>78</v>
      </c>
      <c r="F141" s="4" t="s">
        <v>191</v>
      </c>
      <c r="G141" s="4" t="s">
        <v>46</v>
      </c>
      <c r="H141" s="4" t="s">
        <v>86</v>
      </c>
      <c r="I141" s="4" t="s">
        <v>38</v>
      </c>
      <c r="J141" s="4">
        <v>19.3</v>
      </c>
      <c r="K141" s="4">
        <v>8</v>
      </c>
      <c r="L141" s="4" t="s">
        <v>27</v>
      </c>
      <c r="M141" s="4">
        <v>3</v>
      </c>
      <c r="N141" s="4" t="s">
        <v>27</v>
      </c>
      <c r="O141" s="4" t="s">
        <v>28</v>
      </c>
      <c r="P141" s="4" t="s">
        <v>1670</v>
      </c>
      <c r="Q141" s="5" t="s">
        <v>101</v>
      </c>
    </row>
    <row r="142" spans="1:17">
      <c r="A142" s="1" t="s">
        <v>493</v>
      </c>
      <c r="B142" s="2" t="s">
        <v>135</v>
      </c>
      <c r="C142" s="2" t="s">
        <v>494</v>
      </c>
      <c r="D142" s="2" t="s">
        <v>495</v>
      </c>
      <c r="E142" s="2" t="s">
        <v>35</v>
      </c>
      <c r="F142" s="2" t="s">
        <v>53</v>
      </c>
      <c r="G142" s="2" t="s">
        <v>23</v>
      </c>
      <c r="H142" s="2" t="s">
        <v>24</v>
      </c>
      <c r="I142" s="2" t="s">
        <v>56</v>
      </c>
      <c r="J142" s="2">
        <v>15.3</v>
      </c>
      <c r="K142" s="2">
        <v>24</v>
      </c>
      <c r="L142" s="2" t="s">
        <v>26</v>
      </c>
      <c r="M142" s="2">
        <v>5</v>
      </c>
      <c r="N142" s="2" t="s">
        <v>27</v>
      </c>
      <c r="O142" s="2" t="s">
        <v>28</v>
      </c>
      <c r="P142" s="2" t="s">
        <v>29</v>
      </c>
      <c r="Q142" s="6" t="s">
        <v>101</v>
      </c>
    </row>
    <row r="143" spans="1:17">
      <c r="A143" s="3" t="s">
        <v>496</v>
      </c>
      <c r="B143" s="4" t="s">
        <v>106</v>
      </c>
      <c r="C143" s="4" t="s">
        <v>497</v>
      </c>
      <c r="D143" s="4" t="s">
        <v>498</v>
      </c>
      <c r="E143" s="4" t="s">
        <v>35</v>
      </c>
      <c r="F143" s="4" t="s">
        <v>53</v>
      </c>
      <c r="G143" s="4" t="s">
        <v>23</v>
      </c>
      <c r="H143" s="4" t="s">
        <v>47</v>
      </c>
      <c r="I143" s="4" t="s">
        <v>56</v>
      </c>
      <c r="J143" s="4">
        <v>5.9</v>
      </c>
      <c r="K143" s="4">
        <v>24</v>
      </c>
      <c r="L143" s="4" t="s">
        <v>26</v>
      </c>
      <c r="M143" s="4">
        <v>4</v>
      </c>
      <c r="N143" s="4" t="s">
        <v>27</v>
      </c>
      <c r="O143" s="4" t="s">
        <v>28</v>
      </c>
      <c r="P143" s="4" t="s">
        <v>29</v>
      </c>
      <c r="Q143" s="5" t="s">
        <v>30</v>
      </c>
    </row>
    <row r="144" spans="1:17">
      <c r="A144" s="1" t="s">
        <v>499</v>
      </c>
      <c r="B144" s="2" t="s">
        <v>32</v>
      </c>
      <c r="C144" s="2" t="s">
        <v>500</v>
      </c>
      <c r="D144" s="2" t="s">
        <v>501</v>
      </c>
      <c r="E144" s="2" t="s">
        <v>35</v>
      </c>
      <c r="F144" s="2" t="s">
        <v>127</v>
      </c>
      <c r="G144" s="2" t="s">
        <v>46</v>
      </c>
      <c r="H144" s="2" t="s">
        <v>234</v>
      </c>
      <c r="I144" s="2" t="s">
        <v>56</v>
      </c>
      <c r="J144" s="2">
        <v>5.9</v>
      </c>
      <c r="K144" s="2">
        <v>8</v>
      </c>
      <c r="L144" s="2" t="s">
        <v>26</v>
      </c>
      <c r="M144" s="2">
        <v>4</v>
      </c>
      <c r="N144" s="2" t="s">
        <v>27</v>
      </c>
      <c r="O144" s="2" t="s">
        <v>28</v>
      </c>
      <c r="P144" s="2" t="s">
        <v>29</v>
      </c>
      <c r="Q144" s="6" t="s">
        <v>101</v>
      </c>
    </row>
    <row r="145" spans="1:17">
      <c r="A145" s="3" t="s">
        <v>502</v>
      </c>
      <c r="B145" s="4" t="s">
        <v>135</v>
      </c>
      <c r="C145" s="4" t="s">
        <v>503</v>
      </c>
      <c r="D145" s="4" t="s">
        <v>504</v>
      </c>
      <c r="E145" s="4" t="s">
        <v>78</v>
      </c>
      <c r="F145" s="4" t="s">
        <v>79</v>
      </c>
      <c r="G145" s="4" t="s">
        <v>54</v>
      </c>
      <c r="H145" s="4" t="s">
        <v>24</v>
      </c>
      <c r="I145" s="4" t="s">
        <v>80</v>
      </c>
      <c r="J145" s="4">
        <v>23</v>
      </c>
      <c r="K145" s="4">
        <v>4</v>
      </c>
      <c r="L145" s="4" t="s">
        <v>27</v>
      </c>
      <c r="M145" s="4">
        <v>2</v>
      </c>
      <c r="N145" s="4" t="s">
        <v>27</v>
      </c>
      <c r="O145" s="4" t="s">
        <v>28</v>
      </c>
      <c r="P145" s="4" t="s">
        <v>57</v>
      </c>
      <c r="Q145" s="5" t="s">
        <v>58</v>
      </c>
    </row>
    <row r="146" spans="1:17">
      <c r="A146" s="1" t="s">
        <v>505</v>
      </c>
      <c r="B146" s="2" t="s">
        <v>60</v>
      </c>
      <c r="C146" s="2" t="s">
        <v>506</v>
      </c>
      <c r="D146" s="2" t="s">
        <v>507</v>
      </c>
      <c r="E146" s="2" t="s">
        <v>35</v>
      </c>
      <c r="F146" s="2" t="s">
        <v>36</v>
      </c>
      <c r="G146" s="2" t="s">
        <v>54</v>
      </c>
      <c r="H146" s="2" t="s">
        <v>138</v>
      </c>
      <c r="I146" s="2" t="s">
        <v>38</v>
      </c>
      <c r="J146" s="2">
        <v>4.8</v>
      </c>
      <c r="K146" s="2">
        <v>4</v>
      </c>
      <c r="L146" s="2" t="s">
        <v>27</v>
      </c>
      <c r="M146" s="2">
        <v>1</v>
      </c>
      <c r="N146" s="2" t="s">
        <v>27</v>
      </c>
      <c r="O146" s="2" t="s">
        <v>28</v>
      </c>
      <c r="P146" s="2" t="s">
        <v>1670</v>
      </c>
      <c r="Q146" s="6" t="s">
        <v>30</v>
      </c>
    </row>
    <row r="147" spans="1:17">
      <c r="A147" s="3" t="s">
        <v>508</v>
      </c>
      <c r="B147" s="4" t="s">
        <v>60</v>
      </c>
      <c r="C147" s="4" t="s">
        <v>509</v>
      </c>
      <c r="D147" s="4" t="s">
        <v>510</v>
      </c>
      <c r="E147" s="4" t="s">
        <v>78</v>
      </c>
      <c r="F147" s="4" t="s">
        <v>166</v>
      </c>
      <c r="G147" s="4" t="s">
        <v>23</v>
      </c>
      <c r="H147" s="4" t="s">
        <v>24</v>
      </c>
      <c r="I147" s="4" t="s">
        <v>80</v>
      </c>
      <c r="J147" s="4">
        <v>18.3</v>
      </c>
      <c r="K147" s="4">
        <v>24</v>
      </c>
      <c r="L147" s="4" t="s">
        <v>26</v>
      </c>
      <c r="M147" s="4">
        <v>4</v>
      </c>
      <c r="N147" s="4" t="s">
        <v>27</v>
      </c>
      <c r="O147" s="4" t="s">
        <v>28</v>
      </c>
      <c r="P147" s="4" t="s">
        <v>29</v>
      </c>
      <c r="Q147" s="5" t="s">
        <v>101</v>
      </c>
    </row>
    <row r="148" spans="1:17">
      <c r="A148" s="1" t="s">
        <v>511</v>
      </c>
      <c r="B148" s="2" t="s">
        <v>75</v>
      </c>
      <c r="C148" s="2" t="s">
        <v>512</v>
      </c>
      <c r="D148" s="2" t="s">
        <v>513</v>
      </c>
      <c r="E148" s="2" t="s">
        <v>21</v>
      </c>
      <c r="F148" s="2" t="s">
        <v>22</v>
      </c>
      <c r="G148" s="2" t="s">
        <v>46</v>
      </c>
      <c r="H148" s="2" t="s">
        <v>70</v>
      </c>
      <c r="I148" s="2" t="s">
        <v>25</v>
      </c>
      <c r="J148" s="2">
        <v>14</v>
      </c>
      <c r="K148" s="2">
        <v>8</v>
      </c>
      <c r="L148" s="2" t="s">
        <v>27</v>
      </c>
      <c r="M148" s="2">
        <v>2</v>
      </c>
      <c r="N148" s="2" t="s">
        <v>26</v>
      </c>
      <c r="O148" s="2" t="s">
        <v>28</v>
      </c>
      <c r="P148" s="2" t="s">
        <v>1670</v>
      </c>
      <c r="Q148" s="6" t="s">
        <v>101</v>
      </c>
    </row>
    <row r="149" spans="1:17">
      <c r="A149" s="3" t="s">
        <v>514</v>
      </c>
      <c r="B149" s="4" t="s">
        <v>32</v>
      </c>
      <c r="C149" s="4" t="s">
        <v>515</v>
      </c>
      <c r="D149" s="4" t="s">
        <v>516</v>
      </c>
      <c r="E149" s="4" t="s">
        <v>35</v>
      </c>
      <c r="F149" s="4" t="s">
        <v>127</v>
      </c>
      <c r="G149" s="4" t="s">
        <v>54</v>
      </c>
      <c r="H149" s="4" t="s">
        <v>64</v>
      </c>
      <c r="I149" s="4" t="s">
        <v>56</v>
      </c>
      <c r="J149" s="4">
        <v>7</v>
      </c>
      <c r="K149" s="4">
        <v>4</v>
      </c>
      <c r="L149" s="4" t="s">
        <v>27</v>
      </c>
      <c r="M149" s="4">
        <v>2</v>
      </c>
      <c r="N149" s="4" t="s">
        <v>27</v>
      </c>
      <c r="O149" s="4" t="s">
        <v>28</v>
      </c>
      <c r="P149" s="4" t="s">
        <v>57</v>
      </c>
      <c r="Q149" s="5" t="s">
        <v>58</v>
      </c>
    </row>
    <row r="150" spans="1:17">
      <c r="A150" s="1" t="s">
        <v>517</v>
      </c>
      <c r="B150" s="2" t="s">
        <v>50</v>
      </c>
      <c r="C150" s="2" t="s">
        <v>518</v>
      </c>
      <c r="D150" s="2" t="s">
        <v>519</v>
      </c>
      <c r="E150" s="2" t="s">
        <v>78</v>
      </c>
      <c r="F150" s="2" t="s">
        <v>79</v>
      </c>
      <c r="G150" s="2" t="s">
        <v>23</v>
      </c>
      <c r="H150" s="2" t="s">
        <v>234</v>
      </c>
      <c r="I150" s="2" t="s">
        <v>80</v>
      </c>
      <c r="J150" s="2">
        <v>8.9</v>
      </c>
      <c r="K150" s="2">
        <v>24</v>
      </c>
      <c r="L150" s="2" t="s">
        <v>26</v>
      </c>
      <c r="M150" s="2">
        <v>4</v>
      </c>
      <c r="N150" s="2" t="s">
        <v>27</v>
      </c>
      <c r="O150" s="2" t="s">
        <v>28</v>
      </c>
      <c r="P150" s="2" t="s">
        <v>29</v>
      </c>
      <c r="Q150" s="6" t="s">
        <v>58</v>
      </c>
    </row>
    <row r="151" spans="1:17">
      <c r="A151" s="3" t="s">
        <v>520</v>
      </c>
      <c r="B151" s="4" t="s">
        <v>135</v>
      </c>
      <c r="C151" s="4" t="s">
        <v>521</v>
      </c>
      <c r="D151" s="4" t="s">
        <v>522</v>
      </c>
      <c r="E151" s="4" t="s">
        <v>21</v>
      </c>
      <c r="F151" s="4" t="s">
        <v>63</v>
      </c>
      <c r="G151" s="4" t="s">
        <v>54</v>
      </c>
      <c r="H151" s="4" t="s">
        <v>47</v>
      </c>
      <c r="I151" s="4" t="s">
        <v>25</v>
      </c>
      <c r="J151" s="4">
        <v>9.1999999999999993</v>
      </c>
      <c r="K151" s="4">
        <v>4</v>
      </c>
      <c r="L151" s="4" t="s">
        <v>27</v>
      </c>
      <c r="M151" s="4">
        <v>1</v>
      </c>
      <c r="N151" s="4" t="s">
        <v>27</v>
      </c>
      <c r="O151" s="4" t="s">
        <v>28</v>
      </c>
      <c r="P151" s="4" t="s">
        <v>1670</v>
      </c>
      <c r="Q151" s="5" t="s">
        <v>39</v>
      </c>
    </row>
    <row r="152" spans="1:17">
      <c r="A152" s="1" t="s">
        <v>523</v>
      </c>
      <c r="B152" s="2" t="s">
        <v>75</v>
      </c>
      <c r="C152" s="2" t="s">
        <v>524</v>
      </c>
      <c r="D152" s="2" t="s">
        <v>525</v>
      </c>
      <c r="E152" s="2" t="s">
        <v>35</v>
      </c>
      <c r="F152" s="2" t="s">
        <v>36</v>
      </c>
      <c r="G152" s="2" t="s">
        <v>46</v>
      </c>
      <c r="H152" s="2" t="s">
        <v>86</v>
      </c>
      <c r="I152" s="2" t="s">
        <v>38</v>
      </c>
      <c r="J152" s="2">
        <v>5.2</v>
      </c>
      <c r="K152" s="2">
        <v>8</v>
      </c>
      <c r="L152" s="2" t="s">
        <v>26</v>
      </c>
      <c r="M152" s="2">
        <v>5</v>
      </c>
      <c r="N152" s="2" t="s">
        <v>27</v>
      </c>
      <c r="O152" s="2" t="s">
        <v>28</v>
      </c>
      <c r="P152" s="2" t="s">
        <v>29</v>
      </c>
      <c r="Q152" s="6" t="s">
        <v>101</v>
      </c>
    </row>
    <row r="153" spans="1:17">
      <c r="A153" s="3" t="s">
        <v>526</v>
      </c>
      <c r="B153" s="4" t="s">
        <v>32</v>
      </c>
      <c r="C153" s="4" t="s">
        <v>527</v>
      </c>
      <c r="D153" s="4" t="s">
        <v>528</v>
      </c>
      <c r="E153" s="4" t="s">
        <v>21</v>
      </c>
      <c r="F153" s="4" t="s">
        <v>69</v>
      </c>
      <c r="G153" s="4" t="s">
        <v>46</v>
      </c>
      <c r="H153" s="4" t="s">
        <v>64</v>
      </c>
      <c r="I153" s="4" t="s">
        <v>25</v>
      </c>
      <c r="J153" s="4">
        <v>8.5</v>
      </c>
      <c r="K153" s="4">
        <v>8</v>
      </c>
      <c r="L153" s="4" t="s">
        <v>27</v>
      </c>
      <c r="M153" s="4">
        <v>1</v>
      </c>
      <c r="N153" s="4" t="s">
        <v>26</v>
      </c>
      <c r="O153" s="4" t="s">
        <v>28</v>
      </c>
      <c r="P153" s="4" t="s">
        <v>1670</v>
      </c>
      <c r="Q153" s="5" t="s">
        <v>39</v>
      </c>
    </row>
    <row r="154" spans="1:17">
      <c r="A154" s="1" t="s">
        <v>529</v>
      </c>
      <c r="B154" s="2" t="s">
        <v>106</v>
      </c>
      <c r="C154" s="2" t="s">
        <v>530</v>
      </c>
      <c r="D154" s="2" t="s">
        <v>531</v>
      </c>
      <c r="E154" s="2" t="s">
        <v>35</v>
      </c>
      <c r="F154" s="2" t="s">
        <v>127</v>
      </c>
      <c r="G154" s="2" t="s">
        <v>23</v>
      </c>
      <c r="H154" s="2" t="s">
        <v>24</v>
      </c>
      <c r="I154" s="2" t="s">
        <v>56</v>
      </c>
      <c r="J154" s="2">
        <v>10.4</v>
      </c>
      <c r="K154" s="2">
        <v>24</v>
      </c>
      <c r="L154" s="2" t="s">
        <v>26</v>
      </c>
      <c r="M154" s="2">
        <v>5</v>
      </c>
      <c r="N154" s="2" t="s">
        <v>27</v>
      </c>
      <c r="O154" s="2" t="s">
        <v>28</v>
      </c>
      <c r="P154" s="2" t="s">
        <v>29</v>
      </c>
      <c r="Q154" s="6" t="s">
        <v>30</v>
      </c>
    </row>
    <row r="155" spans="1:17">
      <c r="A155" s="3" t="s">
        <v>532</v>
      </c>
      <c r="B155" s="4" t="s">
        <v>106</v>
      </c>
      <c r="C155" s="4" t="s">
        <v>533</v>
      </c>
      <c r="D155" s="4" t="s">
        <v>534</v>
      </c>
      <c r="E155" s="4" t="s">
        <v>21</v>
      </c>
      <c r="F155" s="4" t="s">
        <v>22</v>
      </c>
      <c r="G155" s="4" t="s">
        <v>23</v>
      </c>
      <c r="H155" s="4" t="s">
        <v>91</v>
      </c>
      <c r="I155" s="4" t="s">
        <v>25</v>
      </c>
      <c r="J155" s="4">
        <v>13.9</v>
      </c>
      <c r="K155" s="4">
        <v>24</v>
      </c>
      <c r="L155" s="4" t="s">
        <v>26</v>
      </c>
      <c r="M155" s="4">
        <v>5</v>
      </c>
      <c r="N155" s="4" t="s">
        <v>27</v>
      </c>
      <c r="O155" s="4" t="s">
        <v>28</v>
      </c>
      <c r="P155" s="4" t="s">
        <v>29</v>
      </c>
      <c r="Q155" s="5" t="s">
        <v>30</v>
      </c>
    </row>
    <row r="156" spans="1:17">
      <c r="A156" s="1" t="s">
        <v>535</v>
      </c>
      <c r="B156" s="2" t="s">
        <v>121</v>
      </c>
      <c r="C156" s="2" t="s">
        <v>536</v>
      </c>
      <c r="D156" s="2" t="s">
        <v>537</v>
      </c>
      <c r="E156" s="2" t="s">
        <v>21</v>
      </c>
      <c r="F156" s="2" t="s">
        <v>22</v>
      </c>
      <c r="G156" s="2" t="s">
        <v>23</v>
      </c>
      <c r="H156" s="2" t="s">
        <v>91</v>
      </c>
      <c r="I156" s="2" t="s">
        <v>25</v>
      </c>
      <c r="J156" s="2">
        <v>12.3</v>
      </c>
      <c r="K156" s="2">
        <v>24</v>
      </c>
      <c r="L156" s="2" t="s">
        <v>26</v>
      </c>
      <c r="M156" s="2">
        <v>5</v>
      </c>
      <c r="N156" s="2" t="s">
        <v>27</v>
      </c>
      <c r="O156" s="2" t="s">
        <v>28</v>
      </c>
      <c r="P156" s="2" t="s">
        <v>29</v>
      </c>
      <c r="Q156" s="6" t="s">
        <v>30</v>
      </c>
    </row>
    <row r="157" spans="1:17">
      <c r="A157" s="3" t="s">
        <v>538</v>
      </c>
      <c r="B157" s="4" t="s">
        <v>106</v>
      </c>
      <c r="C157" s="4" t="s">
        <v>539</v>
      </c>
      <c r="D157" s="4" t="s">
        <v>540</v>
      </c>
      <c r="E157" s="4" t="s">
        <v>78</v>
      </c>
      <c r="F157" s="4" t="s">
        <v>166</v>
      </c>
      <c r="G157" s="4" t="s">
        <v>46</v>
      </c>
      <c r="H157" s="4" t="s">
        <v>91</v>
      </c>
      <c r="I157" s="4" t="s">
        <v>80</v>
      </c>
      <c r="J157" s="4">
        <v>8.6</v>
      </c>
      <c r="K157" s="4">
        <v>8</v>
      </c>
      <c r="L157" s="4" t="s">
        <v>27</v>
      </c>
      <c r="M157" s="4">
        <v>2</v>
      </c>
      <c r="N157" s="4" t="s">
        <v>26</v>
      </c>
      <c r="O157" s="4" t="s">
        <v>28</v>
      </c>
      <c r="P157" s="4" t="s">
        <v>57</v>
      </c>
      <c r="Q157" s="5" t="s">
        <v>30</v>
      </c>
    </row>
    <row r="158" spans="1:17">
      <c r="A158" s="1" t="s">
        <v>541</v>
      </c>
      <c r="B158" s="2" t="s">
        <v>32</v>
      </c>
      <c r="C158" s="2" t="s">
        <v>542</v>
      </c>
      <c r="D158" s="2" t="s">
        <v>543</v>
      </c>
      <c r="E158" s="2" t="s">
        <v>21</v>
      </c>
      <c r="F158" s="2" t="s">
        <v>69</v>
      </c>
      <c r="G158" s="2" t="s">
        <v>23</v>
      </c>
      <c r="H158" s="2" t="s">
        <v>70</v>
      </c>
      <c r="I158" s="2" t="s">
        <v>25</v>
      </c>
      <c r="J158" s="2">
        <v>14.3</v>
      </c>
      <c r="K158" s="2">
        <v>24</v>
      </c>
      <c r="L158" s="2" t="s">
        <v>26</v>
      </c>
      <c r="M158" s="2">
        <v>4</v>
      </c>
      <c r="N158" s="2" t="s">
        <v>27</v>
      </c>
      <c r="O158" s="2" t="s">
        <v>28</v>
      </c>
      <c r="P158" s="2" t="s">
        <v>29</v>
      </c>
      <c r="Q158" s="6" t="s">
        <v>101</v>
      </c>
    </row>
    <row r="159" spans="1:17">
      <c r="A159" s="3" t="s">
        <v>544</v>
      </c>
      <c r="B159" s="4" t="s">
        <v>60</v>
      </c>
      <c r="C159" s="4" t="s">
        <v>545</v>
      </c>
      <c r="D159" s="4" t="s">
        <v>546</v>
      </c>
      <c r="E159" s="4" t="s">
        <v>84</v>
      </c>
      <c r="F159" s="4" t="s">
        <v>85</v>
      </c>
      <c r="G159" s="4" t="s">
        <v>23</v>
      </c>
      <c r="H159" s="4" t="s">
        <v>55</v>
      </c>
      <c r="I159" s="4" t="s">
        <v>87</v>
      </c>
      <c r="J159" s="4">
        <v>5.3</v>
      </c>
      <c r="K159" s="4">
        <v>24</v>
      </c>
      <c r="L159" s="4" t="s">
        <v>26</v>
      </c>
      <c r="M159" s="4">
        <v>4</v>
      </c>
      <c r="N159" s="4" t="s">
        <v>27</v>
      </c>
      <c r="O159" s="4" t="s">
        <v>28</v>
      </c>
      <c r="P159" s="4" t="s">
        <v>29</v>
      </c>
      <c r="Q159" s="5" t="s">
        <v>101</v>
      </c>
    </row>
    <row r="160" spans="1:17">
      <c r="A160" s="1" t="s">
        <v>547</v>
      </c>
      <c r="B160" s="2" t="s">
        <v>18</v>
      </c>
      <c r="C160" s="2" t="s">
        <v>548</v>
      </c>
      <c r="D160" s="2" t="s">
        <v>549</v>
      </c>
      <c r="E160" s="2" t="s">
        <v>78</v>
      </c>
      <c r="F160" s="2" t="s">
        <v>166</v>
      </c>
      <c r="G160" s="2" t="s">
        <v>54</v>
      </c>
      <c r="H160" s="2" t="s">
        <v>37</v>
      </c>
      <c r="I160" s="2" t="s">
        <v>80</v>
      </c>
      <c r="J160" s="2">
        <v>17</v>
      </c>
      <c r="K160" s="2">
        <v>4</v>
      </c>
      <c r="L160" s="2" t="s">
        <v>27</v>
      </c>
      <c r="M160" s="2">
        <v>2</v>
      </c>
      <c r="N160" s="2" t="s">
        <v>26</v>
      </c>
      <c r="O160" s="2" t="s">
        <v>28</v>
      </c>
      <c r="P160" s="2" t="s">
        <v>1670</v>
      </c>
      <c r="Q160" s="6" t="s">
        <v>101</v>
      </c>
    </row>
    <row r="161" spans="1:17">
      <c r="A161" s="3" t="s">
        <v>550</v>
      </c>
      <c r="B161" s="4" t="s">
        <v>60</v>
      </c>
      <c r="C161" s="4" t="s">
        <v>551</v>
      </c>
      <c r="D161" s="4" t="s">
        <v>552</v>
      </c>
      <c r="E161" s="4" t="s">
        <v>78</v>
      </c>
      <c r="F161" s="4" t="s">
        <v>79</v>
      </c>
      <c r="G161" s="4" t="s">
        <v>54</v>
      </c>
      <c r="H161" s="4" t="s">
        <v>37</v>
      </c>
      <c r="I161" s="4" t="s">
        <v>80</v>
      </c>
      <c r="J161" s="4">
        <v>13.8</v>
      </c>
      <c r="K161" s="4">
        <v>4</v>
      </c>
      <c r="L161" s="4" t="s">
        <v>27</v>
      </c>
      <c r="M161" s="4">
        <v>3</v>
      </c>
      <c r="N161" s="4" t="s">
        <v>27</v>
      </c>
      <c r="O161" s="4" t="s">
        <v>28</v>
      </c>
      <c r="P161" s="4" t="s">
        <v>1670</v>
      </c>
      <c r="Q161" s="5" t="s">
        <v>101</v>
      </c>
    </row>
    <row r="162" spans="1:17">
      <c r="A162" s="1" t="s">
        <v>553</v>
      </c>
      <c r="B162" s="2" t="s">
        <v>106</v>
      </c>
      <c r="C162" s="2" t="s">
        <v>554</v>
      </c>
      <c r="D162" s="2" t="s">
        <v>555</v>
      </c>
      <c r="E162" s="2" t="s">
        <v>78</v>
      </c>
      <c r="F162" s="2" t="s">
        <v>79</v>
      </c>
      <c r="G162" s="2" t="s">
        <v>23</v>
      </c>
      <c r="H162" s="2" t="s">
        <v>91</v>
      </c>
      <c r="I162" s="2" t="s">
        <v>80</v>
      </c>
      <c r="J162" s="2">
        <v>15.4</v>
      </c>
      <c r="K162" s="2">
        <v>24</v>
      </c>
      <c r="L162" s="2" t="s">
        <v>26</v>
      </c>
      <c r="M162" s="2">
        <v>4</v>
      </c>
      <c r="N162" s="2" t="s">
        <v>27</v>
      </c>
      <c r="O162" s="2" t="s">
        <v>28</v>
      </c>
      <c r="P162" s="2" t="s">
        <v>29</v>
      </c>
      <c r="Q162" s="6" t="s">
        <v>30</v>
      </c>
    </row>
    <row r="163" spans="1:17">
      <c r="A163" s="3" t="s">
        <v>556</v>
      </c>
      <c r="B163" s="4" t="s">
        <v>32</v>
      </c>
      <c r="C163" s="4" t="s">
        <v>557</v>
      </c>
      <c r="D163" s="4" t="s">
        <v>558</v>
      </c>
      <c r="E163" s="4" t="s">
        <v>21</v>
      </c>
      <c r="F163" s="4" t="s">
        <v>22</v>
      </c>
      <c r="G163" s="4" t="s">
        <v>23</v>
      </c>
      <c r="H163" s="4" t="s">
        <v>138</v>
      </c>
      <c r="I163" s="4" t="s">
        <v>25</v>
      </c>
      <c r="J163" s="4">
        <v>7</v>
      </c>
      <c r="K163" s="4">
        <v>24</v>
      </c>
      <c r="L163" s="4" t="s">
        <v>27</v>
      </c>
      <c r="M163" s="4">
        <v>1</v>
      </c>
      <c r="N163" s="4" t="s">
        <v>27</v>
      </c>
      <c r="O163" s="4" t="s">
        <v>28</v>
      </c>
      <c r="P163" s="4" t="s">
        <v>1670</v>
      </c>
      <c r="Q163" s="5" t="s">
        <v>39</v>
      </c>
    </row>
    <row r="164" spans="1:17">
      <c r="A164" s="1" t="s">
        <v>559</v>
      </c>
      <c r="B164" s="2" t="s">
        <v>135</v>
      </c>
      <c r="C164" s="2" t="s">
        <v>560</v>
      </c>
      <c r="D164" s="2" t="s">
        <v>561</v>
      </c>
      <c r="E164" s="2" t="s">
        <v>21</v>
      </c>
      <c r="F164" s="2" t="s">
        <v>69</v>
      </c>
      <c r="G164" s="2" t="s">
        <v>46</v>
      </c>
      <c r="H164" s="2" t="s">
        <v>64</v>
      </c>
      <c r="I164" s="2" t="s">
        <v>25</v>
      </c>
      <c r="J164" s="2">
        <v>5.2</v>
      </c>
      <c r="K164" s="2">
        <v>8</v>
      </c>
      <c r="L164" s="2" t="s">
        <v>26</v>
      </c>
      <c r="M164" s="2">
        <v>4</v>
      </c>
      <c r="N164" s="2" t="s">
        <v>27</v>
      </c>
      <c r="O164" s="2" t="s">
        <v>28</v>
      </c>
      <c r="P164" s="2" t="s">
        <v>29</v>
      </c>
      <c r="Q164" s="6" t="s">
        <v>58</v>
      </c>
    </row>
    <row r="165" spans="1:17">
      <c r="A165" s="3" t="s">
        <v>562</v>
      </c>
      <c r="B165" s="4" t="s">
        <v>50</v>
      </c>
      <c r="C165" s="4" t="s">
        <v>563</v>
      </c>
      <c r="D165" s="4" t="s">
        <v>564</v>
      </c>
      <c r="E165" s="4" t="s">
        <v>78</v>
      </c>
      <c r="F165" s="4" t="s">
        <v>166</v>
      </c>
      <c r="G165" s="4" t="s">
        <v>23</v>
      </c>
      <c r="H165" s="4" t="s">
        <v>91</v>
      </c>
      <c r="I165" s="4" t="s">
        <v>80</v>
      </c>
      <c r="J165" s="4">
        <v>19.5</v>
      </c>
      <c r="K165" s="4">
        <v>24</v>
      </c>
      <c r="L165" s="4" t="s">
        <v>26</v>
      </c>
      <c r="M165" s="4">
        <v>4</v>
      </c>
      <c r="N165" s="4" t="s">
        <v>27</v>
      </c>
      <c r="O165" s="4" t="s">
        <v>28</v>
      </c>
      <c r="P165" s="4" t="s">
        <v>29</v>
      </c>
      <c r="Q165" s="5" t="s">
        <v>101</v>
      </c>
    </row>
    <row r="166" spans="1:17">
      <c r="A166" s="1" t="s">
        <v>565</v>
      </c>
      <c r="B166" s="2" t="s">
        <v>41</v>
      </c>
      <c r="C166" s="2" t="s">
        <v>566</v>
      </c>
      <c r="D166" s="2" t="s">
        <v>567</v>
      </c>
      <c r="E166" s="2" t="s">
        <v>78</v>
      </c>
      <c r="F166" s="2" t="s">
        <v>191</v>
      </c>
      <c r="G166" s="2" t="s">
        <v>46</v>
      </c>
      <c r="H166" s="2" t="s">
        <v>70</v>
      </c>
      <c r="I166" s="2" t="s">
        <v>38</v>
      </c>
      <c r="J166" s="2">
        <v>17</v>
      </c>
      <c r="K166" s="2">
        <v>8</v>
      </c>
      <c r="L166" s="2" t="s">
        <v>27</v>
      </c>
      <c r="M166" s="2">
        <v>3</v>
      </c>
      <c r="N166" s="2" t="s">
        <v>27</v>
      </c>
      <c r="O166" s="2" t="s">
        <v>28</v>
      </c>
      <c r="P166" s="2" t="s">
        <v>1670</v>
      </c>
      <c r="Q166" s="6" t="s">
        <v>58</v>
      </c>
    </row>
    <row r="167" spans="1:17">
      <c r="A167" s="3" t="s">
        <v>568</v>
      </c>
      <c r="B167" s="4" t="s">
        <v>135</v>
      </c>
      <c r="C167" s="4" t="s">
        <v>569</v>
      </c>
      <c r="D167" s="4" t="s">
        <v>570</v>
      </c>
      <c r="E167" s="4" t="s">
        <v>78</v>
      </c>
      <c r="F167" s="4" t="s">
        <v>191</v>
      </c>
      <c r="G167" s="4" t="s">
        <v>46</v>
      </c>
      <c r="H167" s="4" t="s">
        <v>47</v>
      </c>
      <c r="I167" s="4" t="s">
        <v>38</v>
      </c>
      <c r="J167" s="4">
        <v>12.3</v>
      </c>
      <c r="K167" s="4">
        <v>8</v>
      </c>
      <c r="L167" s="4" t="s">
        <v>27</v>
      </c>
      <c r="M167" s="4">
        <v>3</v>
      </c>
      <c r="N167" s="4" t="s">
        <v>27</v>
      </c>
      <c r="O167" s="4" t="s">
        <v>28</v>
      </c>
      <c r="P167" s="4" t="s">
        <v>57</v>
      </c>
      <c r="Q167" s="5" t="s">
        <v>30</v>
      </c>
    </row>
    <row r="168" spans="1:17">
      <c r="A168" s="1" t="s">
        <v>571</v>
      </c>
      <c r="B168" s="2" t="s">
        <v>121</v>
      </c>
      <c r="C168" s="2" t="s">
        <v>572</v>
      </c>
      <c r="D168" s="2" t="s">
        <v>573</v>
      </c>
      <c r="E168" s="2" t="s">
        <v>78</v>
      </c>
      <c r="F168" s="2" t="s">
        <v>79</v>
      </c>
      <c r="G168" s="2" t="s">
        <v>54</v>
      </c>
      <c r="H168" s="2" t="s">
        <v>47</v>
      </c>
      <c r="I168" s="2" t="s">
        <v>80</v>
      </c>
      <c r="J168" s="2">
        <v>9.4</v>
      </c>
      <c r="K168" s="2">
        <v>4</v>
      </c>
      <c r="L168" s="2" t="s">
        <v>27</v>
      </c>
      <c r="M168" s="2">
        <v>1</v>
      </c>
      <c r="N168" s="2" t="s">
        <v>26</v>
      </c>
      <c r="O168" s="2" t="s">
        <v>28</v>
      </c>
      <c r="P168" s="2" t="s">
        <v>57</v>
      </c>
      <c r="Q168" s="6" t="s">
        <v>30</v>
      </c>
    </row>
    <row r="169" spans="1:17">
      <c r="A169" s="3" t="s">
        <v>574</v>
      </c>
      <c r="B169" s="4" t="s">
        <v>32</v>
      </c>
      <c r="C169" s="4" t="s">
        <v>575</v>
      </c>
      <c r="D169" s="4" t="s">
        <v>576</v>
      </c>
      <c r="E169" s="4" t="s">
        <v>21</v>
      </c>
      <c r="F169" s="4" t="s">
        <v>22</v>
      </c>
      <c r="G169" s="4" t="s">
        <v>46</v>
      </c>
      <c r="H169" s="4" t="s">
        <v>86</v>
      </c>
      <c r="I169" s="4" t="s">
        <v>25</v>
      </c>
      <c r="J169" s="4">
        <v>7.2</v>
      </c>
      <c r="K169" s="4">
        <v>8</v>
      </c>
      <c r="L169" s="4" t="s">
        <v>26</v>
      </c>
      <c r="M169" s="4">
        <v>4</v>
      </c>
      <c r="N169" s="4" t="s">
        <v>27</v>
      </c>
      <c r="O169" s="4" t="s">
        <v>28</v>
      </c>
      <c r="P169" s="4" t="s">
        <v>29</v>
      </c>
      <c r="Q169" s="5" t="s">
        <v>58</v>
      </c>
    </row>
    <row r="170" spans="1:17">
      <c r="A170" s="1" t="s">
        <v>577</v>
      </c>
      <c r="B170" s="2" t="s">
        <v>32</v>
      </c>
      <c r="C170" s="2" t="s">
        <v>578</v>
      </c>
      <c r="D170" s="2" t="s">
        <v>579</v>
      </c>
      <c r="E170" s="2" t="s">
        <v>84</v>
      </c>
      <c r="F170" s="2" t="s">
        <v>116</v>
      </c>
      <c r="G170" s="2" t="s">
        <v>46</v>
      </c>
      <c r="H170" s="2" t="s">
        <v>47</v>
      </c>
      <c r="I170" s="2" t="s">
        <v>87</v>
      </c>
      <c r="J170" s="2">
        <v>5.7</v>
      </c>
      <c r="K170" s="2">
        <v>8</v>
      </c>
      <c r="L170" s="2" t="s">
        <v>26</v>
      </c>
      <c r="M170" s="2">
        <v>4</v>
      </c>
      <c r="N170" s="2" t="s">
        <v>27</v>
      </c>
      <c r="O170" s="2" t="s">
        <v>28</v>
      </c>
      <c r="P170" s="2" t="s">
        <v>29</v>
      </c>
      <c r="Q170" s="6" t="s">
        <v>58</v>
      </c>
    </row>
    <row r="171" spans="1:17">
      <c r="A171" s="3" t="s">
        <v>580</v>
      </c>
      <c r="B171" s="4" t="s">
        <v>60</v>
      </c>
      <c r="C171" s="4" t="s">
        <v>581</v>
      </c>
      <c r="D171" s="4" t="s">
        <v>582</v>
      </c>
      <c r="E171" s="4" t="s">
        <v>21</v>
      </c>
      <c r="F171" s="4" t="s">
        <v>22</v>
      </c>
      <c r="G171" s="4" t="s">
        <v>54</v>
      </c>
      <c r="H171" s="4" t="s">
        <v>91</v>
      </c>
      <c r="I171" s="4" t="s">
        <v>25</v>
      </c>
      <c r="J171" s="4">
        <v>11</v>
      </c>
      <c r="K171" s="4">
        <v>4</v>
      </c>
      <c r="L171" s="4" t="s">
        <v>27</v>
      </c>
      <c r="M171" s="4">
        <v>2</v>
      </c>
      <c r="N171" s="4" t="s">
        <v>27</v>
      </c>
      <c r="O171" s="4" t="s">
        <v>28</v>
      </c>
      <c r="P171" s="4" t="s">
        <v>57</v>
      </c>
      <c r="Q171" s="5" t="s">
        <v>30</v>
      </c>
    </row>
    <row r="172" spans="1:17">
      <c r="A172" s="1" t="s">
        <v>583</v>
      </c>
      <c r="B172" s="2" t="s">
        <v>41</v>
      </c>
      <c r="C172" s="2" t="s">
        <v>584</v>
      </c>
      <c r="D172" s="2" t="s">
        <v>585</v>
      </c>
      <c r="E172" s="2" t="s">
        <v>21</v>
      </c>
      <c r="F172" s="2" t="s">
        <v>63</v>
      </c>
      <c r="G172" s="2" t="s">
        <v>23</v>
      </c>
      <c r="H172" s="2" t="s">
        <v>138</v>
      </c>
      <c r="I172" s="2" t="s">
        <v>25</v>
      </c>
      <c r="J172" s="2">
        <v>9.6</v>
      </c>
      <c r="K172" s="2">
        <v>24</v>
      </c>
      <c r="L172" s="2" t="s">
        <v>26</v>
      </c>
      <c r="M172" s="2">
        <v>5</v>
      </c>
      <c r="N172" s="2" t="s">
        <v>27</v>
      </c>
      <c r="O172" s="2" t="s">
        <v>28</v>
      </c>
      <c r="P172" s="2" t="s">
        <v>29</v>
      </c>
      <c r="Q172" s="6" t="s">
        <v>58</v>
      </c>
    </row>
    <row r="173" spans="1:17">
      <c r="A173" s="3" t="s">
        <v>586</v>
      </c>
      <c r="B173" s="4" t="s">
        <v>75</v>
      </c>
      <c r="C173" s="4" t="s">
        <v>587</v>
      </c>
      <c r="D173" s="4" t="s">
        <v>588</v>
      </c>
      <c r="E173" s="4" t="s">
        <v>44</v>
      </c>
      <c r="F173" s="4" t="s">
        <v>109</v>
      </c>
      <c r="G173" s="4" t="s">
        <v>46</v>
      </c>
      <c r="H173" s="4" t="s">
        <v>70</v>
      </c>
      <c r="I173" s="4" t="s">
        <v>48</v>
      </c>
      <c r="J173" s="4">
        <v>3.7</v>
      </c>
      <c r="K173" s="4">
        <v>8</v>
      </c>
      <c r="L173" s="4" t="s">
        <v>26</v>
      </c>
      <c r="M173" s="4">
        <v>5</v>
      </c>
      <c r="N173" s="4" t="s">
        <v>27</v>
      </c>
      <c r="O173" s="4" t="s">
        <v>28</v>
      </c>
      <c r="P173" s="4" t="s">
        <v>29</v>
      </c>
      <c r="Q173" s="5" t="s">
        <v>30</v>
      </c>
    </row>
    <row r="174" spans="1:17">
      <c r="A174" s="1" t="s">
        <v>589</v>
      </c>
      <c r="B174" s="2" t="s">
        <v>60</v>
      </c>
      <c r="C174" s="2" t="s">
        <v>590</v>
      </c>
      <c r="D174" s="2" t="s">
        <v>591</v>
      </c>
      <c r="E174" s="2" t="s">
        <v>44</v>
      </c>
      <c r="F174" s="2" t="s">
        <v>45</v>
      </c>
      <c r="G174" s="2" t="s">
        <v>23</v>
      </c>
      <c r="H174" s="2" t="s">
        <v>55</v>
      </c>
      <c r="I174" s="2" t="s">
        <v>48</v>
      </c>
      <c r="J174" s="2">
        <v>2.5</v>
      </c>
      <c r="K174" s="2">
        <v>24</v>
      </c>
      <c r="L174" s="2" t="s">
        <v>26</v>
      </c>
      <c r="M174" s="2">
        <v>5</v>
      </c>
      <c r="N174" s="2" t="s">
        <v>27</v>
      </c>
      <c r="O174" s="2" t="s">
        <v>28</v>
      </c>
      <c r="P174" s="2" t="s">
        <v>29</v>
      </c>
      <c r="Q174" s="6" t="s">
        <v>30</v>
      </c>
    </row>
    <row r="175" spans="1:17">
      <c r="A175" s="3" t="s">
        <v>592</v>
      </c>
      <c r="B175" s="4" t="s">
        <v>50</v>
      </c>
      <c r="C175" s="4" t="s">
        <v>593</v>
      </c>
      <c r="D175" s="4" t="s">
        <v>594</v>
      </c>
      <c r="E175" s="4" t="s">
        <v>21</v>
      </c>
      <c r="F175" s="4" t="s">
        <v>22</v>
      </c>
      <c r="G175" s="4" t="s">
        <v>23</v>
      </c>
      <c r="H175" s="4" t="s">
        <v>138</v>
      </c>
      <c r="I175" s="4" t="s">
        <v>25</v>
      </c>
      <c r="J175" s="4">
        <v>6</v>
      </c>
      <c r="K175" s="4">
        <v>24</v>
      </c>
      <c r="L175" s="4" t="s">
        <v>26</v>
      </c>
      <c r="M175" s="4">
        <v>5</v>
      </c>
      <c r="N175" s="4" t="s">
        <v>27</v>
      </c>
      <c r="O175" s="4" t="s">
        <v>28</v>
      </c>
      <c r="P175" s="4" t="s">
        <v>29</v>
      </c>
      <c r="Q175" s="5" t="s">
        <v>58</v>
      </c>
    </row>
    <row r="176" spans="1:17">
      <c r="A176" s="1" t="s">
        <v>595</v>
      </c>
      <c r="B176" s="2" t="s">
        <v>50</v>
      </c>
      <c r="C176" s="2" t="s">
        <v>596</v>
      </c>
      <c r="D176" s="2" t="s">
        <v>597</v>
      </c>
      <c r="E176" s="2" t="s">
        <v>21</v>
      </c>
      <c r="F176" s="2" t="s">
        <v>69</v>
      </c>
      <c r="G176" s="2" t="s">
        <v>46</v>
      </c>
      <c r="H176" s="2" t="s">
        <v>37</v>
      </c>
      <c r="I176" s="2" t="s">
        <v>25</v>
      </c>
      <c r="J176" s="2">
        <v>8.8000000000000007</v>
      </c>
      <c r="K176" s="2">
        <v>8</v>
      </c>
      <c r="L176" s="2" t="s">
        <v>27</v>
      </c>
      <c r="M176" s="2">
        <v>3</v>
      </c>
      <c r="N176" s="2" t="s">
        <v>27</v>
      </c>
      <c r="O176" s="2" t="s">
        <v>28</v>
      </c>
      <c r="P176" s="2" t="s">
        <v>1670</v>
      </c>
      <c r="Q176" s="6" t="s">
        <v>30</v>
      </c>
    </row>
    <row r="177" spans="1:17">
      <c r="A177" s="3" t="s">
        <v>598</v>
      </c>
      <c r="B177" s="4" t="s">
        <v>106</v>
      </c>
      <c r="C177" s="4" t="s">
        <v>599</v>
      </c>
      <c r="D177" s="4" t="s">
        <v>600</v>
      </c>
      <c r="E177" s="4" t="s">
        <v>21</v>
      </c>
      <c r="F177" s="4" t="s">
        <v>22</v>
      </c>
      <c r="G177" s="4" t="s">
        <v>46</v>
      </c>
      <c r="H177" s="4" t="s">
        <v>234</v>
      </c>
      <c r="I177" s="4" t="s">
        <v>25</v>
      </c>
      <c r="J177" s="4">
        <v>11.5</v>
      </c>
      <c r="K177" s="4">
        <v>8</v>
      </c>
      <c r="L177" s="4" t="s">
        <v>27</v>
      </c>
      <c r="M177" s="4">
        <v>2</v>
      </c>
      <c r="N177" s="4" t="s">
        <v>27</v>
      </c>
      <c r="O177" s="4" t="s">
        <v>28</v>
      </c>
      <c r="P177" s="4" t="s">
        <v>1670</v>
      </c>
      <c r="Q177" s="5" t="s">
        <v>39</v>
      </c>
    </row>
    <row r="178" spans="1:17">
      <c r="A178" s="1" t="s">
        <v>601</v>
      </c>
      <c r="B178" s="2" t="s">
        <v>66</v>
      </c>
      <c r="C178" s="2" t="s">
        <v>602</v>
      </c>
      <c r="D178" s="2" t="s">
        <v>603</v>
      </c>
      <c r="E178" s="2" t="s">
        <v>21</v>
      </c>
      <c r="F178" s="2" t="s">
        <v>63</v>
      </c>
      <c r="G178" s="2" t="s">
        <v>54</v>
      </c>
      <c r="H178" s="2" t="s">
        <v>47</v>
      </c>
      <c r="I178" s="2" t="s">
        <v>25</v>
      </c>
      <c r="J178" s="2">
        <v>5.5</v>
      </c>
      <c r="K178" s="2">
        <v>4</v>
      </c>
      <c r="L178" s="2" t="s">
        <v>27</v>
      </c>
      <c r="M178" s="2">
        <v>1</v>
      </c>
      <c r="N178" s="2" t="s">
        <v>26</v>
      </c>
      <c r="O178" s="2" t="s">
        <v>28</v>
      </c>
      <c r="P178" s="2" t="s">
        <v>1670</v>
      </c>
      <c r="Q178" s="6" t="s">
        <v>58</v>
      </c>
    </row>
    <row r="179" spans="1:17">
      <c r="A179" s="3" t="s">
        <v>604</v>
      </c>
      <c r="B179" s="4" t="s">
        <v>135</v>
      </c>
      <c r="C179" s="4" t="s">
        <v>605</v>
      </c>
      <c r="D179" s="4" t="s">
        <v>606</v>
      </c>
      <c r="E179" s="4" t="s">
        <v>35</v>
      </c>
      <c r="F179" s="4" t="s">
        <v>53</v>
      </c>
      <c r="G179" s="4" t="s">
        <v>46</v>
      </c>
      <c r="H179" s="4" t="s">
        <v>86</v>
      </c>
      <c r="I179" s="4" t="s">
        <v>56</v>
      </c>
      <c r="J179" s="4">
        <v>12</v>
      </c>
      <c r="K179" s="4">
        <v>8</v>
      </c>
      <c r="L179" s="4" t="s">
        <v>27</v>
      </c>
      <c r="M179" s="4">
        <v>3</v>
      </c>
      <c r="N179" s="4" t="s">
        <v>26</v>
      </c>
      <c r="O179" s="4" t="s">
        <v>28</v>
      </c>
      <c r="P179" s="4" t="s">
        <v>57</v>
      </c>
      <c r="Q179" s="5" t="s">
        <v>101</v>
      </c>
    </row>
    <row r="180" spans="1:17">
      <c r="A180" s="1" t="s">
        <v>607</v>
      </c>
      <c r="B180" s="2" t="s">
        <v>121</v>
      </c>
      <c r="C180" s="2" t="s">
        <v>608</v>
      </c>
      <c r="D180" s="2" t="s">
        <v>609</v>
      </c>
      <c r="E180" s="2" t="s">
        <v>84</v>
      </c>
      <c r="F180" s="2" t="s">
        <v>85</v>
      </c>
      <c r="G180" s="2" t="s">
        <v>46</v>
      </c>
      <c r="H180" s="2" t="s">
        <v>64</v>
      </c>
      <c r="I180" s="2" t="s">
        <v>87</v>
      </c>
      <c r="J180" s="2">
        <v>3.3</v>
      </c>
      <c r="K180" s="2">
        <v>8</v>
      </c>
      <c r="L180" s="2" t="s">
        <v>26</v>
      </c>
      <c r="M180" s="2">
        <v>4</v>
      </c>
      <c r="N180" s="2" t="s">
        <v>27</v>
      </c>
      <c r="O180" s="2" t="s">
        <v>28</v>
      </c>
      <c r="P180" s="2" t="s">
        <v>29</v>
      </c>
      <c r="Q180" s="6" t="s">
        <v>101</v>
      </c>
    </row>
    <row r="181" spans="1:17">
      <c r="A181" s="3" t="s">
        <v>610</v>
      </c>
      <c r="B181" s="4" t="s">
        <v>32</v>
      </c>
      <c r="C181" s="4" t="s">
        <v>611</v>
      </c>
      <c r="D181" s="4" t="s">
        <v>612</v>
      </c>
      <c r="E181" s="4" t="s">
        <v>21</v>
      </c>
      <c r="F181" s="4" t="s">
        <v>22</v>
      </c>
      <c r="G181" s="4" t="s">
        <v>23</v>
      </c>
      <c r="H181" s="4" t="s">
        <v>24</v>
      </c>
      <c r="I181" s="4" t="s">
        <v>25</v>
      </c>
      <c r="J181" s="4">
        <v>15.1</v>
      </c>
      <c r="K181" s="4">
        <v>24</v>
      </c>
      <c r="L181" s="4" t="s">
        <v>26</v>
      </c>
      <c r="M181" s="4">
        <v>4</v>
      </c>
      <c r="N181" s="4" t="s">
        <v>27</v>
      </c>
      <c r="O181" s="4" t="s">
        <v>28</v>
      </c>
      <c r="P181" s="4" t="s">
        <v>29</v>
      </c>
      <c r="Q181" s="5" t="s">
        <v>30</v>
      </c>
    </row>
    <row r="182" spans="1:17">
      <c r="A182" s="1" t="s">
        <v>613</v>
      </c>
      <c r="B182" s="2" t="s">
        <v>18</v>
      </c>
      <c r="C182" s="2" t="s">
        <v>614</v>
      </c>
      <c r="D182" s="2" t="s">
        <v>615</v>
      </c>
      <c r="E182" s="2" t="s">
        <v>21</v>
      </c>
      <c r="F182" s="2" t="s">
        <v>69</v>
      </c>
      <c r="G182" s="2" t="s">
        <v>23</v>
      </c>
      <c r="H182" s="2" t="s">
        <v>70</v>
      </c>
      <c r="I182" s="2" t="s">
        <v>25</v>
      </c>
      <c r="J182" s="2">
        <v>7.9</v>
      </c>
      <c r="K182" s="2">
        <v>24</v>
      </c>
      <c r="L182" s="2" t="s">
        <v>26</v>
      </c>
      <c r="M182" s="2">
        <v>4</v>
      </c>
      <c r="N182" s="2" t="s">
        <v>27</v>
      </c>
      <c r="O182" s="2" t="s">
        <v>28</v>
      </c>
      <c r="P182" s="2" t="s">
        <v>29</v>
      </c>
      <c r="Q182" s="6" t="s">
        <v>30</v>
      </c>
    </row>
    <row r="183" spans="1:17">
      <c r="A183" s="3" t="s">
        <v>616</v>
      </c>
      <c r="B183" s="4" t="s">
        <v>75</v>
      </c>
      <c r="C183" s="4" t="s">
        <v>617</v>
      </c>
      <c r="D183" s="4" t="s">
        <v>618</v>
      </c>
      <c r="E183" s="4" t="s">
        <v>21</v>
      </c>
      <c r="F183" s="4" t="s">
        <v>63</v>
      </c>
      <c r="G183" s="4" t="s">
        <v>46</v>
      </c>
      <c r="H183" s="4" t="s">
        <v>64</v>
      </c>
      <c r="I183" s="4" t="s">
        <v>25</v>
      </c>
      <c r="J183" s="4">
        <v>9</v>
      </c>
      <c r="K183" s="4">
        <v>8</v>
      </c>
      <c r="L183" s="4" t="s">
        <v>27</v>
      </c>
      <c r="M183" s="4">
        <v>3</v>
      </c>
      <c r="N183" s="4" t="s">
        <v>26</v>
      </c>
      <c r="O183" s="4" t="s">
        <v>28</v>
      </c>
      <c r="P183" s="4" t="s">
        <v>57</v>
      </c>
      <c r="Q183" s="5" t="s">
        <v>58</v>
      </c>
    </row>
    <row r="184" spans="1:17">
      <c r="A184" s="1" t="s">
        <v>619</v>
      </c>
      <c r="B184" s="2" t="s">
        <v>75</v>
      </c>
      <c r="C184" s="2" t="s">
        <v>620</v>
      </c>
      <c r="D184" s="2" t="s">
        <v>621</v>
      </c>
      <c r="E184" s="2" t="s">
        <v>21</v>
      </c>
      <c r="F184" s="2" t="s">
        <v>63</v>
      </c>
      <c r="G184" s="2" t="s">
        <v>46</v>
      </c>
      <c r="H184" s="2" t="s">
        <v>91</v>
      </c>
      <c r="I184" s="2" t="s">
        <v>25</v>
      </c>
      <c r="J184" s="2">
        <v>6.7</v>
      </c>
      <c r="K184" s="2">
        <v>8</v>
      </c>
      <c r="L184" s="2" t="s">
        <v>27</v>
      </c>
      <c r="M184" s="2">
        <v>1</v>
      </c>
      <c r="N184" s="2" t="s">
        <v>27</v>
      </c>
      <c r="O184" s="2" t="s">
        <v>28</v>
      </c>
      <c r="P184" s="2" t="s">
        <v>1670</v>
      </c>
      <c r="Q184" s="6" t="s">
        <v>39</v>
      </c>
    </row>
    <row r="185" spans="1:17">
      <c r="A185" s="3" t="s">
        <v>622</v>
      </c>
      <c r="B185" s="4" t="s">
        <v>106</v>
      </c>
      <c r="C185" s="4" t="s">
        <v>623</v>
      </c>
      <c r="D185" s="4" t="s">
        <v>434</v>
      </c>
      <c r="E185" s="4" t="s">
        <v>21</v>
      </c>
      <c r="F185" s="4" t="s">
        <v>69</v>
      </c>
      <c r="G185" s="4" t="s">
        <v>46</v>
      </c>
      <c r="H185" s="4" t="s">
        <v>64</v>
      </c>
      <c r="I185" s="4" t="s">
        <v>25</v>
      </c>
      <c r="J185" s="4">
        <v>4.7</v>
      </c>
      <c r="K185" s="4">
        <v>8</v>
      </c>
      <c r="L185" s="4" t="s">
        <v>26</v>
      </c>
      <c r="M185" s="4">
        <v>4</v>
      </c>
      <c r="N185" s="4" t="s">
        <v>27</v>
      </c>
      <c r="O185" s="4" t="s">
        <v>28</v>
      </c>
      <c r="P185" s="4" t="s">
        <v>29</v>
      </c>
      <c r="Q185" s="5" t="s">
        <v>39</v>
      </c>
    </row>
    <row r="186" spans="1:17">
      <c r="A186" s="1" t="s">
        <v>624</v>
      </c>
      <c r="B186" s="2" t="s">
        <v>18</v>
      </c>
      <c r="C186" s="2" t="s">
        <v>625</v>
      </c>
      <c r="D186" s="2" t="s">
        <v>626</v>
      </c>
      <c r="E186" s="2" t="s">
        <v>44</v>
      </c>
      <c r="F186" s="2" t="s">
        <v>109</v>
      </c>
      <c r="G186" s="2" t="s">
        <v>46</v>
      </c>
      <c r="H186" s="2" t="s">
        <v>55</v>
      </c>
      <c r="I186" s="2" t="s">
        <v>48</v>
      </c>
      <c r="J186" s="2">
        <v>2.8</v>
      </c>
      <c r="K186" s="2">
        <v>8</v>
      </c>
      <c r="L186" s="2" t="s">
        <v>26</v>
      </c>
      <c r="M186" s="2">
        <v>4</v>
      </c>
      <c r="N186" s="2" t="s">
        <v>27</v>
      </c>
      <c r="O186" s="2" t="s">
        <v>28</v>
      </c>
      <c r="P186" s="2" t="s">
        <v>29</v>
      </c>
      <c r="Q186" s="6" t="s">
        <v>101</v>
      </c>
    </row>
    <row r="187" spans="1:17">
      <c r="A187" s="3" t="s">
        <v>627</v>
      </c>
      <c r="B187" s="4" t="s">
        <v>18</v>
      </c>
      <c r="C187" s="4" t="s">
        <v>628</v>
      </c>
      <c r="D187" s="4" t="s">
        <v>629</v>
      </c>
      <c r="E187" s="4" t="s">
        <v>21</v>
      </c>
      <c r="F187" s="4" t="s">
        <v>69</v>
      </c>
      <c r="G187" s="4" t="s">
        <v>46</v>
      </c>
      <c r="H187" s="4" t="s">
        <v>234</v>
      </c>
      <c r="I187" s="4" t="s">
        <v>25</v>
      </c>
      <c r="J187" s="4">
        <v>9.3000000000000007</v>
      </c>
      <c r="K187" s="4">
        <v>8</v>
      </c>
      <c r="L187" s="4" t="s">
        <v>27</v>
      </c>
      <c r="M187" s="4">
        <v>3</v>
      </c>
      <c r="N187" s="4" t="s">
        <v>26</v>
      </c>
      <c r="O187" s="4" t="s">
        <v>28</v>
      </c>
      <c r="P187" s="4" t="s">
        <v>57</v>
      </c>
      <c r="Q187" s="5" t="s">
        <v>30</v>
      </c>
    </row>
    <row r="188" spans="1:17">
      <c r="A188" s="1" t="s">
        <v>630</v>
      </c>
      <c r="B188" s="2" t="s">
        <v>121</v>
      </c>
      <c r="C188" s="2" t="s">
        <v>631</v>
      </c>
      <c r="D188" s="2" t="s">
        <v>632</v>
      </c>
      <c r="E188" s="2" t="s">
        <v>78</v>
      </c>
      <c r="F188" s="2" t="s">
        <v>191</v>
      </c>
      <c r="G188" s="2" t="s">
        <v>54</v>
      </c>
      <c r="H188" s="2" t="s">
        <v>37</v>
      </c>
      <c r="I188" s="2" t="s">
        <v>38</v>
      </c>
      <c r="J188" s="2">
        <v>11.7</v>
      </c>
      <c r="K188" s="2">
        <v>4</v>
      </c>
      <c r="L188" s="2" t="s">
        <v>27</v>
      </c>
      <c r="M188" s="2">
        <v>3</v>
      </c>
      <c r="N188" s="2" t="s">
        <v>27</v>
      </c>
      <c r="O188" s="2" t="s">
        <v>28</v>
      </c>
      <c r="P188" s="2" t="s">
        <v>1670</v>
      </c>
      <c r="Q188" s="6" t="s">
        <v>30</v>
      </c>
    </row>
    <row r="189" spans="1:17">
      <c r="A189" s="3" t="s">
        <v>633</v>
      </c>
      <c r="B189" s="4" t="s">
        <v>41</v>
      </c>
      <c r="C189" s="4" t="s">
        <v>634</v>
      </c>
      <c r="D189" s="4" t="s">
        <v>635</v>
      </c>
      <c r="E189" s="4" t="s">
        <v>78</v>
      </c>
      <c r="F189" s="4" t="s">
        <v>79</v>
      </c>
      <c r="G189" s="4" t="s">
        <v>54</v>
      </c>
      <c r="H189" s="4" t="s">
        <v>91</v>
      </c>
      <c r="I189" s="4" t="s">
        <v>80</v>
      </c>
      <c r="J189" s="4">
        <v>19.100000000000001</v>
      </c>
      <c r="K189" s="4">
        <v>4</v>
      </c>
      <c r="L189" s="4" t="s">
        <v>27</v>
      </c>
      <c r="M189" s="4">
        <v>3</v>
      </c>
      <c r="N189" s="4" t="s">
        <v>27</v>
      </c>
      <c r="O189" s="4" t="s">
        <v>28</v>
      </c>
      <c r="P189" s="4" t="s">
        <v>1670</v>
      </c>
      <c r="Q189" s="5" t="s">
        <v>101</v>
      </c>
    </row>
    <row r="190" spans="1:17">
      <c r="A190" s="1" t="s">
        <v>636</v>
      </c>
      <c r="B190" s="2" t="s">
        <v>50</v>
      </c>
      <c r="C190" s="2" t="s">
        <v>637</v>
      </c>
      <c r="D190" s="2" t="s">
        <v>638</v>
      </c>
      <c r="E190" s="2" t="s">
        <v>78</v>
      </c>
      <c r="F190" s="2" t="s">
        <v>191</v>
      </c>
      <c r="G190" s="2" t="s">
        <v>54</v>
      </c>
      <c r="H190" s="2" t="s">
        <v>47</v>
      </c>
      <c r="I190" s="2" t="s">
        <v>38</v>
      </c>
      <c r="J190" s="2">
        <v>15.5</v>
      </c>
      <c r="K190" s="2">
        <v>4</v>
      </c>
      <c r="L190" s="2" t="s">
        <v>27</v>
      </c>
      <c r="M190" s="2"/>
      <c r="N190" s="2" t="s">
        <v>27</v>
      </c>
      <c r="O190" s="2" t="s">
        <v>28</v>
      </c>
      <c r="P190" s="2" t="s">
        <v>57</v>
      </c>
      <c r="Q190" s="6" t="s">
        <v>101</v>
      </c>
    </row>
    <row r="191" spans="1:17">
      <c r="A191" s="3" t="s">
        <v>639</v>
      </c>
      <c r="B191" s="4" t="s">
        <v>32</v>
      </c>
      <c r="C191" s="4" t="s">
        <v>640</v>
      </c>
      <c r="D191" s="4" t="s">
        <v>641</v>
      </c>
      <c r="E191" s="4" t="s">
        <v>84</v>
      </c>
      <c r="F191" s="4" t="s">
        <v>85</v>
      </c>
      <c r="G191" s="4" t="s">
        <v>46</v>
      </c>
      <c r="H191" s="4" t="s">
        <v>24</v>
      </c>
      <c r="I191" s="4" t="s">
        <v>87</v>
      </c>
      <c r="J191" s="4">
        <v>13</v>
      </c>
      <c r="K191" s="4">
        <v>8</v>
      </c>
      <c r="L191" s="4" t="s">
        <v>27</v>
      </c>
      <c r="M191" s="4">
        <v>3</v>
      </c>
      <c r="N191" s="4" t="s">
        <v>27</v>
      </c>
      <c r="O191" s="4" t="s">
        <v>28</v>
      </c>
      <c r="P191" s="4" t="s">
        <v>1670</v>
      </c>
      <c r="Q191" s="5" t="s">
        <v>39</v>
      </c>
    </row>
    <row r="192" spans="1:17">
      <c r="A192" s="1" t="s">
        <v>642</v>
      </c>
      <c r="B192" s="2" t="s">
        <v>75</v>
      </c>
      <c r="C192" s="2" t="s">
        <v>643</v>
      </c>
      <c r="D192" s="2" t="s">
        <v>644</v>
      </c>
      <c r="E192" s="2" t="s">
        <v>21</v>
      </c>
      <c r="F192" s="2" t="s">
        <v>69</v>
      </c>
      <c r="G192" s="2" t="s">
        <v>46</v>
      </c>
      <c r="H192" s="2" t="s">
        <v>86</v>
      </c>
      <c r="I192" s="2" t="s">
        <v>25</v>
      </c>
      <c r="J192" s="2">
        <v>11.3</v>
      </c>
      <c r="K192" s="2">
        <v>8</v>
      </c>
      <c r="L192" s="2" t="s">
        <v>27</v>
      </c>
      <c r="M192" s="2">
        <v>2</v>
      </c>
      <c r="N192" s="2" t="s">
        <v>27</v>
      </c>
      <c r="O192" s="2" t="s">
        <v>28</v>
      </c>
      <c r="P192" s="2" t="s">
        <v>1670</v>
      </c>
      <c r="Q192" s="6" t="s">
        <v>58</v>
      </c>
    </row>
    <row r="193" spans="1:17">
      <c r="A193" s="3" t="s">
        <v>645</v>
      </c>
      <c r="B193" s="4" t="s">
        <v>135</v>
      </c>
      <c r="C193" s="4" t="s">
        <v>646</v>
      </c>
      <c r="D193" s="4" t="s">
        <v>647</v>
      </c>
      <c r="E193" s="4" t="s">
        <v>21</v>
      </c>
      <c r="F193" s="4" t="s">
        <v>22</v>
      </c>
      <c r="G193" s="4" t="s">
        <v>54</v>
      </c>
      <c r="H193" s="4" t="s">
        <v>55</v>
      </c>
      <c r="I193" s="4" t="s">
        <v>25</v>
      </c>
      <c r="J193" s="4">
        <v>7.1</v>
      </c>
      <c r="K193" s="4">
        <v>4</v>
      </c>
      <c r="L193" s="4" t="s">
        <v>27</v>
      </c>
      <c r="M193" s="4">
        <v>3</v>
      </c>
      <c r="N193" s="4" t="s">
        <v>27</v>
      </c>
      <c r="O193" s="4" t="s">
        <v>28</v>
      </c>
      <c r="P193" s="4" t="s">
        <v>1670</v>
      </c>
      <c r="Q193" s="5" t="s">
        <v>30</v>
      </c>
    </row>
    <row r="194" spans="1:17">
      <c r="A194" s="1" t="s">
        <v>648</v>
      </c>
      <c r="B194" s="2" t="s">
        <v>121</v>
      </c>
      <c r="C194" s="2" t="s">
        <v>649</v>
      </c>
      <c r="D194" s="2" t="s">
        <v>650</v>
      </c>
      <c r="E194" s="2" t="s">
        <v>84</v>
      </c>
      <c r="F194" s="2" t="s">
        <v>116</v>
      </c>
      <c r="G194" s="2" t="s">
        <v>23</v>
      </c>
      <c r="H194" s="2" t="s">
        <v>86</v>
      </c>
      <c r="I194" s="2" t="s">
        <v>87</v>
      </c>
      <c r="J194" s="2">
        <v>8.4</v>
      </c>
      <c r="K194" s="2">
        <v>24</v>
      </c>
      <c r="L194" s="2" t="s">
        <v>26</v>
      </c>
      <c r="M194" s="2">
        <v>5</v>
      </c>
      <c r="N194" s="2" t="s">
        <v>27</v>
      </c>
      <c r="O194" s="2" t="s">
        <v>28</v>
      </c>
      <c r="P194" s="2" t="s">
        <v>29</v>
      </c>
      <c r="Q194" s="6" t="s">
        <v>39</v>
      </c>
    </row>
    <row r="195" spans="1:17">
      <c r="A195" s="3" t="s">
        <v>651</v>
      </c>
      <c r="B195" s="4" t="s">
        <v>50</v>
      </c>
      <c r="C195" s="4" t="s">
        <v>652</v>
      </c>
      <c r="D195" s="4" t="s">
        <v>653</v>
      </c>
      <c r="E195" s="4" t="s">
        <v>84</v>
      </c>
      <c r="F195" s="4" t="s">
        <v>85</v>
      </c>
      <c r="G195" s="4" t="s">
        <v>46</v>
      </c>
      <c r="H195" s="4" t="s">
        <v>47</v>
      </c>
      <c r="I195" s="4" t="s">
        <v>87</v>
      </c>
      <c r="J195" s="4">
        <v>3.9</v>
      </c>
      <c r="K195" s="4">
        <v>8</v>
      </c>
      <c r="L195" s="4" t="s">
        <v>26</v>
      </c>
      <c r="M195" s="4">
        <v>4</v>
      </c>
      <c r="N195" s="4" t="s">
        <v>27</v>
      </c>
      <c r="O195" s="4" t="s">
        <v>28</v>
      </c>
      <c r="P195" s="4" t="s">
        <v>29</v>
      </c>
      <c r="Q195" s="5" t="s">
        <v>30</v>
      </c>
    </row>
    <row r="196" spans="1:17">
      <c r="A196" s="1" t="s">
        <v>654</v>
      </c>
      <c r="B196" s="2" t="s">
        <v>75</v>
      </c>
      <c r="C196" s="2" t="s">
        <v>655</v>
      </c>
      <c r="D196" s="2" t="s">
        <v>656</v>
      </c>
      <c r="E196" s="2" t="s">
        <v>21</v>
      </c>
      <c r="F196" s="2" t="s">
        <v>22</v>
      </c>
      <c r="G196" s="2" t="s">
        <v>23</v>
      </c>
      <c r="H196" s="2" t="s">
        <v>64</v>
      </c>
      <c r="I196" s="2" t="s">
        <v>25</v>
      </c>
      <c r="J196" s="2">
        <v>9.6999999999999993</v>
      </c>
      <c r="K196" s="2">
        <v>24</v>
      </c>
      <c r="L196" s="2" t="s">
        <v>26</v>
      </c>
      <c r="M196" s="2">
        <v>5</v>
      </c>
      <c r="N196" s="2" t="s">
        <v>27</v>
      </c>
      <c r="O196" s="2" t="s">
        <v>28</v>
      </c>
      <c r="P196" s="2" t="s">
        <v>29</v>
      </c>
      <c r="Q196" s="6" t="s">
        <v>30</v>
      </c>
    </row>
    <row r="197" spans="1:17">
      <c r="A197" s="3" t="s">
        <v>657</v>
      </c>
      <c r="B197" s="4" t="s">
        <v>75</v>
      </c>
      <c r="C197" s="4" t="s">
        <v>658</v>
      </c>
      <c r="D197" s="4" t="s">
        <v>659</v>
      </c>
      <c r="E197" s="4" t="s">
        <v>84</v>
      </c>
      <c r="F197" s="4" t="s">
        <v>116</v>
      </c>
      <c r="G197" s="4" t="s">
        <v>46</v>
      </c>
      <c r="H197" s="4" t="s">
        <v>91</v>
      </c>
      <c r="I197" s="4" t="s">
        <v>87</v>
      </c>
      <c r="J197" s="4">
        <v>3.9</v>
      </c>
      <c r="K197" s="4">
        <v>8</v>
      </c>
      <c r="L197" s="4" t="s">
        <v>26</v>
      </c>
      <c r="M197" s="4">
        <v>5</v>
      </c>
      <c r="N197" s="4" t="s">
        <v>27</v>
      </c>
      <c r="O197" s="4" t="s">
        <v>28</v>
      </c>
      <c r="P197" s="4" t="s">
        <v>29</v>
      </c>
      <c r="Q197" s="5" t="s">
        <v>30</v>
      </c>
    </row>
    <row r="198" spans="1:17">
      <c r="A198" s="1" t="s">
        <v>660</v>
      </c>
      <c r="B198" s="2" t="s">
        <v>60</v>
      </c>
      <c r="C198" s="2" t="s">
        <v>661</v>
      </c>
      <c r="D198" s="2" t="s">
        <v>662</v>
      </c>
      <c r="E198" s="2" t="s">
        <v>21</v>
      </c>
      <c r="F198" s="2" t="s">
        <v>22</v>
      </c>
      <c r="G198" s="2" t="s">
        <v>46</v>
      </c>
      <c r="H198" s="2" t="s">
        <v>55</v>
      </c>
      <c r="I198" s="2" t="s">
        <v>25</v>
      </c>
      <c r="J198" s="2">
        <v>9</v>
      </c>
      <c r="K198" s="2">
        <v>8</v>
      </c>
      <c r="L198" s="2" t="s">
        <v>27</v>
      </c>
      <c r="M198" s="2">
        <v>2</v>
      </c>
      <c r="N198" s="2" t="s">
        <v>27</v>
      </c>
      <c r="O198" s="2" t="s">
        <v>28</v>
      </c>
      <c r="P198" s="2" t="s">
        <v>57</v>
      </c>
      <c r="Q198" s="6" t="s">
        <v>101</v>
      </c>
    </row>
    <row r="199" spans="1:17">
      <c r="A199" s="3" t="s">
        <v>663</v>
      </c>
      <c r="B199" s="4" t="s">
        <v>66</v>
      </c>
      <c r="C199" s="4" t="s">
        <v>664</v>
      </c>
      <c r="D199" s="4" t="s">
        <v>665</v>
      </c>
      <c r="E199" s="4" t="s">
        <v>35</v>
      </c>
      <c r="F199" s="4" t="s">
        <v>127</v>
      </c>
      <c r="G199" s="4" t="s">
        <v>46</v>
      </c>
      <c r="H199" s="4" t="s">
        <v>24</v>
      </c>
      <c r="I199" s="4" t="s">
        <v>56</v>
      </c>
      <c r="J199" s="4">
        <v>12.3</v>
      </c>
      <c r="K199" s="4">
        <v>8</v>
      </c>
      <c r="L199" s="4" t="s">
        <v>27</v>
      </c>
      <c r="M199" s="4">
        <v>2</v>
      </c>
      <c r="N199" s="4" t="s">
        <v>27</v>
      </c>
      <c r="O199" s="4" t="s">
        <v>28</v>
      </c>
      <c r="P199" s="4" t="s">
        <v>57</v>
      </c>
      <c r="Q199" s="5" t="s">
        <v>30</v>
      </c>
    </row>
    <row r="200" spans="1:17">
      <c r="A200" s="1" t="s">
        <v>666</v>
      </c>
      <c r="B200" s="2" t="s">
        <v>135</v>
      </c>
      <c r="C200" s="2" t="s">
        <v>667</v>
      </c>
      <c r="D200" s="2" t="s">
        <v>668</v>
      </c>
      <c r="E200" s="2" t="s">
        <v>44</v>
      </c>
      <c r="F200" s="2" t="s">
        <v>109</v>
      </c>
      <c r="G200" s="2" t="s">
        <v>46</v>
      </c>
      <c r="H200" s="2" t="s">
        <v>37</v>
      </c>
      <c r="I200" s="2" t="s">
        <v>48</v>
      </c>
      <c r="J200" s="2">
        <v>3.2</v>
      </c>
      <c r="K200" s="2">
        <v>8</v>
      </c>
      <c r="L200" s="2" t="s">
        <v>26</v>
      </c>
      <c r="M200" s="2">
        <v>4</v>
      </c>
      <c r="N200" s="2" t="s">
        <v>27</v>
      </c>
      <c r="O200" s="2" t="s">
        <v>28</v>
      </c>
      <c r="P200" s="2" t="s">
        <v>29</v>
      </c>
      <c r="Q200" s="6" t="s">
        <v>30</v>
      </c>
    </row>
    <row r="201" spans="1:17">
      <c r="A201" s="3" t="s">
        <v>669</v>
      </c>
      <c r="B201" s="4" t="s">
        <v>121</v>
      </c>
      <c r="C201" s="4" t="s">
        <v>670</v>
      </c>
      <c r="D201" s="4" t="s">
        <v>671</v>
      </c>
      <c r="E201" s="4" t="s">
        <v>78</v>
      </c>
      <c r="F201" s="4" t="s">
        <v>191</v>
      </c>
      <c r="G201" s="4" t="s">
        <v>46</v>
      </c>
      <c r="H201" s="4" t="s">
        <v>47</v>
      </c>
      <c r="I201" s="4" t="s">
        <v>38</v>
      </c>
      <c r="J201" s="4">
        <v>12.3</v>
      </c>
      <c r="K201" s="4">
        <v>8</v>
      </c>
      <c r="L201" s="4" t="s">
        <v>27</v>
      </c>
      <c r="M201" s="4">
        <v>3</v>
      </c>
      <c r="N201" s="4" t="s">
        <v>26</v>
      </c>
      <c r="O201" s="4" t="s">
        <v>28</v>
      </c>
      <c r="P201" s="4" t="s">
        <v>1670</v>
      </c>
      <c r="Q201" s="5" t="s">
        <v>39</v>
      </c>
    </row>
    <row r="202" spans="1:17">
      <c r="A202" s="1" t="s">
        <v>672</v>
      </c>
      <c r="B202" s="2" t="s">
        <v>106</v>
      </c>
      <c r="C202" s="2" t="s">
        <v>673</v>
      </c>
      <c r="D202" s="2" t="s">
        <v>674</v>
      </c>
      <c r="E202" s="2" t="s">
        <v>35</v>
      </c>
      <c r="F202" s="2" t="s">
        <v>36</v>
      </c>
      <c r="G202" s="2" t="s">
        <v>46</v>
      </c>
      <c r="H202" s="2" t="s">
        <v>47</v>
      </c>
      <c r="I202" s="2" t="s">
        <v>38</v>
      </c>
      <c r="J202" s="2">
        <v>4.3</v>
      </c>
      <c r="K202" s="2">
        <v>8</v>
      </c>
      <c r="L202" s="2" t="s">
        <v>26</v>
      </c>
      <c r="M202" s="2">
        <v>4</v>
      </c>
      <c r="N202" s="2" t="s">
        <v>27</v>
      </c>
      <c r="O202" s="2" t="s">
        <v>28</v>
      </c>
      <c r="P202" s="2" t="s">
        <v>29</v>
      </c>
      <c r="Q202" s="6" t="s">
        <v>30</v>
      </c>
    </row>
    <row r="203" spans="1:17">
      <c r="A203" s="3" t="s">
        <v>675</v>
      </c>
      <c r="B203" s="4" t="s">
        <v>32</v>
      </c>
      <c r="C203" s="4" t="s">
        <v>676</v>
      </c>
      <c r="D203" s="4" t="s">
        <v>677</v>
      </c>
      <c r="E203" s="4" t="s">
        <v>35</v>
      </c>
      <c r="F203" s="4" t="s">
        <v>53</v>
      </c>
      <c r="G203" s="4" t="s">
        <v>46</v>
      </c>
      <c r="H203" s="4" t="s">
        <v>234</v>
      </c>
      <c r="I203" s="4" t="s">
        <v>56</v>
      </c>
      <c r="J203" s="4">
        <v>6.1</v>
      </c>
      <c r="K203" s="4">
        <v>8</v>
      </c>
      <c r="L203" s="4" t="s">
        <v>26</v>
      </c>
      <c r="M203" s="4">
        <v>4</v>
      </c>
      <c r="N203" s="4" t="s">
        <v>27</v>
      </c>
      <c r="O203" s="4" t="s">
        <v>28</v>
      </c>
      <c r="P203" s="4" t="s">
        <v>29</v>
      </c>
      <c r="Q203" s="5" t="s">
        <v>30</v>
      </c>
    </row>
    <row r="204" spans="1:17">
      <c r="A204" s="1" t="s">
        <v>678</v>
      </c>
      <c r="B204" s="2" t="s">
        <v>32</v>
      </c>
      <c r="C204" s="2" t="s">
        <v>679</v>
      </c>
      <c r="D204" s="2" t="s">
        <v>680</v>
      </c>
      <c r="E204" s="2" t="s">
        <v>78</v>
      </c>
      <c r="F204" s="2" t="s">
        <v>79</v>
      </c>
      <c r="G204" s="2" t="s">
        <v>46</v>
      </c>
      <c r="H204" s="2" t="s">
        <v>37</v>
      </c>
      <c r="I204" s="2" t="s">
        <v>80</v>
      </c>
      <c r="J204" s="2">
        <v>11.4</v>
      </c>
      <c r="K204" s="2">
        <v>8</v>
      </c>
      <c r="L204" s="2" t="s">
        <v>27</v>
      </c>
      <c r="M204" s="2">
        <v>3</v>
      </c>
      <c r="N204" s="2" t="s">
        <v>26</v>
      </c>
      <c r="O204" s="2" t="s">
        <v>28</v>
      </c>
      <c r="P204" s="2" t="s">
        <v>1670</v>
      </c>
      <c r="Q204" s="6" t="s">
        <v>39</v>
      </c>
    </row>
    <row r="205" spans="1:17">
      <c r="A205" s="3" t="s">
        <v>681</v>
      </c>
      <c r="B205" s="4" t="s">
        <v>18</v>
      </c>
      <c r="C205" s="4" t="s">
        <v>682</v>
      </c>
      <c r="D205" s="4" t="s">
        <v>683</v>
      </c>
      <c r="E205" s="4" t="s">
        <v>21</v>
      </c>
      <c r="F205" s="4" t="s">
        <v>22</v>
      </c>
      <c r="G205" s="4" t="s">
        <v>54</v>
      </c>
      <c r="H205" s="4" t="s">
        <v>234</v>
      </c>
      <c r="I205" s="4" t="s">
        <v>25</v>
      </c>
      <c r="J205" s="4">
        <v>7.5</v>
      </c>
      <c r="K205" s="4">
        <v>4</v>
      </c>
      <c r="L205" s="4" t="s">
        <v>27</v>
      </c>
      <c r="M205" s="4">
        <v>1</v>
      </c>
      <c r="N205" s="4" t="s">
        <v>27</v>
      </c>
      <c r="O205" s="4" t="s">
        <v>28</v>
      </c>
      <c r="P205" s="4" t="s">
        <v>1670</v>
      </c>
      <c r="Q205" s="5" t="s">
        <v>39</v>
      </c>
    </row>
    <row r="206" spans="1:17">
      <c r="A206" s="1" t="s">
        <v>684</v>
      </c>
      <c r="B206" s="2" t="s">
        <v>32</v>
      </c>
      <c r="C206" s="2" t="s">
        <v>685</v>
      </c>
      <c r="D206" s="2" t="s">
        <v>686</v>
      </c>
      <c r="E206" s="2" t="s">
        <v>21</v>
      </c>
      <c r="F206" s="2" t="s">
        <v>22</v>
      </c>
      <c r="G206" s="2" t="s">
        <v>46</v>
      </c>
      <c r="H206" s="2" t="s">
        <v>64</v>
      </c>
      <c r="I206" s="2" t="s">
        <v>25</v>
      </c>
      <c r="J206" s="2">
        <v>5.2</v>
      </c>
      <c r="K206" s="2">
        <v>8</v>
      </c>
      <c r="L206" s="2" t="s">
        <v>26</v>
      </c>
      <c r="M206" s="2">
        <v>4</v>
      </c>
      <c r="N206" s="2" t="s">
        <v>27</v>
      </c>
      <c r="O206" s="2" t="s">
        <v>28</v>
      </c>
      <c r="P206" s="2" t="s">
        <v>29</v>
      </c>
      <c r="Q206" s="6" t="s">
        <v>101</v>
      </c>
    </row>
    <row r="207" spans="1:17">
      <c r="A207" s="3" t="s">
        <v>687</v>
      </c>
      <c r="B207" s="4" t="s">
        <v>60</v>
      </c>
      <c r="C207" s="4" t="s">
        <v>688</v>
      </c>
      <c r="D207" s="4" t="s">
        <v>689</v>
      </c>
      <c r="E207" s="4" t="s">
        <v>78</v>
      </c>
      <c r="F207" s="4" t="s">
        <v>191</v>
      </c>
      <c r="G207" s="4" t="s">
        <v>54</v>
      </c>
      <c r="H207" s="4" t="s">
        <v>91</v>
      </c>
      <c r="I207" s="4" t="s">
        <v>38</v>
      </c>
      <c r="J207" s="4">
        <v>13.3</v>
      </c>
      <c r="K207" s="4">
        <v>4</v>
      </c>
      <c r="L207" s="4" t="s">
        <v>27</v>
      </c>
      <c r="M207" s="4">
        <v>2</v>
      </c>
      <c r="N207" s="4" t="s">
        <v>26</v>
      </c>
      <c r="O207" s="4" t="s">
        <v>28</v>
      </c>
      <c r="P207" s="4" t="s">
        <v>1670</v>
      </c>
      <c r="Q207" s="5" t="s">
        <v>30</v>
      </c>
    </row>
    <row r="208" spans="1:17">
      <c r="A208" s="1" t="s">
        <v>690</v>
      </c>
      <c r="B208" s="2" t="s">
        <v>41</v>
      </c>
      <c r="C208" s="2" t="s">
        <v>653</v>
      </c>
      <c r="D208" s="2" t="s">
        <v>691</v>
      </c>
      <c r="E208" s="2" t="s">
        <v>78</v>
      </c>
      <c r="F208" s="2" t="s">
        <v>191</v>
      </c>
      <c r="G208" s="2" t="s">
        <v>46</v>
      </c>
      <c r="H208" s="2" t="s">
        <v>24</v>
      </c>
      <c r="I208" s="2" t="s">
        <v>38</v>
      </c>
      <c r="J208" s="2">
        <v>21.6</v>
      </c>
      <c r="K208" s="2">
        <v>8</v>
      </c>
      <c r="L208" s="2" t="s">
        <v>27</v>
      </c>
      <c r="M208" s="2">
        <v>3</v>
      </c>
      <c r="N208" s="2" t="s">
        <v>27</v>
      </c>
      <c r="O208" s="2" t="s">
        <v>28</v>
      </c>
      <c r="P208" s="2" t="s">
        <v>57</v>
      </c>
      <c r="Q208" s="6" t="s">
        <v>39</v>
      </c>
    </row>
    <row r="209" spans="1:17">
      <c r="A209" s="3" t="s">
        <v>692</v>
      </c>
      <c r="B209" s="4" t="s">
        <v>66</v>
      </c>
      <c r="C209" s="4" t="s">
        <v>693</v>
      </c>
      <c r="D209" s="4" t="s">
        <v>694</v>
      </c>
      <c r="E209" s="4" t="s">
        <v>21</v>
      </c>
      <c r="F209" s="4" t="s">
        <v>63</v>
      </c>
      <c r="G209" s="4" t="s">
        <v>46</v>
      </c>
      <c r="H209" s="4" t="s">
        <v>37</v>
      </c>
      <c r="I209" s="4" t="s">
        <v>25</v>
      </c>
      <c r="J209" s="4">
        <v>12.4</v>
      </c>
      <c r="K209" s="4">
        <v>8</v>
      </c>
      <c r="L209" s="4" t="s">
        <v>27</v>
      </c>
      <c r="M209" s="4">
        <v>3</v>
      </c>
      <c r="N209" s="4" t="s">
        <v>26</v>
      </c>
      <c r="O209" s="4" t="s">
        <v>28</v>
      </c>
      <c r="P209" s="4" t="s">
        <v>57</v>
      </c>
      <c r="Q209" s="5" t="s">
        <v>30</v>
      </c>
    </row>
    <row r="210" spans="1:17">
      <c r="A210" s="1" t="s">
        <v>695</v>
      </c>
      <c r="B210" s="2" t="s">
        <v>41</v>
      </c>
      <c r="C210" s="2" t="s">
        <v>521</v>
      </c>
      <c r="D210" s="2" t="s">
        <v>696</v>
      </c>
      <c r="E210" s="2" t="s">
        <v>78</v>
      </c>
      <c r="F210" s="2" t="s">
        <v>166</v>
      </c>
      <c r="G210" s="2" t="s">
        <v>23</v>
      </c>
      <c r="H210" s="2" t="s">
        <v>234</v>
      </c>
      <c r="I210" s="2" t="s">
        <v>80</v>
      </c>
      <c r="J210" s="2">
        <v>11.8</v>
      </c>
      <c r="K210" s="2">
        <v>24</v>
      </c>
      <c r="L210" s="2" t="s">
        <v>26</v>
      </c>
      <c r="M210" s="2">
        <v>5</v>
      </c>
      <c r="N210" s="2" t="s">
        <v>27</v>
      </c>
      <c r="O210" s="2" t="s">
        <v>28</v>
      </c>
      <c r="P210" s="2" t="s">
        <v>29</v>
      </c>
      <c r="Q210" s="6" t="s">
        <v>30</v>
      </c>
    </row>
    <row r="211" spans="1:17">
      <c r="A211" s="3" t="s">
        <v>697</v>
      </c>
      <c r="B211" s="4" t="s">
        <v>135</v>
      </c>
      <c r="C211" s="4" t="s">
        <v>698</v>
      </c>
      <c r="D211" s="4" t="s">
        <v>699</v>
      </c>
      <c r="E211" s="4" t="s">
        <v>78</v>
      </c>
      <c r="F211" s="4" t="s">
        <v>166</v>
      </c>
      <c r="G211" s="4" t="s">
        <v>23</v>
      </c>
      <c r="H211" s="4" t="s">
        <v>70</v>
      </c>
      <c r="I211" s="4" t="s">
        <v>80</v>
      </c>
      <c r="J211" s="4">
        <v>14.4</v>
      </c>
      <c r="K211" s="4">
        <v>24</v>
      </c>
      <c r="L211" s="4" t="s">
        <v>26</v>
      </c>
      <c r="M211" s="4">
        <v>4</v>
      </c>
      <c r="N211" s="4" t="s">
        <v>27</v>
      </c>
      <c r="O211" s="4" t="s">
        <v>28</v>
      </c>
      <c r="P211" s="4" t="s">
        <v>29</v>
      </c>
      <c r="Q211" s="5" t="s">
        <v>58</v>
      </c>
    </row>
    <row r="212" spans="1:17">
      <c r="A212" s="1" t="s">
        <v>700</v>
      </c>
      <c r="B212" s="2" t="s">
        <v>121</v>
      </c>
      <c r="C212" s="2" t="s">
        <v>701</v>
      </c>
      <c r="D212" s="2" t="s">
        <v>702</v>
      </c>
      <c r="E212" s="2" t="s">
        <v>44</v>
      </c>
      <c r="F212" s="2" t="s">
        <v>45</v>
      </c>
      <c r="G212" s="2" t="s">
        <v>54</v>
      </c>
      <c r="H212" s="2" t="s">
        <v>24</v>
      </c>
      <c r="I212" s="2" t="s">
        <v>48</v>
      </c>
      <c r="J212" s="2">
        <v>5.2</v>
      </c>
      <c r="K212" s="2">
        <v>4</v>
      </c>
      <c r="L212" s="2" t="s">
        <v>27</v>
      </c>
      <c r="M212" s="2">
        <v>3</v>
      </c>
      <c r="N212" s="2" t="s">
        <v>27</v>
      </c>
      <c r="O212" s="2" t="s">
        <v>28</v>
      </c>
      <c r="P212" s="2" t="s">
        <v>57</v>
      </c>
      <c r="Q212" s="6" t="s">
        <v>39</v>
      </c>
    </row>
    <row r="213" spans="1:17">
      <c r="A213" s="3" t="s">
        <v>703</v>
      </c>
      <c r="B213" s="4" t="s">
        <v>121</v>
      </c>
      <c r="C213" s="4" t="s">
        <v>704</v>
      </c>
      <c r="D213" s="4" t="s">
        <v>705</v>
      </c>
      <c r="E213" s="4" t="s">
        <v>35</v>
      </c>
      <c r="F213" s="4" t="s">
        <v>36</v>
      </c>
      <c r="G213" s="4" t="s">
        <v>46</v>
      </c>
      <c r="H213" s="4" t="s">
        <v>86</v>
      </c>
      <c r="I213" s="4" t="s">
        <v>38</v>
      </c>
      <c r="J213" s="4">
        <v>7.9</v>
      </c>
      <c r="K213" s="4">
        <v>8</v>
      </c>
      <c r="L213" s="4" t="s">
        <v>26</v>
      </c>
      <c r="M213" s="4">
        <v>4</v>
      </c>
      <c r="N213" s="4" t="s">
        <v>27</v>
      </c>
      <c r="O213" s="4" t="s">
        <v>28</v>
      </c>
      <c r="P213" s="4" t="s">
        <v>29</v>
      </c>
      <c r="Q213" s="5" t="s">
        <v>30</v>
      </c>
    </row>
    <row r="214" spans="1:17">
      <c r="A214" s="1" t="s">
        <v>706</v>
      </c>
      <c r="B214" s="2" t="s">
        <v>75</v>
      </c>
      <c r="C214" s="2" t="s">
        <v>707</v>
      </c>
      <c r="D214" s="2" t="s">
        <v>708</v>
      </c>
      <c r="E214" s="2" t="s">
        <v>35</v>
      </c>
      <c r="F214" s="2" t="s">
        <v>36</v>
      </c>
      <c r="G214" s="2" t="s">
        <v>46</v>
      </c>
      <c r="H214" s="2" t="s">
        <v>37</v>
      </c>
      <c r="I214" s="2" t="s">
        <v>38</v>
      </c>
      <c r="J214" s="2">
        <v>9.5</v>
      </c>
      <c r="K214" s="2">
        <v>8</v>
      </c>
      <c r="L214" s="2" t="s">
        <v>27</v>
      </c>
      <c r="M214" s="2">
        <v>3</v>
      </c>
      <c r="N214" s="2" t="s">
        <v>26</v>
      </c>
      <c r="O214" s="2" t="s">
        <v>28</v>
      </c>
      <c r="P214" s="2" t="s">
        <v>57</v>
      </c>
      <c r="Q214" s="6" t="s">
        <v>39</v>
      </c>
    </row>
    <row r="215" spans="1:17">
      <c r="A215" s="3" t="s">
        <v>709</v>
      </c>
      <c r="B215" s="4" t="s">
        <v>135</v>
      </c>
      <c r="C215" s="4" t="s">
        <v>710</v>
      </c>
      <c r="D215" s="4" t="s">
        <v>711</v>
      </c>
      <c r="E215" s="4" t="s">
        <v>35</v>
      </c>
      <c r="F215" s="4" t="s">
        <v>127</v>
      </c>
      <c r="G215" s="4" t="s">
        <v>46</v>
      </c>
      <c r="H215" s="4" t="s">
        <v>55</v>
      </c>
      <c r="I215" s="4" t="s">
        <v>56</v>
      </c>
      <c r="J215" s="4">
        <v>10.9</v>
      </c>
      <c r="K215" s="4">
        <v>8</v>
      </c>
      <c r="L215" s="4" t="s">
        <v>27</v>
      </c>
      <c r="M215" s="4">
        <v>3</v>
      </c>
      <c r="N215" s="4" t="s">
        <v>27</v>
      </c>
      <c r="O215" s="4" t="s">
        <v>28</v>
      </c>
      <c r="P215" s="4" t="s">
        <v>57</v>
      </c>
      <c r="Q215" s="5" t="s">
        <v>30</v>
      </c>
    </row>
    <row r="216" spans="1:17">
      <c r="A216" s="1" t="s">
        <v>712</v>
      </c>
      <c r="B216" s="2" t="s">
        <v>135</v>
      </c>
      <c r="C216" s="2" t="s">
        <v>713</v>
      </c>
      <c r="D216" s="2" t="s">
        <v>714</v>
      </c>
      <c r="E216" s="2" t="s">
        <v>21</v>
      </c>
      <c r="F216" s="2" t="s">
        <v>63</v>
      </c>
      <c r="G216" s="2" t="s">
        <v>54</v>
      </c>
      <c r="H216" s="2" t="s">
        <v>86</v>
      </c>
      <c r="I216" s="2" t="s">
        <v>25</v>
      </c>
      <c r="J216" s="2">
        <v>11.7</v>
      </c>
      <c r="K216" s="2">
        <v>4</v>
      </c>
      <c r="L216" s="2" t="s">
        <v>27</v>
      </c>
      <c r="M216" s="2">
        <v>3</v>
      </c>
      <c r="N216" s="2" t="s">
        <v>27</v>
      </c>
      <c r="O216" s="2" t="s">
        <v>28</v>
      </c>
      <c r="P216" s="2" t="s">
        <v>57</v>
      </c>
      <c r="Q216" s="6" t="s">
        <v>101</v>
      </c>
    </row>
    <row r="217" spans="1:17">
      <c r="A217" s="3" t="s">
        <v>715</v>
      </c>
      <c r="B217" s="4" t="s">
        <v>60</v>
      </c>
      <c r="C217" s="4" t="s">
        <v>716</v>
      </c>
      <c r="D217" s="4" t="s">
        <v>717</v>
      </c>
      <c r="E217" s="4" t="s">
        <v>84</v>
      </c>
      <c r="F217" s="4" t="s">
        <v>116</v>
      </c>
      <c r="G217" s="4" t="s">
        <v>46</v>
      </c>
      <c r="H217" s="4" t="s">
        <v>91</v>
      </c>
      <c r="I217" s="4" t="s">
        <v>87</v>
      </c>
      <c r="J217" s="4">
        <v>5.8</v>
      </c>
      <c r="K217" s="4">
        <v>8</v>
      </c>
      <c r="L217" s="4" t="s">
        <v>26</v>
      </c>
      <c r="M217" s="4">
        <v>5</v>
      </c>
      <c r="N217" s="4" t="s">
        <v>27</v>
      </c>
      <c r="O217" s="4" t="s">
        <v>28</v>
      </c>
      <c r="P217" s="4" t="s">
        <v>29</v>
      </c>
      <c r="Q217" s="5" t="s">
        <v>39</v>
      </c>
    </row>
    <row r="218" spans="1:17">
      <c r="A218" s="1" t="s">
        <v>718</v>
      </c>
      <c r="B218" s="2" t="s">
        <v>75</v>
      </c>
      <c r="C218" s="2" t="s">
        <v>719</v>
      </c>
      <c r="D218" s="2" t="s">
        <v>720</v>
      </c>
      <c r="E218" s="2" t="s">
        <v>78</v>
      </c>
      <c r="F218" s="2" t="s">
        <v>79</v>
      </c>
      <c r="G218" s="2" t="s">
        <v>23</v>
      </c>
      <c r="H218" s="2" t="s">
        <v>86</v>
      </c>
      <c r="I218" s="2" t="s">
        <v>80</v>
      </c>
      <c r="J218" s="2">
        <v>12.8</v>
      </c>
      <c r="K218" s="2">
        <v>24</v>
      </c>
      <c r="L218" s="2" t="s">
        <v>26</v>
      </c>
      <c r="M218" s="2">
        <v>4</v>
      </c>
      <c r="N218" s="2" t="s">
        <v>27</v>
      </c>
      <c r="O218" s="2" t="s">
        <v>28</v>
      </c>
      <c r="P218" s="2" t="s">
        <v>29</v>
      </c>
      <c r="Q218" s="6" t="s">
        <v>101</v>
      </c>
    </row>
    <row r="219" spans="1:17">
      <c r="A219" s="3" t="s">
        <v>721</v>
      </c>
      <c r="B219" s="4" t="s">
        <v>60</v>
      </c>
      <c r="C219" s="4" t="s">
        <v>722</v>
      </c>
      <c r="D219" s="4" t="s">
        <v>723</v>
      </c>
      <c r="E219" s="4" t="s">
        <v>21</v>
      </c>
      <c r="F219" s="4" t="s">
        <v>63</v>
      </c>
      <c r="G219" s="4" t="s">
        <v>54</v>
      </c>
      <c r="H219" s="4" t="s">
        <v>55</v>
      </c>
      <c r="I219" s="4" t="s">
        <v>25</v>
      </c>
      <c r="J219" s="4">
        <v>13.4</v>
      </c>
      <c r="K219" s="4">
        <v>4</v>
      </c>
      <c r="L219" s="4" t="s">
        <v>27</v>
      </c>
      <c r="M219" s="4">
        <v>3</v>
      </c>
      <c r="N219" s="4" t="s">
        <v>26</v>
      </c>
      <c r="O219" s="4" t="s">
        <v>28</v>
      </c>
      <c r="P219" s="4" t="s">
        <v>1670</v>
      </c>
      <c r="Q219" s="5" t="s">
        <v>39</v>
      </c>
    </row>
    <row r="220" spans="1:17">
      <c r="A220" s="1" t="s">
        <v>724</v>
      </c>
      <c r="B220" s="2" t="s">
        <v>75</v>
      </c>
      <c r="C220" s="2" t="s">
        <v>725</v>
      </c>
      <c r="D220" s="2" t="s">
        <v>726</v>
      </c>
      <c r="E220" s="2" t="s">
        <v>78</v>
      </c>
      <c r="F220" s="2" t="s">
        <v>166</v>
      </c>
      <c r="G220" s="2" t="s">
        <v>46</v>
      </c>
      <c r="H220" s="2" t="s">
        <v>47</v>
      </c>
      <c r="I220" s="2" t="s">
        <v>80</v>
      </c>
      <c r="J220" s="2">
        <v>13.5</v>
      </c>
      <c r="K220" s="2">
        <v>8</v>
      </c>
      <c r="L220" s="2" t="s">
        <v>27</v>
      </c>
      <c r="M220" s="2">
        <v>2</v>
      </c>
      <c r="N220" s="2" t="s">
        <v>27</v>
      </c>
      <c r="O220" s="2" t="s">
        <v>28</v>
      </c>
      <c r="P220" s="2" t="s">
        <v>1670</v>
      </c>
      <c r="Q220" s="6" t="s">
        <v>101</v>
      </c>
    </row>
    <row r="221" spans="1:17">
      <c r="A221" s="3" t="s">
        <v>727</v>
      </c>
      <c r="B221" s="4" t="s">
        <v>32</v>
      </c>
      <c r="C221" s="4" t="s">
        <v>728</v>
      </c>
      <c r="D221" s="4" t="s">
        <v>729</v>
      </c>
      <c r="E221" s="4" t="s">
        <v>21</v>
      </c>
      <c r="F221" s="4" t="s">
        <v>69</v>
      </c>
      <c r="G221" s="4" t="s">
        <v>23</v>
      </c>
      <c r="H221" s="4" t="s">
        <v>70</v>
      </c>
      <c r="I221" s="4" t="s">
        <v>25</v>
      </c>
      <c r="J221" s="4">
        <v>15.4</v>
      </c>
      <c r="K221" s="4">
        <v>24</v>
      </c>
      <c r="L221" s="4" t="s">
        <v>26</v>
      </c>
      <c r="M221" s="4">
        <v>5</v>
      </c>
      <c r="N221" s="4" t="s">
        <v>27</v>
      </c>
      <c r="O221" s="4" t="s">
        <v>28</v>
      </c>
      <c r="P221" s="4" t="s">
        <v>29</v>
      </c>
      <c r="Q221" s="5" t="s">
        <v>101</v>
      </c>
    </row>
    <row r="222" spans="1:17">
      <c r="A222" s="1" t="s">
        <v>730</v>
      </c>
      <c r="B222" s="2" t="s">
        <v>60</v>
      </c>
      <c r="C222" s="2" t="s">
        <v>731</v>
      </c>
      <c r="D222" s="2" t="s">
        <v>732</v>
      </c>
      <c r="E222" s="2" t="s">
        <v>44</v>
      </c>
      <c r="F222" s="2" t="s">
        <v>45</v>
      </c>
      <c r="G222" s="2" t="s">
        <v>46</v>
      </c>
      <c r="H222" s="2" t="s">
        <v>64</v>
      </c>
      <c r="I222" s="2" t="s">
        <v>48</v>
      </c>
      <c r="J222" s="2">
        <v>2.5</v>
      </c>
      <c r="K222" s="2">
        <v>8</v>
      </c>
      <c r="L222" s="2" t="s">
        <v>26</v>
      </c>
      <c r="M222" s="2">
        <v>4</v>
      </c>
      <c r="N222" s="2" t="s">
        <v>27</v>
      </c>
      <c r="O222" s="2" t="s">
        <v>28</v>
      </c>
      <c r="P222" s="2" t="s">
        <v>29</v>
      </c>
      <c r="Q222" s="6" t="s">
        <v>30</v>
      </c>
    </row>
    <row r="223" spans="1:17">
      <c r="A223" s="3" t="s">
        <v>733</v>
      </c>
      <c r="B223" s="4" t="s">
        <v>75</v>
      </c>
      <c r="C223" s="4" t="s">
        <v>734</v>
      </c>
      <c r="D223" s="4" t="s">
        <v>735</v>
      </c>
      <c r="E223" s="4" t="s">
        <v>21</v>
      </c>
      <c r="F223" s="4" t="s">
        <v>63</v>
      </c>
      <c r="G223" s="4" t="s">
        <v>23</v>
      </c>
      <c r="H223" s="4" t="s">
        <v>55</v>
      </c>
      <c r="I223" s="4" t="s">
        <v>25</v>
      </c>
      <c r="J223" s="4">
        <v>11.2</v>
      </c>
      <c r="K223" s="4">
        <v>24</v>
      </c>
      <c r="L223" s="4" t="s">
        <v>26</v>
      </c>
      <c r="M223" s="4"/>
      <c r="N223" s="4" t="s">
        <v>27</v>
      </c>
      <c r="O223" s="4" t="s">
        <v>28</v>
      </c>
      <c r="P223" s="4" t="s">
        <v>29</v>
      </c>
      <c r="Q223" s="5" t="s">
        <v>39</v>
      </c>
    </row>
    <row r="224" spans="1:17">
      <c r="A224" s="1" t="s">
        <v>736</v>
      </c>
      <c r="B224" s="2" t="s">
        <v>75</v>
      </c>
      <c r="C224" s="2" t="s">
        <v>737</v>
      </c>
      <c r="D224" s="2" t="s">
        <v>738</v>
      </c>
      <c r="E224" s="2" t="s">
        <v>84</v>
      </c>
      <c r="F224" s="2" t="s">
        <v>85</v>
      </c>
      <c r="G224" s="2" t="s">
        <v>46</v>
      </c>
      <c r="H224" s="2" t="s">
        <v>55</v>
      </c>
      <c r="I224" s="2" t="s">
        <v>87</v>
      </c>
      <c r="J224" s="2">
        <v>4.8</v>
      </c>
      <c r="K224" s="2">
        <v>8</v>
      </c>
      <c r="L224" s="2" t="s">
        <v>26</v>
      </c>
      <c r="M224" s="2">
        <v>4</v>
      </c>
      <c r="N224" s="2" t="s">
        <v>27</v>
      </c>
      <c r="O224" s="2" t="s">
        <v>28</v>
      </c>
      <c r="P224" s="2" t="s">
        <v>29</v>
      </c>
      <c r="Q224" s="6" t="s">
        <v>58</v>
      </c>
    </row>
    <row r="225" spans="1:17">
      <c r="A225" s="3" t="s">
        <v>739</v>
      </c>
      <c r="B225" s="4" t="s">
        <v>50</v>
      </c>
      <c r="C225" s="4" t="s">
        <v>740</v>
      </c>
      <c r="D225" s="4" t="s">
        <v>741</v>
      </c>
      <c r="E225" s="4" t="s">
        <v>84</v>
      </c>
      <c r="F225" s="4" t="s">
        <v>116</v>
      </c>
      <c r="G225" s="4" t="s">
        <v>46</v>
      </c>
      <c r="H225" s="4" t="s">
        <v>24</v>
      </c>
      <c r="I225" s="4" t="s">
        <v>87</v>
      </c>
      <c r="J225" s="4">
        <v>7.9</v>
      </c>
      <c r="K225" s="4">
        <v>8</v>
      </c>
      <c r="L225" s="4" t="s">
        <v>26</v>
      </c>
      <c r="M225" s="4">
        <v>4</v>
      </c>
      <c r="N225" s="4" t="s">
        <v>27</v>
      </c>
      <c r="O225" s="4" t="s">
        <v>28</v>
      </c>
      <c r="P225" s="4" t="s">
        <v>29</v>
      </c>
      <c r="Q225" s="5" t="s">
        <v>58</v>
      </c>
    </row>
    <row r="226" spans="1:17">
      <c r="A226" s="1" t="s">
        <v>742</v>
      </c>
      <c r="B226" s="2" t="s">
        <v>18</v>
      </c>
      <c r="C226" s="2" t="s">
        <v>743</v>
      </c>
      <c r="D226" s="2" t="s">
        <v>744</v>
      </c>
      <c r="E226" s="2" t="s">
        <v>21</v>
      </c>
      <c r="F226" s="2" t="s">
        <v>22</v>
      </c>
      <c r="G226" s="2" t="s">
        <v>46</v>
      </c>
      <c r="H226" s="2" t="s">
        <v>138</v>
      </c>
      <c r="I226" s="2" t="s">
        <v>25</v>
      </c>
      <c r="J226" s="2">
        <v>9.1999999999999993</v>
      </c>
      <c r="K226" s="2">
        <v>8</v>
      </c>
      <c r="L226" s="2" t="s">
        <v>27</v>
      </c>
      <c r="M226" s="2">
        <v>2</v>
      </c>
      <c r="N226" s="2" t="s">
        <v>27</v>
      </c>
      <c r="O226" s="2" t="s">
        <v>28</v>
      </c>
      <c r="P226" s="2" t="s">
        <v>1670</v>
      </c>
      <c r="Q226" s="6" t="s">
        <v>39</v>
      </c>
    </row>
    <row r="227" spans="1:17">
      <c r="A227" s="3" t="s">
        <v>745</v>
      </c>
      <c r="B227" s="4" t="s">
        <v>18</v>
      </c>
      <c r="C227" s="4" t="s">
        <v>746</v>
      </c>
      <c r="D227" s="4" t="s">
        <v>747</v>
      </c>
      <c r="E227" s="4" t="s">
        <v>84</v>
      </c>
      <c r="F227" s="4" t="s">
        <v>85</v>
      </c>
      <c r="G227" s="4" t="s">
        <v>54</v>
      </c>
      <c r="H227" s="4" t="s">
        <v>70</v>
      </c>
      <c r="I227" s="4" t="s">
        <v>87</v>
      </c>
      <c r="J227" s="4">
        <v>5.2</v>
      </c>
      <c r="K227" s="4">
        <v>4</v>
      </c>
      <c r="L227" s="4" t="s">
        <v>27</v>
      </c>
      <c r="M227" s="4">
        <v>2</v>
      </c>
      <c r="N227" s="4" t="s">
        <v>27</v>
      </c>
      <c r="O227" s="4" t="s">
        <v>28</v>
      </c>
      <c r="P227" s="4" t="s">
        <v>1670</v>
      </c>
      <c r="Q227" s="5" t="s">
        <v>58</v>
      </c>
    </row>
    <row r="228" spans="1:17">
      <c r="A228" s="1" t="s">
        <v>748</v>
      </c>
      <c r="B228" s="2" t="s">
        <v>60</v>
      </c>
      <c r="C228" s="2" t="s">
        <v>749</v>
      </c>
      <c r="D228" s="2" t="s">
        <v>750</v>
      </c>
      <c r="E228" s="2" t="s">
        <v>44</v>
      </c>
      <c r="F228" s="2" t="s">
        <v>45</v>
      </c>
      <c r="G228" s="2" t="s">
        <v>46</v>
      </c>
      <c r="H228" s="2" t="s">
        <v>138</v>
      </c>
      <c r="I228" s="2" t="s">
        <v>48</v>
      </c>
      <c r="J228" s="2">
        <v>1.9</v>
      </c>
      <c r="K228" s="2">
        <v>8</v>
      </c>
      <c r="L228" s="2" t="s">
        <v>26</v>
      </c>
      <c r="M228" s="2">
        <v>5</v>
      </c>
      <c r="N228" s="2" t="s">
        <v>27</v>
      </c>
      <c r="O228" s="2" t="s">
        <v>28</v>
      </c>
      <c r="P228" s="2" t="s">
        <v>29</v>
      </c>
      <c r="Q228" s="6" t="s">
        <v>30</v>
      </c>
    </row>
    <row r="229" spans="1:17">
      <c r="A229" s="3" t="s">
        <v>751</v>
      </c>
      <c r="B229" s="4" t="s">
        <v>75</v>
      </c>
      <c r="C229" s="4" t="s">
        <v>752</v>
      </c>
      <c r="D229" s="4" t="s">
        <v>753</v>
      </c>
      <c r="E229" s="4" t="s">
        <v>78</v>
      </c>
      <c r="F229" s="4" t="s">
        <v>191</v>
      </c>
      <c r="G229" s="4" t="s">
        <v>46</v>
      </c>
      <c r="H229" s="4" t="s">
        <v>24</v>
      </c>
      <c r="I229" s="4" t="s">
        <v>38</v>
      </c>
      <c r="J229" s="4">
        <v>14.5</v>
      </c>
      <c r="K229" s="4">
        <v>8</v>
      </c>
      <c r="L229" s="4" t="s">
        <v>27</v>
      </c>
      <c r="M229" s="4">
        <v>3</v>
      </c>
      <c r="N229" s="4" t="s">
        <v>27</v>
      </c>
      <c r="O229" s="4" t="s">
        <v>28</v>
      </c>
      <c r="P229" s="4" t="s">
        <v>57</v>
      </c>
      <c r="Q229" s="5" t="s">
        <v>58</v>
      </c>
    </row>
    <row r="230" spans="1:17">
      <c r="A230" s="1" t="s">
        <v>754</v>
      </c>
      <c r="B230" s="2" t="s">
        <v>121</v>
      </c>
      <c r="C230" s="2" t="s">
        <v>755</v>
      </c>
      <c r="D230" s="2" t="s">
        <v>756</v>
      </c>
      <c r="E230" s="2" t="s">
        <v>35</v>
      </c>
      <c r="F230" s="2" t="s">
        <v>53</v>
      </c>
      <c r="G230" s="2" t="s">
        <v>23</v>
      </c>
      <c r="H230" s="2" t="s">
        <v>47</v>
      </c>
      <c r="I230" s="2" t="s">
        <v>56</v>
      </c>
      <c r="J230" s="2">
        <v>7.4</v>
      </c>
      <c r="K230" s="2">
        <v>24</v>
      </c>
      <c r="L230" s="2" t="s">
        <v>26</v>
      </c>
      <c r="M230" s="2">
        <v>4</v>
      </c>
      <c r="N230" s="2" t="s">
        <v>27</v>
      </c>
      <c r="O230" s="2" t="s">
        <v>28</v>
      </c>
      <c r="P230" s="2" t="s">
        <v>29</v>
      </c>
      <c r="Q230" s="6" t="s">
        <v>101</v>
      </c>
    </row>
    <row r="231" spans="1:17">
      <c r="A231" s="3" t="s">
        <v>757</v>
      </c>
      <c r="B231" s="4" t="s">
        <v>32</v>
      </c>
      <c r="C231" s="4" t="s">
        <v>758</v>
      </c>
      <c r="D231" s="4" t="s">
        <v>759</v>
      </c>
      <c r="E231" s="4" t="s">
        <v>21</v>
      </c>
      <c r="F231" s="4" t="s">
        <v>63</v>
      </c>
      <c r="G231" s="4" t="s">
        <v>46</v>
      </c>
      <c r="H231" s="4" t="s">
        <v>138</v>
      </c>
      <c r="I231" s="4" t="s">
        <v>25</v>
      </c>
      <c r="J231" s="4">
        <v>13</v>
      </c>
      <c r="K231" s="4">
        <v>8</v>
      </c>
      <c r="L231" s="4" t="s">
        <v>27</v>
      </c>
      <c r="M231" s="4">
        <v>3</v>
      </c>
      <c r="N231" s="4" t="s">
        <v>27</v>
      </c>
      <c r="O231" s="4" t="s">
        <v>28</v>
      </c>
      <c r="P231" s="4" t="s">
        <v>1670</v>
      </c>
      <c r="Q231" s="5" t="s">
        <v>101</v>
      </c>
    </row>
    <row r="232" spans="1:17">
      <c r="A232" s="1" t="s">
        <v>760</v>
      </c>
      <c r="B232" s="2" t="s">
        <v>135</v>
      </c>
      <c r="C232" s="2" t="s">
        <v>761</v>
      </c>
      <c r="D232" s="2" t="s">
        <v>762</v>
      </c>
      <c r="E232" s="2" t="s">
        <v>21</v>
      </c>
      <c r="F232" s="2" t="s">
        <v>22</v>
      </c>
      <c r="G232" s="2" t="s">
        <v>23</v>
      </c>
      <c r="H232" s="2" t="s">
        <v>91</v>
      </c>
      <c r="I232" s="2" t="s">
        <v>25</v>
      </c>
      <c r="J232" s="2">
        <v>14.4</v>
      </c>
      <c r="K232" s="2">
        <v>24</v>
      </c>
      <c r="L232" s="2" t="s">
        <v>26</v>
      </c>
      <c r="M232" s="2"/>
      <c r="N232" s="2" t="s">
        <v>27</v>
      </c>
      <c r="O232" s="2" t="s">
        <v>28</v>
      </c>
      <c r="P232" s="2" t="s">
        <v>29</v>
      </c>
      <c r="Q232" s="6" t="s">
        <v>39</v>
      </c>
    </row>
    <row r="233" spans="1:17">
      <c r="A233" s="3" t="s">
        <v>763</v>
      </c>
      <c r="B233" s="4" t="s">
        <v>75</v>
      </c>
      <c r="C233" s="4" t="s">
        <v>764</v>
      </c>
      <c r="D233" s="4" t="s">
        <v>765</v>
      </c>
      <c r="E233" s="4" t="s">
        <v>21</v>
      </c>
      <c r="F233" s="4" t="s">
        <v>22</v>
      </c>
      <c r="G233" s="4" t="s">
        <v>23</v>
      </c>
      <c r="H233" s="4" t="s">
        <v>234</v>
      </c>
      <c r="I233" s="4" t="s">
        <v>25</v>
      </c>
      <c r="J233" s="4">
        <v>10.199999999999999</v>
      </c>
      <c r="K233" s="4">
        <v>24</v>
      </c>
      <c r="L233" s="4" t="s">
        <v>26</v>
      </c>
      <c r="M233" s="4">
        <v>5</v>
      </c>
      <c r="N233" s="4" t="s">
        <v>27</v>
      </c>
      <c r="O233" s="4" t="s">
        <v>28</v>
      </c>
      <c r="P233" s="4" t="s">
        <v>29</v>
      </c>
      <c r="Q233" s="5" t="s">
        <v>30</v>
      </c>
    </row>
    <row r="234" spans="1:17">
      <c r="A234" s="1" t="s">
        <v>766</v>
      </c>
      <c r="B234" s="2" t="s">
        <v>121</v>
      </c>
      <c r="C234" s="2" t="s">
        <v>767</v>
      </c>
      <c r="D234" s="2" t="s">
        <v>768</v>
      </c>
      <c r="E234" s="2" t="s">
        <v>21</v>
      </c>
      <c r="F234" s="2" t="s">
        <v>22</v>
      </c>
      <c r="G234" s="2" t="s">
        <v>23</v>
      </c>
      <c r="H234" s="2" t="s">
        <v>24</v>
      </c>
      <c r="I234" s="2" t="s">
        <v>25</v>
      </c>
      <c r="J234" s="2">
        <v>13.7</v>
      </c>
      <c r="K234" s="2">
        <v>24</v>
      </c>
      <c r="L234" s="2" t="s">
        <v>26</v>
      </c>
      <c r="M234" s="2">
        <v>4</v>
      </c>
      <c r="N234" s="2" t="s">
        <v>27</v>
      </c>
      <c r="O234" s="2" t="s">
        <v>28</v>
      </c>
      <c r="P234" s="2" t="s">
        <v>29</v>
      </c>
      <c r="Q234" s="6" t="s">
        <v>58</v>
      </c>
    </row>
    <row r="235" spans="1:17">
      <c r="A235" s="3" t="s">
        <v>769</v>
      </c>
      <c r="B235" s="4" t="s">
        <v>32</v>
      </c>
      <c r="C235" s="4" t="s">
        <v>770</v>
      </c>
      <c r="D235" s="4" t="s">
        <v>771</v>
      </c>
      <c r="E235" s="4" t="s">
        <v>78</v>
      </c>
      <c r="F235" s="4" t="s">
        <v>191</v>
      </c>
      <c r="G235" s="4" t="s">
        <v>23</v>
      </c>
      <c r="H235" s="4" t="s">
        <v>138</v>
      </c>
      <c r="I235" s="4" t="s">
        <v>38</v>
      </c>
      <c r="J235" s="4">
        <v>18.100000000000001</v>
      </c>
      <c r="K235" s="4">
        <v>24</v>
      </c>
      <c r="L235" s="4" t="s">
        <v>26</v>
      </c>
      <c r="M235" s="4">
        <v>4</v>
      </c>
      <c r="N235" s="4" t="s">
        <v>27</v>
      </c>
      <c r="O235" s="4" t="s">
        <v>28</v>
      </c>
      <c r="P235" s="4" t="s">
        <v>29</v>
      </c>
      <c r="Q235" s="5" t="s">
        <v>39</v>
      </c>
    </row>
    <row r="236" spans="1:17">
      <c r="A236" s="1" t="s">
        <v>772</v>
      </c>
      <c r="B236" s="2" t="s">
        <v>18</v>
      </c>
      <c r="C236" s="2" t="s">
        <v>773</v>
      </c>
      <c r="D236" s="2" t="s">
        <v>774</v>
      </c>
      <c r="E236" s="2" t="s">
        <v>44</v>
      </c>
      <c r="F236" s="2" t="s">
        <v>45</v>
      </c>
      <c r="G236" s="2" t="s">
        <v>46</v>
      </c>
      <c r="H236" s="2" t="s">
        <v>47</v>
      </c>
      <c r="I236" s="2" t="s">
        <v>48</v>
      </c>
      <c r="J236" s="2">
        <v>3.3</v>
      </c>
      <c r="K236" s="2">
        <v>8</v>
      </c>
      <c r="L236" s="2" t="s">
        <v>27</v>
      </c>
      <c r="M236" s="2">
        <v>3</v>
      </c>
      <c r="N236" s="2" t="s">
        <v>26</v>
      </c>
      <c r="O236" s="2" t="s">
        <v>28</v>
      </c>
      <c r="P236" s="2" t="s">
        <v>57</v>
      </c>
      <c r="Q236" s="6" t="s">
        <v>39</v>
      </c>
    </row>
    <row r="237" spans="1:17">
      <c r="A237" s="3" t="s">
        <v>775</v>
      </c>
      <c r="B237" s="4" t="s">
        <v>121</v>
      </c>
      <c r="C237" s="4" t="s">
        <v>776</v>
      </c>
      <c r="D237" s="4" t="s">
        <v>777</v>
      </c>
      <c r="E237" s="4" t="s">
        <v>21</v>
      </c>
      <c r="F237" s="4" t="s">
        <v>22</v>
      </c>
      <c r="G237" s="4" t="s">
        <v>23</v>
      </c>
      <c r="H237" s="4" t="s">
        <v>91</v>
      </c>
      <c r="I237" s="4" t="s">
        <v>25</v>
      </c>
      <c r="J237" s="4">
        <v>10.1</v>
      </c>
      <c r="K237" s="4">
        <v>24</v>
      </c>
      <c r="L237" s="4" t="s">
        <v>26</v>
      </c>
      <c r="M237" s="4"/>
      <c r="N237" s="4" t="s">
        <v>27</v>
      </c>
      <c r="O237" s="4" t="s">
        <v>28</v>
      </c>
      <c r="P237" s="4" t="s">
        <v>29</v>
      </c>
      <c r="Q237" s="5" t="s">
        <v>101</v>
      </c>
    </row>
    <row r="238" spans="1:17">
      <c r="A238" s="1" t="s">
        <v>778</v>
      </c>
      <c r="B238" s="2" t="s">
        <v>41</v>
      </c>
      <c r="C238" s="2" t="s">
        <v>779</v>
      </c>
      <c r="D238" s="2" t="s">
        <v>780</v>
      </c>
      <c r="E238" s="2" t="s">
        <v>84</v>
      </c>
      <c r="F238" s="2" t="s">
        <v>116</v>
      </c>
      <c r="G238" s="2" t="s">
        <v>54</v>
      </c>
      <c r="H238" s="2" t="s">
        <v>24</v>
      </c>
      <c r="I238" s="2" t="s">
        <v>87</v>
      </c>
      <c r="J238" s="2">
        <v>9.4</v>
      </c>
      <c r="K238" s="2">
        <v>4</v>
      </c>
      <c r="L238" s="2" t="s">
        <v>27</v>
      </c>
      <c r="M238" s="2">
        <v>2</v>
      </c>
      <c r="N238" s="2" t="s">
        <v>27</v>
      </c>
      <c r="O238" s="2" t="s">
        <v>28</v>
      </c>
      <c r="P238" s="2" t="s">
        <v>57</v>
      </c>
      <c r="Q238" s="6" t="s">
        <v>39</v>
      </c>
    </row>
    <row r="239" spans="1:17">
      <c r="A239" s="3" t="s">
        <v>781</v>
      </c>
      <c r="B239" s="4" t="s">
        <v>60</v>
      </c>
      <c r="C239" s="4" t="s">
        <v>782</v>
      </c>
      <c r="D239" s="4" t="s">
        <v>783</v>
      </c>
      <c r="E239" s="4" t="s">
        <v>21</v>
      </c>
      <c r="F239" s="4" t="s">
        <v>63</v>
      </c>
      <c r="G239" s="4" t="s">
        <v>46</v>
      </c>
      <c r="H239" s="4" t="s">
        <v>70</v>
      </c>
      <c r="I239" s="4" t="s">
        <v>25</v>
      </c>
      <c r="J239" s="4">
        <v>9.5</v>
      </c>
      <c r="K239" s="4">
        <v>8</v>
      </c>
      <c r="L239" s="4" t="s">
        <v>27</v>
      </c>
      <c r="M239" s="4">
        <v>2</v>
      </c>
      <c r="N239" s="4" t="s">
        <v>26</v>
      </c>
      <c r="O239" s="4" t="s">
        <v>28</v>
      </c>
      <c r="P239" s="4" t="s">
        <v>57</v>
      </c>
      <c r="Q239" s="5" t="s">
        <v>101</v>
      </c>
    </row>
    <row r="240" spans="1:17">
      <c r="A240" s="1" t="s">
        <v>784</v>
      </c>
      <c r="B240" s="2" t="s">
        <v>106</v>
      </c>
      <c r="C240" s="2" t="s">
        <v>785</v>
      </c>
      <c r="D240" s="2" t="s">
        <v>786</v>
      </c>
      <c r="E240" s="2" t="s">
        <v>21</v>
      </c>
      <c r="F240" s="2" t="s">
        <v>22</v>
      </c>
      <c r="G240" s="2" t="s">
        <v>46</v>
      </c>
      <c r="H240" s="2" t="s">
        <v>55</v>
      </c>
      <c r="I240" s="2" t="s">
        <v>25</v>
      </c>
      <c r="J240" s="2">
        <v>14.5</v>
      </c>
      <c r="K240" s="2">
        <v>8</v>
      </c>
      <c r="L240" s="2" t="s">
        <v>27</v>
      </c>
      <c r="M240" s="2">
        <v>2</v>
      </c>
      <c r="N240" s="2" t="s">
        <v>27</v>
      </c>
      <c r="O240" s="2" t="s">
        <v>28</v>
      </c>
      <c r="P240" s="2" t="s">
        <v>1670</v>
      </c>
      <c r="Q240" s="6" t="s">
        <v>58</v>
      </c>
    </row>
    <row r="241" spans="1:17">
      <c r="A241" s="3" t="s">
        <v>787</v>
      </c>
      <c r="B241" s="4" t="s">
        <v>135</v>
      </c>
      <c r="C241" s="4" t="s">
        <v>788</v>
      </c>
      <c r="D241" s="4" t="s">
        <v>789</v>
      </c>
      <c r="E241" s="4" t="s">
        <v>84</v>
      </c>
      <c r="F241" s="4" t="s">
        <v>116</v>
      </c>
      <c r="G241" s="4" t="s">
        <v>46</v>
      </c>
      <c r="H241" s="4" t="s">
        <v>91</v>
      </c>
      <c r="I241" s="4" t="s">
        <v>87</v>
      </c>
      <c r="J241" s="4">
        <v>4</v>
      </c>
      <c r="K241" s="4">
        <v>8</v>
      </c>
      <c r="L241" s="4" t="s">
        <v>26</v>
      </c>
      <c r="M241" s="4">
        <v>5</v>
      </c>
      <c r="N241" s="4" t="s">
        <v>27</v>
      </c>
      <c r="O241" s="4" t="s">
        <v>28</v>
      </c>
      <c r="P241" s="4" t="s">
        <v>29</v>
      </c>
      <c r="Q241" s="5" t="s">
        <v>58</v>
      </c>
    </row>
    <row r="242" spans="1:17">
      <c r="A242" s="1" t="s">
        <v>790</v>
      </c>
      <c r="B242" s="2" t="s">
        <v>41</v>
      </c>
      <c r="C242" s="2" t="s">
        <v>791</v>
      </c>
      <c r="D242" s="2" t="s">
        <v>792</v>
      </c>
      <c r="E242" s="2" t="s">
        <v>21</v>
      </c>
      <c r="F242" s="2" t="s">
        <v>22</v>
      </c>
      <c r="G242" s="2" t="s">
        <v>54</v>
      </c>
      <c r="H242" s="2" t="s">
        <v>86</v>
      </c>
      <c r="I242" s="2" t="s">
        <v>25</v>
      </c>
      <c r="J242" s="2">
        <v>12.3</v>
      </c>
      <c r="K242" s="2">
        <v>4</v>
      </c>
      <c r="L242" s="2" t="s">
        <v>27</v>
      </c>
      <c r="M242" s="2">
        <v>3</v>
      </c>
      <c r="N242" s="2" t="s">
        <v>26</v>
      </c>
      <c r="O242" s="2" t="s">
        <v>28</v>
      </c>
      <c r="P242" s="2" t="s">
        <v>57</v>
      </c>
      <c r="Q242" s="6" t="s">
        <v>58</v>
      </c>
    </row>
    <row r="243" spans="1:17">
      <c r="A243" s="3" t="s">
        <v>793</v>
      </c>
      <c r="B243" s="4" t="s">
        <v>66</v>
      </c>
      <c r="C243" s="4" t="s">
        <v>614</v>
      </c>
      <c r="D243" s="4" t="s">
        <v>794</v>
      </c>
      <c r="E243" s="4" t="s">
        <v>21</v>
      </c>
      <c r="F243" s="4" t="s">
        <v>69</v>
      </c>
      <c r="G243" s="4" t="s">
        <v>23</v>
      </c>
      <c r="H243" s="4" t="s">
        <v>37</v>
      </c>
      <c r="I243" s="4" t="s">
        <v>25</v>
      </c>
      <c r="J243" s="4">
        <v>9.9</v>
      </c>
      <c r="K243" s="4">
        <v>24</v>
      </c>
      <c r="L243" s="4" t="s">
        <v>26</v>
      </c>
      <c r="M243" s="4">
        <v>4</v>
      </c>
      <c r="N243" s="4" t="s">
        <v>27</v>
      </c>
      <c r="O243" s="4" t="s">
        <v>28</v>
      </c>
      <c r="P243" s="4" t="s">
        <v>29</v>
      </c>
      <c r="Q243" s="5" t="s">
        <v>58</v>
      </c>
    </row>
    <row r="244" spans="1:17">
      <c r="A244" s="1" t="s">
        <v>795</v>
      </c>
      <c r="B244" s="2" t="s">
        <v>135</v>
      </c>
      <c r="C244" s="2" t="s">
        <v>796</v>
      </c>
      <c r="D244" s="2" t="s">
        <v>797</v>
      </c>
      <c r="E244" s="2" t="s">
        <v>21</v>
      </c>
      <c r="F244" s="2" t="s">
        <v>63</v>
      </c>
      <c r="G244" s="2" t="s">
        <v>54</v>
      </c>
      <c r="H244" s="2" t="s">
        <v>55</v>
      </c>
      <c r="I244" s="2" t="s">
        <v>25</v>
      </c>
      <c r="J244" s="2">
        <v>14.3</v>
      </c>
      <c r="K244" s="2">
        <v>4</v>
      </c>
      <c r="L244" s="2" t="s">
        <v>27</v>
      </c>
      <c r="M244" s="2">
        <v>1</v>
      </c>
      <c r="N244" s="2" t="s">
        <v>27</v>
      </c>
      <c r="O244" s="2" t="s">
        <v>28</v>
      </c>
      <c r="P244" s="2" t="s">
        <v>1670</v>
      </c>
      <c r="Q244" s="6" t="s">
        <v>101</v>
      </c>
    </row>
    <row r="245" spans="1:17">
      <c r="A245" s="3" t="s">
        <v>798</v>
      </c>
      <c r="B245" s="4" t="s">
        <v>50</v>
      </c>
      <c r="C245" s="4" t="s">
        <v>799</v>
      </c>
      <c r="D245" s="4" t="s">
        <v>800</v>
      </c>
      <c r="E245" s="4" t="s">
        <v>78</v>
      </c>
      <c r="F245" s="4" t="s">
        <v>191</v>
      </c>
      <c r="G245" s="4" t="s">
        <v>46</v>
      </c>
      <c r="H245" s="4" t="s">
        <v>234</v>
      </c>
      <c r="I245" s="4" t="s">
        <v>38</v>
      </c>
      <c r="J245" s="4">
        <v>13.6</v>
      </c>
      <c r="K245" s="4">
        <v>8</v>
      </c>
      <c r="L245" s="4" t="s">
        <v>27</v>
      </c>
      <c r="M245" s="4">
        <v>2</v>
      </c>
      <c r="N245" s="4" t="s">
        <v>27</v>
      </c>
      <c r="O245" s="4" t="s">
        <v>28</v>
      </c>
      <c r="P245" s="4" t="s">
        <v>57</v>
      </c>
      <c r="Q245" s="5" t="s">
        <v>39</v>
      </c>
    </row>
    <row r="246" spans="1:17">
      <c r="A246" s="1" t="s">
        <v>801</v>
      </c>
      <c r="B246" s="2" t="s">
        <v>32</v>
      </c>
      <c r="C246" s="2" t="s">
        <v>802</v>
      </c>
      <c r="D246" s="2" t="s">
        <v>803</v>
      </c>
      <c r="E246" s="2" t="s">
        <v>35</v>
      </c>
      <c r="F246" s="2" t="s">
        <v>127</v>
      </c>
      <c r="G246" s="2" t="s">
        <v>54</v>
      </c>
      <c r="H246" s="2" t="s">
        <v>24</v>
      </c>
      <c r="I246" s="2" t="s">
        <v>56</v>
      </c>
      <c r="J246" s="2">
        <v>15.4</v>
      </c>
      <c r="K246" s="2">
        <v>4</v>
      </c>
      <c r="L246" s="2" t="s">
        <v>27</v>
      </c>
      <c r="M246" s="2">
        <v>1</v>
      </c>
      <c r="N246" s="2" t="s">
        <v>26</v>
      </c>
      <c r="O246" s="2" t="s">
        <v>28</v>
      </c>
      <c r="P246" s="2" t="s">
        <v>1670</v>
      </c>
      <c r="Q246" s="6" t="s">
        <v>101</v>
      </c>
    </row>
    <row r="247" spans="1:17">
      <c r="A247" s="3" t="s">
        <v>804</v>
      </c>
      <c r="B247" s="4" t="s">
        <v>50</v>
      </c>
      <c r="C247" s="4" t="s">
        <v>805</v>
      </c>
      <c r="D247" s="4" t="s">
        <v>806</v>
      </c>
      <c r="E247" s="4" t="s">
        <v>35</v>
      </c>
      <c r="F247" s="4" t="s">
        <v>36</v>
      </c>
      <c r="G247" s="4" t="s">
        <v>46</v>
      </c>
      <c r="H247" s="4" t="s">
        <v>86</v>
      </c>
      <c r="I247" s="4" t="s">
        <v>38</v>
      </c>
      <c r="J247" s="4">
        <v>10</v>
      </c>
      <c r="K247" s="4">
        <v>8</v>
      </c>
      <c r="L247" s="4" t="s">
        <v>27</v>
      </c>
      <c r="M247" s="4">
        <v>1</v>
      </c>
      <c r="N247" s="4" t="s">
        <v>27</v>
      </c>
      <c r="O247" s="4" t="s">
        <v>28</v>
      </c>
      <c r="P247" s="4" t="s">
        <v>57</v>
      </c>
      <c r="Q247" s="5" t="s">
        <v>58</v>
      </c>
    </row>
    <row r="248" spans="1:17">
      <c r="A248" s="1" t="s">
        <v>807</v>
      </c>
      <c r="B248" s="2" t="s">
        <v>135</v>
      </c>
      <c r="C248" s="2" t="s">
        <v>808</v>
      </c>
      <c r="D248" s="2" t="s">
        <v>809</v>
      </c>
      <c r="E248" s="2" t="s">
        <v>21</v>
      </c>
      <c r="F248" s="2" t="s">
        <v>63</v>
      </c>
      <c r="G248" s="2" t="s">
        <v>23</v>
      </c>
      <c r="H248" s="2" t="s">
        <v>86</v>
      </c>
      <c r="I248" s="2" t="s">
        <v>25</v>
      </c>
      <c r="J248" s="2">
        <v>12.6</v>
      </c>
      <c r="K248" s="2">
        <v>24</v>
      </c>
      <c r="L248" s="2" t="s">
        <v>26</v>
      </c>
      <c r="M248" s="2">
        <v>4</v>
      </c>
      <c r="N248" s="2" t="s">
        <v>27</v>
      </c>
      <c r="O248" s="2" t="s">
        <v>28</v>
      </c>
      <c r="P248" s="2" t="s">
        <v>29</v>
      </c>
      <c r="Q248" s="6" t="s">
        <v>101</v>
      </c>
    </row>
    <row r="249" spans="1:17">
      <c r="A249" s="3" t="s">
        <v>810</v>
      </c>
      <c r="B249" s="4" t="s">
        <v>60</v>
      </c>
      <c r="C249" s="4" t="s">
        <v>811</v>
      </c>
      <c r="D249" s="4" t="s">
        <v>812</v>
      </c>
      <c r="E249" s="4" t="s">
        <v>78</v>
      </c>
      <c r="F249" s="4" t="s">
        <v>191</v>
      </c>
      <c r="G249" s="4" t="s">
        <v>23</v>
      </c>
      <c r="H249" s="4" t="s">
        <v>70</v>
      </c>
      <c r="I249" s="4" t="s">
        <v>38</v>
      </c>
      <c r="J249" s="4">
        <v>14.2</v>
      </c>
      <c r="K249" s="4">
        <v>24</v>
      </c>
      <c r="L249" s="4" t="s">
        <v>27</v>
      </c>
      <c r="M249" s="4">
        <v>3</v>
      </c>
      <c r="N249" s="4" t="s">
        <v>27</v>
      </c>
      <c r="O249" s="4" t="s">
        <v>28</v>
      </c>
      <c r="P249" s="4" t="s">
        <v>1670</v>
      </c>
      <c r="Q249" s="5" t="s">
        <v>39</v>
      </c>
    </row>
    <row r="250" spans="1:17">
      <c r="A250" s="1" t="s">
        <v>813</v>
      </c>
      <c r="B250" s="2" t="s">
        <v>32</v>
      </c>
      <c r="C250" s="2" t="s">
        <v>814</v>
      </c>
      <c r="D250" s="2" t="s">
        <v>815</v>
      </c>
      <c r="E250" s="2" t="s">
        <v>21</v>
      </c>
      <c r="F250" s="2" t="s">
        <v>22</v>
      </c>
      <c r="G250" s="2" t="s">
        <v>54</v>
      </c>
      <c r="H250" s="2" t="s">
        <v>234</v>
      </c>
      <c r="I250" s="2" t="s">
        <v>25</v>
      </c>
      <c r="J250" s="2">
        <v>14.5</v>
      </c>
      <c r="K250" s="2">
        <v>4</v>
      </c>
      <c r="L250" s="2" t="s">
        <v>27</v>
      </c>
      <c r="M250" s="2">
        <v>3</v>
      </c>
      <c r="N250" s="2" t="s">
        <v>26</v>
      </c>
      <c r="O250" s="2" t="s">
        <v>28</v>
      </c>
      <c r="P250" s="2" t="s">
        <v>1670</v>
      </c>
      <c r="Q250" s="6" t="s">
        <v>101</v>
      </c>
    </row>
    <row r="251" spans="1:17">
      <c r="A251" s="3" t="s">
        <v>370</v>
      </c>
      <c r="B251" s="4" t="s">
        <v>66</v>
      </c>
      <c r="C251" s="4" t="s">
        <v>816</v>
      </c>
      <c r="D251" s="4" t="s">
        <v>817</v>
      </c>
      <c r="E251" s="4" t="s">
        <v>21</v>
      </c>
      <c r="F251" s="4" t="s">
        <v>22</v>
      </c>
      <c r="G251" s="4" t="s">
        <v>46</v>
      </c>
      <c r="H251" s="4" t="s">
        <v>70</v>
      </c>
      <c r="I251" s="4" t="s">
        <v>25</v>
      </c>
      <c r="J251" s="4">
        <v>15.9</v>
      </c>
      <c r="K251" s="4">
        <v>8</v>
      </c>
      <c r="L251" s="4" t="s">
        <v>27</v>
      </c>
      <c r="M251" s="4">
        <v>1</v>
      </c>
      <c r="N251" s="4" t="s">
        <v>27</v>
      </c>
      <c r="O251" s="4" t="s">
        <v>28</v>
      </c>
      <c r="P251" s="4" t="s">
        <v>1670</v>
      </c>
      <c r="Q251" s="5" t="s">
        <v>101</v>
      </c>
    </row>
    <row r="252" spans="1:17">
      <c r="A252" s="1" t="s">
        <v>818</v>
      </c>
      <c r="B252" s="2" t="s">
        <v>121</v>
      </c>
      <c r="C252" s="2" t="s">
        <v>819</v>
      </c>
      <c r="D252" s="2" t="s">
        <v>820</v>
      </c>
      <c r="E252" s="2" t="s">
        <v>21</v>
      </c>
      <c r="F252" s="2" t="s">
        <v>63</v>
      </c>
      <c r="G252" s="2" t="s">
        <v>23</v>
      </c>
      <c r="H252" s="2" t="s">
        <v>86</v>
      </c>
      <c r="I252" s="2" t="s">
        <v>25</v>
      </c>
      <c r="J252" s="2">
        <v>6.9</v>
      </c>
      <c r="K252" s="2">
        <v>24</v>
      </c>
      <c r="L252" s="2" t="s">
        <v>26</v>
      </c>
      <c r="M252" s="2">
        <v>4</v>
      </c>
      <c r="N252" s="2" t="s">
        <v>27</v>
      </c>
      <c r="O252" s="2" t="s">
        <v>28</v>
      </c>
      <c r="P252" s="2" t="s">
        <v>29</v>
      </c>
      <c r="Q252" s="6" t="s">
        <v>30</v>
      </c>
    </row>
    <row r="253" spans="1:17">
      <c r="A253" s="3" t="s">
        <v>821</v>
      </c>
      <c r="B253" s="4" t="s">
        <v>75</v>
      </c>
      <c r="C253" s="4" t="s">
        <v>822</v>
      </c>
      <c r="D253" s="4" t="s">
        <v>823</v>
      </c>
      <c r="E253" s="4" t="s">
        <v>78</v>
      </c>
      <c r="F253" s="4" t="s">
        <v>79</v>
      </c>
      <c r="G253" s="4" t="s">
        <v>46</v>
      </c>
      <c r="H253" s="4" t="s">
        <v>70</v>
      </c>
      <c r="I253" s="4" t="s">
        <v>80</v>
      </c>
      <c r="J253" s="4">
        <v>17</v>
      </c>
      <c r="K253" s="4">
        <v>8</v>
      </c>
      <c r="L253" s="4" t="s">
        <v>27</v>
      </c>
      <c r="M253" s="4">
        <v>1</v>
      </c>
      <c r="N253" s="4" t="s">
        <v>27</v>
      </c>
      <c r="O253" s="4" t="s">
        <v>28</v>
      </c>
      <c r="P253" s="4" t="s">
        <v>1670</v>
      </c>
      <c r="Q253" s="5" t="s">
        <v>101</v>
      </c>
    </row>
    <row r="254" spans="1:17">
      <c r="A254" s="1" t="s">
        <v>824</v>
      </c>
      <c r="B254" s="2" t="s">
        <v>32</v>
      </c>
      <c r="C254" s="2" t="s">
        <v>825</v>
      </c>
      <c r="D254" s="2" t="s">
        <v>826</v>
      </c>
      <c r="E254" s="2" t="s">
        <v>35</v>
      </c>
      <c r="F254" s="2" t="s">
        <v>53</v>
      </c>
      <c r="G254" s="2" t="s">
        <v>54</v>
      </c>
      <c r="H254" s="2" t="s">
        <v>91</v>
      </c>
      <c r="I254" s="2" t="s">
        <v>56</v>
      </c>
      <c r="J254" s="2">
        <v>9.9</v>
      </c>
      <c r="K254" s="2">
        <v>4</v>
      </c>
      <c r="L254" s="2" t="s">
        <v>27</v>
      </c>
      <c r="M254" s="2">
        <v>2</v>
      </c>
      <c r="N254" s="2" t="s">
        <v>26</v>
      </c>
      <c r="O254" s="2" t="s">
        <v>28</v>
      </c>
      <c r="P254" s="2" t="s">
        <v>57</v>
      </c>
      <c r="Q254" s="6" t="s">
        <v>101</v>
      </c>
    </row>
    <row r="255" spans="1:17">
      <c r="A255" s="3" t="s">
        <v>827</v>
      </c>
      <c r="B255" s="4" t="s">
        <v>135</v>
      </c>
      <c r="C255" s="4" t="s">
        <v>828</v>
      </c>
      <c r="D255" s="4" t="s">
        <v>829</v>
      </c>
      <c r="E255" s="4" t="s">
        <v>84</v>
      </c>
      <c r="F255" s="4" t="s">
        <v>116</v>
      </c>
      <c r="G255" s="4" t="s">
        <v>46</v>
      </c>
      <c r="H255" s="4" t="s">
        <v>37</v>
      </c>
      <c r="I255" s="4" t="s">
        <v>87</v>
      </c>
      <c r="J255" s="4">
        <v>7.7</v>
      </c>
      <c r="K255" s="4">
        <v>8</v>
      </c>
      <c r="L255" s="4" t="s">
        <v>26</v>
      </c>
      <c r="M255" s="4">
        <v>5</v>
      </c>
      <c r="N255" s="4" t="s">
        <v>27</v>
      </c>
      <c r="O255" s="4" t="s">
        <v>28</v>
      </c>
      <c r="P255" s="4" t="s">
        <v>29</v>
      </c>
      <c r="Q255" s="5" t="s">
        <v>58</v>
      </c>
    </row>
    <row r="256" spans="1:17">
      <c r="A256" s="1" t="s">
        <v>830</v>
      </c>
      <c r="B256" s="2" t="s">
        <v>75</v>
      </c>
      <c r="C256" s="2" t="s">
        <v>831</v>
      </c>
      <c r="D256" s="2" t="s">
        <v>832</v>
      </c>
      <c r="E256" s="2" t="s">
        <v>21</v>
      </c>
      <c r="F256" s="2" t="s">
        <v>63</v>
      </c>
      <c r="G256" s="2" t="s">
        <v>54</v>
      </c>
      <c r="H256" s="2" t="s">
        <v>138</v>
      </c>
      <c r="I256" s="2" t="s">
        <v>25</v>
      </c>
      <c r="J256" s="2">
        <v>14.3</v>
      </c>
      <c r="K256" s="2">
        <v>4</v>
      </c>
      <c r="L256" s="2" t="s">
        <v>27</v>
      </c>
      <c r="M256" s="2">
        <v>3</v>
      </c>
      <c r="N256" s="2" t="s">
        <v>26</v>
      </c>
      <c r="O256" s="2" t="s">
        <v>28</v>
      </c>
      <c r="P256" s="2" t="s">
        <v>57</v>
      </c>
      <c r="Q256" s="6" t="s">
        <v>30</v>
      </c>
    </row>
    <row r="257" spans="1:17">
      <c r="A257" s="3" t="s">
        <v>833</v>
      </c>
      <c r="B257" s="4" t="s">
        <v>41</v>
      </c>
      <c r="C257" s="4" t="s">
        <v>834</v>
      </c>
      <c r="D257" s="4" t="s">
        <v>835</v>
      </c>
      <c r="E257" s="4" t="s">
        <v>21</v>
      </c>
      <c r="F257" s="4" t="s">
        <v>69</v>
      </c>
      <c r="G257" s="4" t="s">
        <v>46</v>
      </c>
      <c r="H257" s="4" t="s">
        <v>138</v>
      </c>
      <c r="I257" s="4" t="s">
        <v>25</v>
      </c>
      <c r="J257" s="4">
        <v>13.2</v>
      </c>
      <c r="K257" s="4">
        <v>8</v>
      </c>
      <c r="L257" s="4" t="s">
        <v>27</v>
      </c>
      <c r="M257" s="4">
        <v>2</v>
      </c>
      <c r="N257" s="4" t="s">
        <v>26</v>
      </c>
      <c r="O257" s="4" t="s">
        <v>28</v>
      </c>
      <c r="P257" s="4" t="s">
        <v>1670</v>
      </c>
      <c r="Q257" s="5" t="s">
        <v>39</v>
      </c>
    </row>
    <row r="258" spans="1:17">
      <c r="A258" s="1" t="s">
        <v>836</v>
      </c>
      <c r="B258" s="2" t="s">
        <v>32</v>
      </c>
      <c r="C258" s="2" t="s">
        <v>837</v>
      </c>
      <c r="D258" s="2" t="s">
        <v>838</v>
      </c>
      <c r="E258" s="2" t="s">
        <v>21</v>
      </c>
      <c r="F258" s="2" t="s">
        <v>69</v>
      </c>
      <c r="G258" s="2" t="s">
        <v>54</v>
      </c>
      <c r="H258" s="2" t="s">
        <v>138</v>
      </c>
      <c r="I258" s="2" t="s">
        <v>25</v>
      </c>
      <c r="J258" s="2">
        <v>9.3000000000000007</v>
      </c>
      <c r="K258" s="2">
        <v>4</v>
      </c>
      <c r="L258" s="2" t="s">
        <v>27</v>
      </c>
      <c r="M258" s="2">
        <v>3</v>
      </c>
      <c r="N258" s="2" t="s">
        <v>27</v>
      </c>
      <c r="O258" s="2" t="s">
        <v>28</v>
      </c>
      <c r="P258" s="2" t="s">
        <v>1670</v>
      </c>
      <c r="Q258" s="6" t="s">
        <v>58</v>
      </c>
    </row>
    <row r="259" spans="1:17">
      <c r="A259" s="3" t="s">
        <v>839</v>
      </c>
      <c r="B259" s="4" t="s">
        <v>32</v>
      </c>
      <c r="C259" s="4" t="s">
        <v>840</v>
      </c>
      <c r="D259" s="4" t="s">
        <v>841</v>
      </c>
      <c r="E259" s="4" t="s">
        <v>35</v>
      </c>
      <c r="F259" s="4" t="s">
        <v>127</v>
      </c>
      <c r="G259" s="4" t="s">
        <v>46</v>
      </c>
      <c r="H259" s="4" t="s">
        <v>91</v>
      </c>
      <c r="I259" s="4" t="s">
        <v>56</v>
      </c>
      <c r="J259" s="4">
        <v>6.2</v>
      </c>
      <c r="K259" s="4">
        <v>8</v>
      </c>
      <c r="L259" s="4" t="s">
        <v>26</v>
      </c>
      <c r="M259" s="4">
        <v>5</v>
      </c>
      <c r="N259" s="4" t="s">
        <v>27</v>
      </c>
      <c r="O259" s="4" t="s">
        <v>28</v>
      </c>
      <c r="P259" s="4" t="s">
        <v>29</v>
      </c>
      <c r="Q259" s="5" t="s">
        <v>101</v>
      </c>
    </row>
    <row r="260" spans="1:17">
      <c r="A260" s="1" t="s">
        <v>842</v>
      </c>
      <c r="B260" s="2" t="s">
        <v>50</v>
      </c>
      <c r="C260" s="2" t="s">
        <v>843</v>
      </c>
      <c r="D260" s="2" t="s">
        <v>844</v>
      </c>
      <c r="E260" s="2" t="s">
        <v>21</v>
      </c>
      <c r="F260" s="2" t="s">
        <v>69</v>
      </c>
      <c r="G260" s="2" t="s">
        <v>23</v>
      </c>
      <c r="H260" s="2" t="s">
        <v>64</v>
      </c>
      <c r="I260" s="2" t="s">
        <v>25</v>
      </c>
      <c r="J260" s="2">
        <v>8.3000000000000007</v>
      </c>
      <c r="K260" s="2">
        <v>24</v>
      </c>
      <c r="L260" s="2" t="s">
        <v>26</v>
      </c>
      <c r="M260" s="2">
        <v>4</v>
      </c>
      <c r="N260" s="2" t="s">
        <v>27</v>
      </c>
      <c r="O260" s="2" t="s">
        <v>28</v>
      </c>
      <c r="P260" s="2" t="s">
        <v>29</v>
      </c>
      <c r="Q260" s="6" t="s">
        <v>101</v>
      </c>
    </row>
    <row r="261" spans="1:17">
      <c r="A261" s="3" t="s">
        <v>845</v>
      </c>
      <c r="B261" s="4" t="s">
        <v>121</v>
      </c>
      <c r="C261" s="4" t="s">
        <v>846</v>
      </c>
      <c r="D261" s="4" t="s">
        <v>847</v>
      </c>
      <c r="E261" s="4" t="s">
        <v>84</v>
      </c>
      <c r="F261" s="4" t="s">
        <v>85</v>
      </c>
      <c r="G261" s="4" t="s">
        <v>46</v>
      </c>
      <c r="H261" s="4" t="s">
        <v>64</v>
      </c>
      <c r="I261" s="4" t="s">
        <v>87</v>
      </c>
      <c r="J261" s="4">
        <v>5.8</v>
      </c>
      <c r="K261" s="4">
        <v>8</v>
      </c>
      <c r="L261" s="4" t="s">
        <v>26</v>
      </c>
      <c r="M261" s="4">
        <v>4</v>
      </c>
      <c r="N261" s="4" t="s">
        <v>27</v>
      </c>
      <c r="O261" s="4" t="s">
        <v>28</v>
      </c>
      <c r="P261" s="4" t="s">
        <v>29</v>
      </c>
      <c r="Q261" s="5" t="s">
        <v>39</v>
      </c>
    </row>
    <row r="262" spans="1:17">
      <c r="A262" s="1" t="s">
        <v>848</v>
      </c>
      <c r="B262" s="2" t="s">
        <v>32</v>
      </c>
      <c r="C262" s="2" t="s">
        <v>849</v>
      </c>
      <c r="D262" s="2" t="s">
        <v>850</v>
      </c>
      <c r="E262" s="2" t="s">
        <v>21</v>
      </c>
      <c r="F262" s="2" t="s">
        <v>63</v>
      </c>
      <c r="G262" s="2" t="s">
        <v>46</v>
      </c>
      <c r="H262" s="2" t="s">
        <v>37</v>
      </c>
      <c r="I262" s="2" t="s">
        <v>25</v>
      </c>
      <c r="J262" s="2">
        <v>14.6</v>
      </c>
      <c r="K262" s="2">
        <v>8</v>
      </c>
      <c r="L262" s="2" t="s">
        <v>27</v>
      </c>
      <c r="M262" s="2"/>
      <c r="N262" s="2" t="s">
        <v>26</v>
      </c>
      <c r="O262" s="2" t="s">
        <v>28</v>
      </c>
      <c r="P262" s="2" t="s">
        <v>57</v>
      </c>
      <c r="Q262" s="6" t="s">
        <v>58</v>
      </c>
    </row>
    <row r="263" spans="1:17">
      <c r="A263" s="3" t="s">
        <v>851</v>
      </c>
      <c r="B263" s="4" t="s">
        <v>18</v>
      </c>
      <c r="C263" s="4" t="s">
        <v>852</v>
      </c>
      <c r="D263" s="4" t="s">
        <v>853</v>
      </c>
      <c r="E263" s="4" t="s">
        <v>84</v>
      </c>
      <c r="F263" s="4" t="s">
        <v>116</v>
      </c>
      <c r="G263" s="4" t="s">
        <v>23</v>
      </c>
      <c r="H263" s="4" t="s">
        <v>37</v>
      </c>
      <c r="I263" s="4" t="s">
        <v>87</v>
      </c>
      <c r="J263" s="4">
        <v>7.3</v>
      </c>
      <c r="K263" s="4">
        <v>24</v>
      </c>
      <c r="L263" s="4" t="s">
        <v>26</v>
      </c>
      <c r="M263" s="4">
        <v>5</v>
      </c>
      <c r="N263" s="4" t="s">
        <v>27</v>
      </c>
      <c r="O263" s="4" t="s">
        <v>28</v>
      </c>
      <c r="P263" s="4" t="s">
        <v>29</v>
      </c>
      <c r="Q263" s="5" t="s">
        <v>101</v>
      </c>
    </row>
    <row r="264" spans="1:17">
      <c r="A264" s="1" t="s">
        <v>854</v>
      </c>
      <c r="B264" s="2" t="s">
        <v>75</v>
      </c>
      <c r="C264" s="2" t="s">
        <v>855</v>
      </c>
      <c r="D264" s="2" t="s">
        <v>856</v>
      </c>
      <c r="E264" s="2" t="s">
        <v>44</v>
      </c>
      <c r="F264" s="2" t="s">
        <v>45</v>
      </c>
      <c r="G264" s="2" t="s">
        <v>54</v>
      </c>
      <c r="H264" s="2" t="s">
        <v>64</v>
      </c>
      <c r="I264" s="2" t="s">
        <v>48</v>
      </c>
      <c r="J264" s="2">
        <v>2.8</v>
      </c>
      <c r="K264" s="2">
        <v>4</v>
      </c>
      <c r="L264" s="2" t="s">
        <v>26</v>
      </c>
      <c r="M264" s="2">
        <v>4</v>
      </c>
      <c r="N264" s="2" t="s">
        <v>27</v>
      </c>
      <c r="O264" s="2" t="s">
        <v>28</v>
      </c>
      <c r="P264" s="2" t="s">
        <v>29</v>
      </c>
      <c r="Q264" s="6" t="s">
        <v>39</v>
      </c>
    </row>
    <row r="265" spans="1:17">
      <c r="A265" s="3" t="s">
        <v>857</v>
      </c>
      <c r="B265" s="4" t="s">
        <v>32</v>
      </c>
      <c r="C265" s="4" t="s">
        <v>858</v>
      </c>
      <c r="D265" s="4" t="s">
        <v>859</v>
      </c>
      <c r="E265" s="4" t="s">
        <v>21</v>
      </c>
      <c r="F265" s="4" t="s">
        <v>63</v>
      </c>
      <c r="G265" s="4" t="s">
        <v>46</v>
      </c>
      <c r="H265" s="4" t="s">
        <v>24</v>
      </c>
      <c r="I265" s="4" t="s">
        <v>25</v>
      </c>
      <c r="J265" s="4">
        <v>12.9</v>
      </c>
      <c r="K265" s="4">
        <v>8</v>
      </c>
      <c r="L265" s="4" t="s">
        <v>27</v>
      </c>
      <c r="M265" s="4">
        <v>1</v>
      </c>
      <c r="N265" s="4" t="s">
        <v>27</v>
      </c>
      <c r="O265" s="4" t="s">
        <v>28</v>
      </c>
      <c r="P265" s="4" t="s">
        <v>57</v>
      </c>
      <c r="Q265" s="5" t="s">
        <v>58</v>
      </c>
    </row>
    <row r="266" spans="1:17">
      <c r="A266" s="1" t="s">
        <v>860</v>
      </c>
      <c r="B266" s="2" t="s">
        <v>50</v>
      </c>
      <c r="C266" s="2" t="s">
        <v>861</v>
      </c>
      <c r="D266" s="2" t="s">
        <v>862</v>
      </c>
      <c r="E266" s="2" t="s">
        <v>35</v>
      </c>
      <c r="F266" s="2" t="s">
        <v>53</v>
      </c>
      <c r="G266" s="2" t="s">
        <v>46</v>
      </c>
      <c r="H266" s="2" t="s">
        <v>234</v>
      </c>
      <c r="I266" s="2" t="s">
        <v>56</v>
      </c>
      <c r="J266" s="2">
        <v>5.3</v>
      </c>
      <c r="K266" s="2">
        <v>8</v>
      </c>
      <c r="L266" s="2" t="s">
        <v>26</v>
      </c>
      <c r="M266" s="2">
        <v>5</v>
      </c>
      <c r="N266" s="2" t="s">
        <v>27</v>
      </c>
      <c r="O266" s="2" t="s">
        <v>28</v>
      </c>
      <c r="P266" s="2" t="s">
        <v>29</v>
      </c>
      <c r="Q266" s="6" t="s">
        <v>30</v>
      </c>
    </row>
    <row r="267" spans="1:17">
      <c r="A267" s="3" t="s">
        <v>863</v>
      </c>
      <c r="B267" s="4" t="s">
        <v>121</v>
      </c>
      <c r="C267" s="4" t="s">
        <v>864</v>
      </c>
      <c r="D267" s="4" t="s">
        <v>865</v>
      </c>
      <c r="E267" s="4" t="s">
        <v>21</v>
      </c>
      <c r="F267" s="4" t="s">
        <v>22</v>
      </c>
      <c r="G267" s="4" t="s">
        <v>46</v>
      </c>
      <c r="H267" s="4" t="s">
        <v>234</v>
      </c>
      <c r="I267" s="4" t="s">
        <v>25</v>
      </c>
      <c r="J267" s="4">
        <v>11.3</v>
      </c>
      <c r="K267" s="4">
        <v>8</v>
      </c>
      <c r="L267" s="4" t="s">
        <v>27</v>
      </c>
      <c r="M267" s="4">
        <v>1</v>
      </c>
      <c r="N267" s="4" t="s">
        <v>26</v>
      </c>
      <c r="O267" s="4" t="s">
        <v>28</v>
      </c>
      <c r="P267" s="4" t="s">
        <v>1670</v>
      </c>
      <c r="Q267" s="5" t="s">
        <v>101</v>
      </c>
    </row>
    <row r="268" spans="1:17">
      <c r="A268" s="1" t="s">
        <v>866</v>
      </c>
      <c r="B268" s="2" t="s">
        <v>32</v>
      </c>
      <c r="C268" s="2" t="s">
        <v>867</v>
      </c>
      <c r="D268" s="2" t="s">
        <v>868</v>
      </c>
      <c r="E268" s="2" t="s">
        <v>78</v>
      </c>
      <c r="F268" s="2" t="s">
        <v>191</v>
      </c>
      <c r="G268" s="2" t="s">
        <v>46</v>
      </c>
      <c r="H268" s="2" t="s">
        <v>86</v>
      </c>
      <c r="I268" s="2" t="s">
        <v>38</v>
      </c>
      <c r="J268" s="2">
        <v>22.3</v>
      </c>
      <c r="K268" s="2">
        <v>8</v>
      </c>
      <c r="L268" s="2" t="s">
        <v>27</v>
      </c>
      <c r="M268" s="2">
        <v>1</v>
      </c>
      <c r="N268" s="2" t="s">
        <v>27</v>
      </c>
      <c r="O268" s="2" t="s">
        <v>28</v>
      </c>
      <c r="P268" s="2" t="s">
        <v>57</v>
      </c>
      <c r="Q268" s="6" t="s">
        <v>58</v>
      </c>
    </row>
    <row r="269" spans="1:17">
      <c r="A269" s="3" t="s">
        <v>869</v>
      </c>
      <c r="B269" s="4" t="s">
        <v>18</v>
      </c>
      <c r="C269" s="4" t="s">
        <v>870</v>
      </c>
      <c r="D269" s="4" t="s">
        <v>871</v>
      </c>
      <c r="E269" s="4" t="s">
        <v>35</v>
      </c>
      <c r="F269" s="4" t="s">
        <v>127</v>
      </c>
      <c r="G269" s="4" t="s">
        <v>46</v>
      </c>
      <c r="H269" s="4" t="s">
        <v>70</v>
      </c>
      <c r="I269" s="4" t="s">
        <v>56</v>
      </c>
      <c r="J269" s="4">
        <v>8.1999999999999993</v>
      </c>
      <c r="K269" s="4">
        <v>8</v>
      </c>
      <c r="L269" s="4" t="s">
        <v>27</v>
      </c>
      <c r="M269" s="4">
        <v>3</v>
      </c>
      <c r="N269" s="4" t="s">
        <v>27</v>
      </c>
      <c r="O269" s="4" t="s">
        <v>28</v>
      </c>
      <c r="P269" s="4" t="s">
        <v>57</v>
      </c>
      <c r="Q269" s="5" t="s">
        <v>58</v>
      </c>
    </row>
    <row r="270" spans="1:17">
      <c r="A270" s="1" t="s">
        <v>872</v>
      </c>
      <c r="B270" s="2" t="s">
        <v>66</v>
      </c>
      <c r="C270" s="2" t="s">
        <v>873</v>
      </c>
      <c r="D270" s="2" t="s">
        <v>874</v>
      </c>
      <c r="E270" s="2" t="s">
        <v>21</v>
      </c>
      <c r="F270" s="2" t="s">
        <v>63</v>
      </c>
      <c r="G270" s="2" t="s">
        <v>23</v>
      </c>
      <c r="H270" s="2" t="s">
        <v>55</v>
      </c>
      <c r="I270" s="2" t="s">
        <v>25</v>
      </c>
      <c r="J270" s="2">
        <v>12.2</v>
      </c>
      <c r="K270" s="2">
        <v>24</v>
      </c>
      <c r="L270" s="2" t="s">
        <v>26</v>
      </c>
      <c r="M270" s="2">
        <v>5</v>
      </c>
      <c r="N270" s="2" t="s">
        <v>27</v>
      </c>
      <c r="O270" s="2" t="s">
        <v>28</v>
      </c>
      <c r="P270" s="2" t="s">
        <v>29</v>
      </c>
      <c r="Q270" s="6" t="s">
        <v>39</v>
      </c>
    </row>
    <row r="271" spans="1:17">
      <c r="A271" s="3" t="s">
        <v>875</v>
      </c>
      <c r="B271" s="4" t="s">
        <v>75</v>
      </c>
      <c r="C271" s="4" t="s">
        <v>876</v>
      </c>
      <c r="D271" s="4" t="s">
        <v>877</v>
      </c>
      <c r="E271" s="4" t="s">
        <v>44</v>
      </c>
      <c r="F271" s="4" t="s">
        <v>45</v>
      </c>
      <c r="G271" s="4" t="s">
        <v>23</v>
      </c>
      <c r="H271" s="4" t="s">
        <v>24</v>
      </c>
      <c r="I271" s="4" t="s">
        <v>48</v>
      </c>
      <c r="J271" s="4">
        <v>4.7</v>
      </c>
      <c r="K271" s="4">
        <v>24</v>
      </c>
      <c r="L271" s="4" t="s">
        <v>26</v>
      </c>
      <c r="M271" s="4">
        <v>4</v>
      </c>
      <c r="N271" s="4" t="s">
        <v>27</v>
      </c>
      <c r="O271" s="4" t="s">
        <v>28</v>
      </c>
      <c r="P271" s="4" t="s">
        <v>29</v>
      </c>
      <c r="Q271" s="5" t="s">
        <v>30</v>
      </c>
    </row>
    <row r="272" spans="1:17">
      <c r="A272" s="1" t="s">
        <v>878</v>
      </c>
      <c r="B272" s="2" t="s">
        <v>60</v>
      </c>
      <c r="C272" s="2" t="s">
        <v>879</v>
      </c>
      <c r="D272" s="2" t="s">
        <v>880</v>
      </c>
      <c r="E272" s="2" t="s">
        <v>78</v>
      </c>
      <c r="F272" s="2" t="s">
        <v>166</v>
      </c>
      <c r="G272" s="2" t="s">
        <v>23</v>
      </c>
      <c r="H272" s="2" t="s">
        <v>234</v>
      </c>
      <c r="I272" s="2" t="s">
        <v>80</v>
      </c>
      <c r="J272" s="2">
        <v>18.7</v>
      </c>
      <c r="K272" s="2">
        <v>24</v>
      </c>
      <c r="L272" s="2" t="s">
        <v>26</v>
      </c>
      <c r="M272" s="2">
        <v>4</v>
      </c>
      <c r="N272" s="2" t="s">
        <v>27</v>
      </c>
      <c r="O272" s="2" t="s">
        <v>28</v>
      </c>
      <c r="P272" s="2" t="s">
        <v>29</v>
      </c>
      <c r="Q272" s="6" t="s">
        <v>101</v>
      </c>
    </row>
    <row r="273" spans="1:17">
      <c r="A273" s="3" t="s">
        <v>881</v>
      </c>
      <c r="B273" s="4" t="s">
        <v>50</v>
      </c>
      <c r="C273" s="4" t="s">
        <v>882</v>
      </c>
      <c r="D273" s="4" t="s">
        <v>883</v>
      </c>
      <c r="E273" s="4" t="s">
        <v>78</v>
      </c>
      <c r="F273" s="4" t="s">
        <v>166</v>
      </c>
      <c r="G273" s="4" t="s">
        <v>23</v>
      </c>
      <c r="H273" s="4" t="s">
        <v>37</v>
      </c>
      <c r="I273" s="4" t="s">
        <v>80</v>
      </c>
      <c r="J273" s="4">
        <v>19.899999999999999</v>
      </c>
      <c r="K273" s="4">
        <v>24</v>
      </c>
      <c r="L273" s="4" t="s">
        <v>26</v>
      </c>
      <c r="M273" s="4">
        <v>4</v>
      </c>
      <c r="N273" s="4" t="s">
        <v>27</v>
      </c>
      <c r="O273" s="4" t="s">
        <v>28</v>
      </c>
      <c r="P273" s="4" t="s">
        <v>29</v>
      </c>
      <c r="Q273" s="5" t="s">
        <v>101</v>
      </c>
    </row>
    <row r="274" spans="1:17">
      <c r="A274" s="1" t="s">
        <v>884</v>
      </c>
      <c r="B274" s="2" t="s">
        <v>121</v>
      </c>
      <c r="C274" s="2" t="s">
        <v>885</v>
      </c>
      <c r="D274" s="2" t="s">
        <v>886</v>
      </c>
      <c r="E274" s="2" t="s">
        <v>84</v>
      </c>
      <c r="F274" s="2" t="s">
        <v>116</v>
      </c>
      <c r="G274" s="2" t="s">
        <v>54</v>
      </c>
      <c r="H274" s="2" t="s">
        <v>37</v>
      </c>
      <c r="I274" s="2" t="s">
        <v>87</v>
      </c>
      <c r="J274" s="2">
        <v>9.1999999999999993</v>
      </c>
      <c r="K274" s="2">
        <v>4</v>
      </c>
      <c r="L274" s="2" t="s">
        <v>27</v>
      </c>
      <c r="M274" s="2">
        <v>1</v>
      </c>
      <c r="N274" s="2" t="s">
        <v>26</v>
      </c>
      <c r="O274" s="2" t="s">
        <v>28</v>
      </c>
      <c r="P274" s="2" t="s">
        <v>57</v>
      </c>
      <c r="Q274" s="6" t="s">
        <v>58</v>
      </c>
    </row>
    <row r="275" spans="1:17">
      <c r="A275" s="3" t="s">
        <v>887</v>
      </c>
      <c r="B275" s="4" t="s">
        <v>66</v>
      </c>
      <c r="C275" s="4" t="s">
        <v>888</v>
      </c>
      <c r="D275" s="4" t="s">
        <v>889</v>
      </c>
      <c r="E275" s="4" t="s">
        <v>44</v>
      </c>
      <c r="F275" s="4" t="s">
        <v>109</v>
      </c>
      <c r="G275" s="4" t="s">
        <v>23</v>
      </c>
      <c r="H275" s="4" t="s">
        <v>55</v>
      </c>
      <c r="I275" s="4" t="s">
        <v>48</v>
      </c>
      <c r="J275" s="4">
        <v>1.9</v>
      </c>
      <c r="K275" s="4">
        <v>24</v>
      </c>
      <c r="L275" s="4" t="s">
        <v>26</v>
      </c>
      <c r="M275" s="4">
        <v>4</v>
      </c>
      <c r="N275" s="4" t="s">
        <v>27</v>
      </c>
      <c r="O275" s="4" t="s">
        <v>28</v>
      </c>
      <c r="P275" s="4" t="s">
        <v>29</v>
      </c>
      <c r="Q275" s="5" t="s">
        <v>58</v>
      </c>
    </row>
    <row r="276" spans="1:17">
      <c r="A276" s="1" t="s">
        <v>890</v>
      </c>
      <c r="B276" s="2" t="s">
        <v>75</v>
      </c>
      <c r="C276" s="2" t="s">
        <v>891</v>
      </c>
      <c r="D276" s="2" t="s">
        <v>892</v>
      </c>
      <c r="E276" s="2" t="s">
        <v>21</v>
      </c>
      <c r="F276" s="2" t="s">
        <v>69</v>
      </c>
      <c r="G276" s="2" t="s">
        <v>54</v>
      </c>
      <c r="H276" s="2" t="s">
        <v>55</v>
      </c>
      <c r="I276" s="2" t="s">
        <v>25</v>
      </c>
      <c r="J276" s="2">
        <v>8</v>
      </c>
      <c r="K276" s="2">
        <v>4</v>
      </c>
      <c r="L276" s="2" t="s">
        <v>27</v>
      </c>
      <c r="M276" s="2">
        <v>1</v>
      </c>
      <c r="N276" s="2" t="s">
        <v>26</v>
      </c>
      <c r="O276" s="2" t="s">
        <v>28</v>
      </c>
      <c r="P276" s="2" t="s">
        <v>1670</v>
      </c>
      <c r="Q276" s="6" t="s">
        <v>39</v>
      </c>
    </row>
    <row r="277" spans="1:17">
      <c r="A277" s="3" t="s">
        <v>893</v>
      </c>
      <c r="B277" s="4" t="s">
        <v>121</v>
      </c>
      <c r="C277" s="4" t="s">
        <v>894</v>
      </c>
      <c r="D277" s="4" t="s">
        <v>895</v>
      </c>
      <c r="E277" s="4" t="s">
        <v>21</v>
      </c>
      <c r="F277" s="4" t="s">
        <v>69</v>
      </c>
      <c r="G277" s="4" t="s">
        <v>46</v>
      </c>
      <c r="H277" s="4" t="s">
        <v>64</v>
      </c>
      <c r="I277" s="4" t="s">
        <v>25</v>
      </c>
      <c r="J277" s="4">
        <v>9.1</v>
      </c>
      <c r="K277" s="4">
        <v>8</v>
      </c>
      <c r="L277" s="4" t="s">
        <v>27</v>
      </c>
      <c r="M277" s="4">
        <v>3</v>
      </c>
      <c r="N277" s="4" t="s">
        <v>26</v>
      </c>
      <c r="O277" s="4" t="s">
        <v>28</v>
      </c>
      <c r="P277" s="4" t="s">
        <v>1670</v>
      </c>
      <c r="Q277" s="5" t="s">
        <v>101</v>
      </c>
    </row>
    <row r="278" spans="1:17">
      <c r="A278" s="1" t="s">
        <v>896</v>
      </c>
      <c r="B278" s="2" t="s">
        <v>41</v>
      </c>
      <c r="C278" s="2" t="s">
        <v>897</v>
      </c>
      <c r="D278" s="2" t="s">
        <v>898</v>
      </c>
      <c r="E278" s="2" t="s">
        <v>78</v>
      </c>
      <c r="F278" s="2" t="s">
        <v>191</v>
      </c>
      <c r="G278" s="2" t="s">
        <v>23</v>
      </c>
      <c r="H278" s="2" t="s">
        <v>70</v>
      </c>
      <c r="I278" s="2" t="s">
        <v>38</v>
      </c>
      <c r="J278" s="2">
        <v>9.3000000000000007</v>
      </c>
      <c r="K278" s="2">
        <v>24</v>
      </c>
      <c r="L278" s="2" t="s">
        <v>26</v>
      </c>
      <c r="M278" s="2">
        <v>4</v>
      </c>
      <c r="N278" s="2" t="s">
        <v>27</v>
      </c>
      <c r="O278" s="2" t="s">
        <v>28</v>
      </c>
      <c r="P278" s="2" t="s">
        <v>29</v>
      </c>
      <c r="Q278" s="6" t="s">
        <v>101</v>
      </c>
    </row>
    <row r="279" spans="1:17">
      <c r="A279" s="3" t="s">
        <v>899</v>
      </c>
      <c r="B279" s="4" t="s">
        <v>121</v>
      </c>
      <c r="C279" s="4" t="s">
        <v>900</v>
      </c>
      <c r="D279" s="4" t="s">
        <v>901</v>
      </c>
      <c r="E279" s="4" t="s">
        <v>78</v>
      </c>
      <c r="F279" s="4" t="s">
        <v>79</v>
      </c>
      <c r="G279" s="4" t="s">
        <v>46</v>
      </c>
      <c r="H279" s="4" t="s">
        <v>70</v>
      </c>
      <c r="I279" s="4" t="s">
        <v>80</v>
      </c>
      <c r="J279" s="4">
        <v>17.3</v>
      </c>
      <c r="K279" s="4">
        <v>8</v>
      </c>
      <c r="L279" s="4" t="s">
        <v>27</v>
      </c>
      <c r="M279" s="4"/>
      <c r="N279" s="4" t="s">
        <v>26</v>
      </c>
      <c r="O279" s="4" t="s">
        <v>28</v>
      </c>
      <c r="P279" s="4" t="s">
        <v>1670</v>
      </c>
      <c r="Q279" s="5" t="s">
        <v>39</v>
      </c>
    </row>
    <row r="280" spans="1:17">
      <c r="A280" s="1" t="s">
        <v>902</v>
      </c>
      <c r="B280" s="2" t="s">
        <v>32</v>
      </c>
      <c r="C280" s="2" t="s">
        <v>903</v>
      </c>
      <c r="D280" s="2" t="s">
        <v>904</v>
      </c>
      <c r="E280" s="2" t="s">
        <v>78</v>
      </c>
      <c r="F280" s="2" t="s">
        <v>79</v>
      </c>
      <c r="G280" s="2" t="s">
        <v>46</v>
      </c>
      <c r="H280" s="2" t="s">
        <v>86</v>
      </c>
      <c r="I280" s="2" t="s">
        <v>80</v>
      </c>
      <c r="J280" s="2">
        <v>16.5</v>
      </c>
      <c r="K280" s="2">
        <v>8</v>
      </c>
      <c r="L280" s="2" t="s">
        <v>27</v>
      </c>
      <c r="M280" s="2">
        <v>2</v>
      </c>
      <c r="N280" s="2" t="s">
        <v>27</v>
      </c>
      <c r="O280" s="2" t="s">
        <v>28</v>
      </c>
      <c r="P280" s="2" t="s">
        <v>57</v>
      </c>
      <c r="Q280" s="6" t="s">
        <v>58</v>
      </c>
    </row>
    <row r="281" spans="1:17">
      <c r="A281" s="3" t="s">
        <v>905</v>
      </c>
      <c r="B281" s="4" t="s">
        <v>135</v>
      </c>
      <c r="C281" s="4" t="s">
        <v>906</v>
      </c>
      <c r="D281" s="4" t="s">
        <v>907</v>
      </c>
      <c r="E281" s="4" t="s">
        <v>84</v>
      </c>
      <c r="F281" s="4" t="s">
        <v>116</v>
      </c>
      <c r="G281" s="4" t="s">
        <v>54</v>
      </c>
      <c r="H281" s="4" t="s">
        <v>24</v>
      </c>
      <c r="I281" s="4" t="s">
        <v>87</v>
      </c>
      <c r="J281" s="4">
        <v>8.4</v>
      </c>
      <c r="K281" s="4">
        <v>4</v>
      </c>
      <c r="L281" s="4" t="s">
        <v>27</v>
      </c>
      <c r="M281" s="4">
        <v>1</v>
      </c>
      <c r="N281" s="4" t="s">
        <v>26</v>
      </c>
      <c r="O281" s="4" t="s">
        <v>28</v>
      </c>
      <c r="P281" s="4" t="s">
        <v>57</v>
      </c>
      <c r="Q281" s="5" t="s">
        <v>58</v>
      </c>
    </row>
    <row r="282" spans="1:17">
      <c r="A282" s="1" t="s">
        <v>908</v>
      </c>
      <c r="B282" s="2" t="s">
        <v>32</v>
      </c>
      <c r="C282" s="2" t="s">
        <v>909</v>
      </c>
      <c r="D282" s="2" t="s">
        <v>910</v>
      </c>
      <c r="E282" s="2" t="s">
        <v>21</v>
      </c>
      <c r="F282" s="2" t="s">
        <v>69</v>
      </c>
      <c r="G282" s="2" t="s">
        <v>46</v>
      </c>
      <c r="H282" s="2" t="s">
        <v>70</v>
      </c>
      <c r="I282" s="2" t="s">
        <v>25</v>
      </c>
      <c r="J282" s="2">
        <v>7.9</v>
      </c>
      <c r="K282" s="2">
        <v>8</v>
      </c>
      <c r="L282" s="2" t="s">
        <v>26</v>
      </c>
      <c r="M282" s="2">
        <v>4</v>
      </c>
      <c r="N282" s="2" t="s">
        <v>27</v>
      </c>
      <c r="O282" s="2" t="s">
        <v>28</v>
      </c>
      <c r="P282" s="2" t="s">
        <v>29</v>
      </c>
      <c r="Q282" s="6" t="s">
        <v>58</v>
      </c>
    </row>
    <row r="283" spans="1:17">
      <c r="A283" s="3" t="s">
        <v>911</v>
      </c>
      <c r="B283" s="4" t="s">
        <v>75</v>
      </c>
      <c r="C283" s="4" t="s">
        <v>912</v>
      </c>
      <c r="D283" s="4" t="s">
        <v>913</v>
      </c>
      <c r="E283" s="4" t="s">
        <v>84</v>
      </c>
      <c r="F283" s="4" t="s">
        <v>116</v>
      </c>
      <c r="G283" s="4" t="s">
        <v>46</v>
      </c>
      <c r="H283" s="4" t="s">
        <v>70</v>
      </c>
      <c r="I283" s="4" t="s">
        <v>87</v>
      </c>
      <c r="J283" s="4">
        <v>9.1999999999999993</v>
      </c>
      <c r="K283" s="4">
        <v>8</v>
      </c>
      <c r="L283" s="4" t="s">
        <v>27</v>
      </c>
      <c r="M283" s="4">
        <v>2</v>
      </c>
      <c r="N283" s="4" t="s">
        <v>26</v>
      </c>
      <c r="O283" s="4" t="s">
        <v>28</v>
      </c>
      <c r="P283" s="4" t="s">
        <v>1670</v>
      </c>
      <c r="Q283" s="5" t="s">
        <v>30</v>
      </c>
    </row>
    <row r="284" spans="1:17">
      <c r="A284" s="1" t="s">
        <v>914</v>
      </c>
      <c r="B284" s="2" t="s">
        <v>41</v>
      </c>
      <c r="C284" s="2" t="s">
        <v>915</v>
      </c>
      <c r="D284" s="2" t="s">
        <v>916</v>
      </c>
      <c r="E284" s="2" t="s">
        <v>21</v>
      </c>
      <c r="F284" s="2" t="s">
        <v>22</v>
      </c>
      <c r="G284" s="2" t="s">
        <v>23</v>
      </c>
      <c r="H284" s="2" t="s">
        <v>24</v>
      </c>
      <c r="I284" s="2" t="s">
        <v>25</v>
      </c>
      <c r="J284" s="2">
        <v>19.899999999999999</v>
      </c>
      <c r="K284" s="2">
        <v>24</v>
      </c>
      <c r="L284" s="2" t="s">
        <v>26</v>
      </c>
      <c r="M284" s="2">
        <v>5</v>
      </c>
      <c r="N284" s="2" t="s">
        <v>27</v>
      </c>
      <c r="O284" s="2" t="s">
        <v>28</v>
      </c>
      <c r="P284" s="2" t="s">
        <v>29</v>
      </c>
      <c r="Q284" s="6" t="s">
        <v>30</v>
      </c>
    </row>
    <row r="285" spans="1:17">
      <c r="A285" s="3" t="s">
        <v>917</v>
      </c>
      <c r="B285" s="4" t="s">
        <v>75</v>
      </c>
      <c r="C285" s="4" t="s">
        <v>918</v>
      </c>
      <c r="D285" s="4" t="s">
        <v>919</v>
      </c>
      <c r="E285" s="4" t="s">
        <v>35</v>
      </c>
      <c r="F285" s="4" t="s">
        <v>36</v>
      </c>
      <c r="G285" s="4" t="s">
        <v>23</v>
      </c>
      <c r="H285" s="4" t="s">
        <v>86</v>
      </c>
      <c r="I285" s="4" t="s">
        <v>38</v>
      </c>
      <c r="J285" s="4">
        <v>5.7</v>
      </c>
      <c r="K285" s="4">
        <v>24</v>
      </c>
      <c r="L285" s="4" t="s">
        <v>26</v>
      </c>
      <c r="M285" s="4">
        <v>4</v>
      </c>
      <c r="N285" s="4" t="s">
        <v>27</v>
      </c>
      <c r="O285" s="4" t="s">
        <v>28</v>
      </c>
      <c r="P285" s="4" t="s">
        <v>29</v>
      </c>
      <c r="Q285" s="5" t="s">
        <v>39</v>
      </c>
    </row>
    <row r="286" spans="1:17">
      <c r="A286" s="1" t="s">
        <v>920</v>
      </c>
      <c r="B286" s="2" t="s">
        <v>41</v>
      </c>
      <c r="C286" s="2" t="s">
        <v>921</v>
      </c>
      <c r="D286" s="2" t="s">
        <v>922</v>
      </c>
      <c r="E286" s="2" t="s">
        <v>35</v>
      </c>
      <c r="F286" s="2" t="s">
        <v>36</v>
      </c>
      <c r="G286" s="2" t="s">
        <v>23</v>
      </c>
      <c r="H286" s="2" t="s">
        <v>70</v>
      </c>
      <c r="I286" s="2" t="s">
        <v>38</v>
      </c>
      <c r="J286" s="2">
        <v>10.199999999999999</v>
      </c>
      <c r="K286" s="2">
        <v>24</v>
      </c>
      <c r="L286" s="2" t="s">
        <v>26</v>
      </c>
      <c r="M286" s="2">
        <v>5</v>
      </c>
      <c r="N286" s="2" t="s">
        <v>27</v>
      </c>
      <c r="O286" s="2" t="s">
        <v>28</v>
      </c>
      <c r="P286" s="2" t="s">
        <v>29</v>
      </c>
      <c r="Q286" s="6" t="s">
        <v>30</v>
      </c>
    </row>
    <row r="287" spans="1:17">
      <c r="A287" s="3" t="s">
        <v>923</v>
      </c>
      <c r="B287" s="4" t="s">
        <v>32</v>
      </c>
      <c r="C287" s="4" t="s">
        <v>894</v>
      </c>
      <c r="D287" s="4" t="s">
        <v>924</v>
      </c>
      <c r="E287" s="4" t="s">
        <v>78</v>
      </c>
      <c r="F287" s="4" t="s">
        <v>166</v>
      </c>
      <c r="G287" s="4" t="s">
        <v>46</v>
      </c>
      <c r="H287" s="4" t="s">
        <v>24</v>
      </c>
      <c r="I287" s="4" t="s">
        <v>80</v>
      </c>
      <c r="J287" s="4">
        <v>27.3</v>
      </c>
      <c r="K287" s="4">
        <v>8</v>
      </c>
      <c r="L287" s="4" t="s">
        <v>27</v>
      </c>
      <c r="M287" s="4">
        <v>1</v>
      </c>
      <c r="N287" s="4" t="s">
        <v>27</v>
      </c>
      <c r="O287" s="4" t="s">
        <v>28</v>
      </c>
      <c r="P287" s="4" t="s">
        <v>1670</v>
      </c>
      <c r="Q287" s="5" t="s">
        <v>58</v>
      </c>
    </row>
    <row r="288" spans="1:17">
      <c r="A288" s="1" t="s">
        <v>925</v>
      </c>
      <c r="B288" s="2" t="s">
        <v>75</v>
      </c>
      <c r="C288" s="2" t="s">
        <v>926</v>
      </c>
      <c r="D288" s="2" t="s">
        <v>927</v>
      </c>
      <c r="E288" s="2" t="s">
        <v>21</v>
      </c>
      <c r="F288" s="2" t="s">
        <v>22</v>
      </c>
      <c r="G288" s="2" t="s">
        <v>23</v>
      </c>
      <c r="H288" s="2" t="s">
        <v>47</v>
      </c>
      <c r="I288" s="2" t="s">
        <v>25</v>
      </c>
      <c r="J288" s="2">
        <v>6.5</v>
      </c>
      <c r="K288" s="2">
        <v>24</v>
      </c>
      <c r="L288" s="2" t="s">
        <v>26</v>
      </c>
      <c r="M288" s="2">
        <v>4</v>
      </c>
      <c r="N288" s="2" t="s">
        <v>27</v>
      </c>
      <c r="O288" s="2" t="s">
        <v>28</v>
      </c>
      <c r="P288" s="2" t="s">
        <v>29</v>
      </c>
      <c r="Q288" s="6" t="s">
        <v>30</v>
      </c>
    </row>
    <row r="289" spans="1:17">
      <c r="A289" s="3" t="s">
        <v>928</v>
      </c>
      <c r="B289" s="4" t="s">
        <v>32</v>
      </c>
      <c r="C289" s="4" t="s">
        <v>929</v>
      </c>
      <c r="D289" s="4" t="s">
        <v>930</v>
      </c>
      <c r="E289" s="4" t="s">
        <v>84</v>
      </c>
      <c r="F289" s="4" t="s">
        <v>116</v>
      </c>
      <c r="G289" s="4" t="s">
        <v>23</v>
      </c>
      <c r="H289" s="4" t="s">
        <v>138</v>
      </c>
      <c r="I289" s="4" t="s">
        <v>87</v>
      </c>
      <c r="J289" s="4">
        <v>7.8</v>
      </c>
      <c r="K289" s="4">
        <v>24</v>
      </c>
      <c r="L289" s="4" t="s">
        <v>26</v>
      </c>
      <c r="M289" s="4">
        <v>4</v>
      </c>
      <c r="N289" s="4" t="s">
        <v>27</v>
      </c>
      <c r="O289" s="4" t="s">
        <v>28</v>
      </c>
      <c r="P289" s="4" t="s">
        <v>29</v>
      </c>
      <c r="Q289" s="5" t="s">
        <v>101</v>
      </c>
    </row>
    <row r="290" spans="1:17">
      <c r="A290" s="1" t="s">
        <v>931</v>
      </c>
      <c r="B290" s="2" t="s">
        <v>106</v>
      </c>
      <c r="C290" s="2" t="s">
        <v>932</v>
      </c>
      <c r="D290" s="2" t="s">
        <v>933</v>
      </c>
      <c r="E290" s="2" t="s">
        <v>78</v>
      </c>
      <c r="F290" s="2" t="s">
        <v>166</v>
      </c>
      <c r="G290" s="2" t="s">
        <v>23</v>
      </c>
      <c r="H290" s="2" t="s">
        <v>86</v>
      </c>
      <c r="I290" s="2" t="s">
        <v>80</v>
      </c>
      <c r="J290" s="2">
        <v>13.9</v>
      </c>
      <c r="K290" s="2">
        <v>24</v>
      </c>
      <c r="L290" s="2" t="s">
        <v>26</v>
      </c>
      <c r="M290" s="2">
        <v>5</v>
      </c>
      <c r="N290" s="2" t="s">
        <v>27</v>
      </c>
      <c r="O290" s="2" t="s">
        <v>28</v>
      </c>
      <c r="P290" s="2" t="s">
        <v>29</v>
      </c>
      <c r="Q290" s="6" t="s">
        <v>30</v>
      </c>
    </row>
    <row r="291" spans="1:17">
      <c r="A291" s="3" t="s">
        <v>934</v>
      </c>
      <c r="B291" s="4" t="s">
        <v>50</v>
      </c>
      <c r="C291" s="4" t="s">
        <v>935</v>
      </c>
      <c r="D291" s="4" t="s">
        <v>936</v>
      </c>
      <c r="E291" s="4" t="s">
        <v>44</v>
      </c>
      <c r="F291" s="4" t="s">
        <v>45</v>
      </c>
      <c r="G291" s="4" t="s">
        <v>54</v>
      </c>
      <c r="H291" s="4" t="s">
        <v>138</v>
      </c>
      <c r="I291" s="4" t="s">
        <v>48</v>
      </c>
      <c r="J291" s="4">
        <v>3.2</v>
      </c>
      <c r="K291" s="4">
        <v>4</v>
      </c>
      <c r="L291" s="4" t="s">
        <v>26</v>
      </c>
      <c r="M291" s="4">
        <v>5</v>
      </c>
      <c r="N291" s="4" t="s">
        <v>27</v>
      </c>
      <c r="O291" s="4" t="s">
        <v>28</v>
      </c>
      <c r="P291" s="4" t="s">
        <v>29</v>
      </c>
      <c r="Q291" s="5" t="s">
        <v>101</v>
      </c>
    </row>
    <row r="292" spans="1:17">
      <c r="A292" s="1" t="s">
        <v>937</v>
      </c>
      <c r="B292" s="2" t="s">
        <v>32</v>
      </c>
      <c r="C292" s="2" t="s">
        <v>938</v>
      </c>
      <c r="D292" s="2" t="s">
        <v>939</v>
      </c>
      <c r="E292" s="2" t="s">
        <v>21</v>
      </c>
      <c r="F292" s="2" t="s">
        <v>22</v>
      </c>
      <c r="G292" s="2" t="s">
        <v>23</v>
      </c>
      <c r="H292" s="2" t="s">
        <v>86</v>
      </c>
      <c r="I292" s="2" t="s">
        <v>25</v>
      </c>
      <c r="J292" s="2">
        <v>9.9</v>
      </c>
      <c r="K292" s="2">
        <v>24</v>
      </c>
      <c r="L292" s="2" t="s">
        <v>26</v>
      </c>
      <c r="M292" s="2">
        <v>5</v>
      </c>
      <c r="N292" s="2" t="s">
        <v>27</v>
      </c>
      <c r="O292" s="2" t="s">
        <v>28</v>
      </c>
      <c r="P292" s="2" t="s">
        <v>29</v>
      </c>
      <c r="Q292" s="6" t="s">
        <v>39</v>
      </c>
    </row>
    <row r="293" spans="1:17">
      <c r="A293" s="3" t="s">
        <v>940</v>
      </c>
      <c r="B293" s="4" t="s">
        <v>50</v>
      </c>
      <c r="C293" s="4" t="s">
        <v>941</v>
      </c>
      <c r="D293" s="4" t="s">
        <v>942</v>
      </c>
      <c r="E293" s="4" t="s">
        <v>21</v>
      </c>
      <c r="F293" s="4" t="s">
        <v>63</v>
      </c>
      <c r="G293" s="4" t="s">
        <v>46</v>
      </c>
      <c r="H293" s="4" t="s">
        <v>234</v>
      </c>
      <c r="I293" s="4" t="s">
        <v>25</v>
      </c>
      <c r="J293" s="4">
        <v>10.8</v>
      </c>
      <c r="K293" s="4">
        <v>8</v>
      </c>
      <c r="L293" s="4" t="s">
        <v>27</v>
      </c>
      <c r="M293" s="4">
        <v>3</v>
      </c>
      <c r="N293" s="4" t="s">
        <v>27</v>
      </c>
      <c r="O293" s="4" t="s">
        <v>28</v>
      </c>
      <c r="P293" s="4" t="s">
        <v>57</v>
      </c>
      <c r="Q293" s="5" t="s">
        <v>101</v>
      </c>
    </row>
    <row r="294" spans="1:17">
      <c r="A294" s="1" t="s">
        <v>943</v>
      </c>
      <c r="B294" s="2" t="s">
        <v>18</v>
      </c>
      <c r="C294" s="2" t="s">
        <v>944</v>
      </c>
      <c r="D294" s="2" t="s">
        <v>945</v>
      </c>
      <c r="E294" s="2" t="s">
        <v>78</v>
      </c>
      <c r="F294" s="2" t="s">
        <v>79</v>
      </c>
      <c r="G294" s="2" t="s">
        <v>46</v>
      </c>
      <c r="H294" s="2" t="s">
        <v>55</v>
      </c>
      <c r="I294" s="2" t="s">
        <v>80</v>
      </c>
      <c r="J294" s="2">
        <v>19.3</v>
      </c>
      <c r="K294" s="2">
        <v>8</v>
      </c>
      <c r="L294" s="2" t="s">
        <v>27</v>
      </c>
      <c r="M294" s="2">
        <v>3</v>
      </c>
      <c r="N294" s="2" t="s">
        <v>27</v>
      </c>
      <c r="O294" s="2" t="s">
        <v>28</v>
      </c>
      <c r="P294" s="2" t="s">
        <v>57</v>
      </c>
      <c r="Q294" s="6" t="s">
        <v>101</v>
      </c>
    </row>
    <row r="295" spans="1:17">
      <c r="A295" s="3" t="s">
        <v>946</v>
      </c>
      <c r="B295" s="4" t="s">
        <v>121</v>
      </c>
      <c r="C295" s="4" t="s">
        <v>947</v>
      </c>
      <c r="D295" s="4" t="s">
        <v>948</v>
      </c>
      <c r="E295" s="4" t="s">
        <v>21</v>
      </c>
      <c r="F295" s="4" t="s">
        <v>22</v>
      </c>
      <c r="G295" s="4" t="s">
        <v>54</v>
      </c>
      <c r="H295" s="4" t="s">
        <v>91</v>
      </c>
      <c r="I295" s="4" t="s">
        <v>25</v>
      </c>
      <c r="J295" s="4">
        <v>13</v>
      </c>
      <c r="K295" s="4">
        <v>4</v>
      </c>
      <c r="L295" s="4" t="s">
        <v>27</v>
      </c>
      <c r="M295" s="4">
        <v>1</v>
      </c>
      <c r="N295" s="4" t="s">
        <v>26</v>
      </c>
      <c r="O295" s="4" t="s">
        <v>28</v>
      </c>
      <c r="P295" s="4" t="s">
        <v>1670</v>
      </c>
      <c r="Q295" s="5" t="s">
        <v>58</v>
      </c>
    </row>
    <row r="296" spans="1:17">
      <c r="A296" s="1" t="s">
        <v>949</v>
      </c>
      <c r="B296" s="2" t="s">
        <v>60</v>
      </c>
      <c r="C296" s="2" t="s">
        <v>950</v>
      </c>
      <c r="D296" s="2" t="s">
        <v>951</v>
      </c>
      <c r="E296" s="2" t="s">
        <v>21</v>
      </c>
      <c r="F296" s="2" t="s">
        <v>63</v>
      </c>
      <c r="G296" s="2" t="s">
        <v>23</v>
      </c>
      <c r="H296" s="2" t="s">
        <v>24</v>
      </c>
      <c r="I296" s="2" t="s">
        <v>25</v>
      </c>
      <c r="J296" s="2">
        <v>12.2</v>
      </c>
      <c r="K296" s="2">
        <v>24</v>
      </c>
      <c r="L296" s="2" t="s">
        <v>26</v>
      </c>
      <c r="M296" s="2">
        <v>5</v>
      </c>
      <c r="N296" s="2" t="s">
        <v>27</v>
      </c>
      <c r="O296" s="2" t="s">
        <v>28</v>
      </c>
      <c r="P296" s="2" t="s">
        <v>29</v>
      </c>
      <c r="Q296" s="6" t="s">
        <v>101</v>
      </c>
    </row>
    <row r="297" spans="1:17">
      <c r="A297" s="3" t="s">
        <v>952</v>
      </c>
      <c r="B297" s="4" t="s">
        <v>32</v>
      </c>
      <c r="C297" s="4" t="s">
        <v>953</v>
      </c>
      <c r="D297" s="4" t="s">
        <v>954</v>
      </c>
      <c r="E297" s="4" t="s">
        <v>21</v>
      </c>
      <c r="F297" s="4" t="s">
        <v>69</v>
      </c>
      <c r="G297" s="4" t="s">
        <v>54</v>
      </c>
      <c r="H297" s="4" t="s">
        <v>70</v>
      </c>
      <c r="I297" s="4" t="s">
        <v>25</v>
      </c>
      <c r="J297" s="4">
        <v>7.6</v>
      </c>
      <c r="K297" s="4">
        <v>4</v>
      </c>
      <c r="L297" s="4" t="s">
        <v>27</v>
      </c>
      <c r="M297" s="4">
        <v>3</v>
      </c>
      <c r="N297" s="4" t="s">
        <v>26</v>
      </c>
      <c r="O297" s="4" t="s">
        <v>28</v>
      </c>
      <c r="P297" s="4" t="s">
        <v>1670</v>
      </c>
      <c r="Q297" s="5" t="s">
        <v>39</v>
      </c>
    </row>
    <row r="298" spans="1:17">
      <c r="A298" s="1" t="s">
        <v>955</v>
      </c>
      <c r="B298" s="2" t="s">
        <v>75</v>
      </c>
      <c r="C298" s="2" t="s">
        <v>956</v>
      </c>
      <c r="D298" s="2" t="s">
        <v>957</v>
      </c>
      <c r="E298" s="2" t="s">
        <v>35</v>
      </c>
      <c r="F298" s="2" t="s">
        <v>53</v>
      </c>
      <c r="G298" s="2" t="s">
        <v>54</v>
      </c>
      <c r="H298" s="2" t="s">
        <v>70</v>
      </c>
      <c r="I298" s="2" t="s">
        <v>56</v>
      </c>
      <c r="J298" s="2">
        <v>9.4</v>
      </c>
      <c r="K298" s="2">
        <v>4</v>
      </c>
      <c r="L298" s="2" t="s">
        <v>27</v>
      </c>
      <c r="M298" s="2">
        <v>1</v>
      </c>
      <c r="N298" s="2" t="s">
        <v>27</v>
      </c>
      <c r="O298" s="2" t="s">
        <v>28</v>
      </c>
      <c r="P298" s="2" t="s">
        <v>57</v>
      </c>
      <c r="Q298" s="6" t="s">
        <v>101</v>
      </c>
    </row>
    <row r="299" spans="1:17">
      <c r="A299" s="3" t="s">
        <v>958</v>
      </c>
      <c r="B299" s="4" t="s">
        <v>50</v>
      </c>
      <c r="C299" s="4" t="s">
        <v>959</v>
      </c>
      <c r="D299" s="4" t="s">
        <v>960</v>
      </c>
      <c r="E299" s="4" t="s">
        <v>21</v>
      </c>
      <c r="F299" s="4" t="s">
        <v>63</v>
      </c>
      <c r="G299" s="4" t="s">
        <v>23</v>
      </c>
      <c r="H299" s="4" t="s">
        <v>64</v>
      </c>
      <c r="I299" s="4" t="s">
        <v>25</v>
      </c>
      <c r="J299" s="4">
        <v>7.3</v>
      </c>
      <c r="K299" s="4">
        <v>24</v>
      </c>
      <c r="L299" s="4" t="s">
        <v>26</v>
      </c>
      <c r="M299" s="4">
        <v>4</v>
      </c>
      <c r="N299" s="4" t="s">
        <v>27</v>
      </c>
      <c r="O299" s="4" t="s">
        <v>28</v>
      </c>
      <c r="P299" s="4" t="s">
        <v>29</v>
      </c>
      <c r="Q299" s="5" t="s">
        <v>30</v>
      </c>
    </row>
    <row r="300" spans="1:17">
      <c r="A300" s="1" t="s">
        <v>961</v>
      </c>
      <c r="B300" s="2" t="s">
        <v>32</v>
      </c>
      <c r="C300" s="2" t="s">
        <v>962</v>
      </c>
      <c r="D300" s="2" t="s">
        <v>963</v>
      </c>
      <c r="E300" s="2" t="s">
        <v>35</v>
      </c>
      <c r="F300" s="2" t="s">
        <v>127</v>
      </c>
      <c r="G300" s="2" t="s">
        <v>46</v>
      </c>
      <c r="H300" s="2" t="s">
        <v>64</v>
      </c>
      <c r="I300" s="2" t="s">
        <v>56</v>
      </c>
      <c r="J300" s="2">
        <v>5.3</v>
      </c>
      <c r="K300" s="2">
        <v>8</v>
      </c>
      <c r="L300" s="2" t="s">
        <v>26</v>
      </c>
      <c r="M300" s="2">
        <v>5</v>
      </c>
      <c r="N300" s="2" t="s">
        <v>27</v>
      </c>
      <c r="O300" s="2" t="s">
        <v>28</v>
      </c>
      <c r="P300" s="2" t="s">
        <v>29</v>
      </c>
      <c r="Q300" s="6" t="s">
        <v>58</v>
      </c>
    </row>
    <row r="301" spans="1:17">
      <c r="A301" s="3" t="s">
        <v>964</v>
      </c>
      <c r="B301" s="4" t="s">
        <v>32</v>
      </c>
      <c r="C301" s="4" t="s">
        <v>965</v>
      </c>
      <c r="D301" s="4" t="s">
        <v>966</v>
      </c>
      <c r="E301" s="4" t="s">
        <v>21</v>
      </c>
      <c r="F301" s="4" t="s">
        <v>63</v>
      </c>
      <c r="G301" s="4" t="s">
        <v>23</v>
      </c>
      <c r="H301" s="4" t="s">
        <v>24</v>
      </c>
      <c r="I301" s="4" t="s">
        <v>25</v>
      </c>
      <c r="J301" s="4">
        <v>19.2</v>
      </c>
      <c r="K301" s="4">
        <v>24</v>
      </c>
      <c r="L301" s="4" t="s">
        <v>27</v>
      </c>
      <c r="M301" s="4">
        <v>3</v>
      </c>
      <c r="N301" s="4" t="s">
        <v>26</v>
      </c>
      <c r="O301" s="4" t="s">
        <v>28</v>
      </c>
      <c r="P301" s="4" t="s">
        <v>1670</v>
      </c>
      <c r="Q301" s="5" t="s">
        <v>39</v>
      </c>
    </row>
    <row r="302" spans="1:17">
      <c r="A302" s="1" t="s">
        <v>967</v>
      </c>
      <c r="B302" s="2" t="s">
        <v>121</v>
      </c>
      <c r="C302" s="2" t="s">
        <v>968</v>
      </c>
      <c r="D302" s="2" t="s">
        <v>969</v>
      </c>
      <c r="E302" s="2" t="s">
        <v>21</v>
      </c>
      <c r="F302" s="2" t="s">
        <v>69</v>
      </c>
      <c r="G302" s="2" t="s">
        <v>46</v>
      </c>
      <c r="H302" s="2" t="s">
        <v>64</v>
      </c>
      <c r="I302" s="2" t="s">
        <v>25</v>
      </c>
      <c r="J302" s="2">
        <v>7.5</v>
      </c>
      <c r="K302" s="2">
        <v>8</v>
      </c>
      <c r="L302" s="2" t="s">
        <v>26</v>
      </c>
      <c r="M302" s="2">
        <v>5</v>
      </c>
      <c r="N302" s="2" t="s">
        <v>27</v>
      </c>
      <c r="O302" s="2" t="s">
        <v>28</v>
      </c>
      <c r="P302" s="2" t="s">
        <v>29</v>
      </c>
      <c r="Q302" s="6" t="s">
        <v>39</v>
      </c>
    </row>
    <row r="303" spans="1:17">
      <c r="A303" s="3" t="s">
        <v>970</v>
      </c>
      <c r="B303" s="4" t="s">
        <v>32</v>
      </c>
      <c r="C303" s="4" t="s">
        <v>971</v>
      </c>
      <c r="D303" s="4" t="s">
        <v>972</v>
      </c>
      <c r="E303" s="4" t="s">
        <v>78</v>
      </c>
      <c r="F303" s="4" t="s">
        <v>166</v>
      </c>
      <c r="G303" s="4" t="s">
        <v>23</v>
      </c>
      <c r="H303" s="4" t="s">
        <v>86</v>
      </c>
      <c r="I303" s="4" t="s">
        <v>80</v>
      </c>
      <c r="J303" s="4">
        <v>12.4</v>
      </c>
      <c r="K303" s="4">
        <v>24</v>
      </c>
      <c r="L303" s="4" t="s">
        <v>26</v>
      </c>
      <c r="M303" s="4">
        <v>5</v>
      </c>
      <c r="N303" s="4" t="s">
        <v>27</v>
      </c>
      <c r="O303" s="4" t="s">
        <v>28</v>
      </c>
      <c r="P303" s="4" t="s">
        <v>29</v>
      </c>
      <c r="Q303" s="5" t="s">
        <v>58</v>
      </c>
    </row>
    <row r="304" spans="1:17">
      <c r="A304" s="1" t="s">
        <v>973</v>
      </c>
      <c r="B304" s="2" t="s">
        <v>121</v>
      </c>
      <c r="C304" s="2" t="s">
        <v>974</v>
      </c>
      <c r="D304" s="2" t="s">
        <v>975</v>
      </c>
      <c r="E304" s="2" t="s">
        <v>78</v>
      </c>
      <c r="F304" s="2" t="s">
        <v>166</v>
      </c>
      <c r="G304" s="2" t="s">
        <v>54</v>
      </c>
      <c r="H304" s="2" t="s">
        <v>24</v>
      </c>
      <c r="I304" s="2" t="s">
        <v>80</v>
      </c>
      <c r="J304" s="2">
        <v>17.7</v>
      </c>
      <c r="K304" s="2">
        <v>4</v>
      </c>
      <c r="L304" s="2" t="s">
        <v>27</v>
      </c>
      <c r="M304" s="2">
        <v>1</v>
      </c>
      <c r="N304" s="2" t="s">
        <v>27</v>
      </c>
      <c r="O304" s="2" t="s">
        <v>28</v>
      </c>
      <c r="P304" s="2" t="s">
        <v>57</v>
      </c>
      <c r="Q304" s="6" t="s">
        <v>58</v>
      </c>
    </row>
    <row r="305" spans="1:17">
      <c r="A305" s="3" t="s">
        <v>976</v>
      </c>
      <c r="B305" s="4" t="s">
        <v>32</v>
      </c>
      <c r="C305" s="4" t="s">
        <v>977</v>
      </c>
      <c r="D305" s="4" t="s">
        <v>978</v>
      </c>
      <c r="E305" s="4" t="s">
        <v>21</v>
      </c>
      <c r="F305" s="4" t="s">
        <v>22</v>
      </c>
      <c r="G305" s="4" t="s">
        <v>23</v>
      </c>
      <c r="H305" s="4" t="s">
        <v>234</v>
      </c>
      <c r="I305" s="4" t="s">
        <v>25</v>
      </c>
      <c r="J305" s="4">
        <v>15.2</v>
      </c>
      <c r="K305" s="4">
        <v>24</v>
      </c>
      <c r="L305" s="4" t="s">
        <v>26</v>
      </c>
      <c r="M305" s="4">
        <v>5</v>
      </c>
      <c r="N305" s="4" t="s">
        <v>27</v>
      </c>
      <c r="O305" s="4" t="s">
        <v>28</v>
      </c>
      <c r="P305" s="4" t="s">
        <v>29</v>
      </c>
      <c r="Q305" s="5" t="s">
        <v>30</v>
      </c>
    </row>
    <row r="306" spans="1:17">
      <c r="A306" s="1" t="s">
        <v>979</v>
      </c>
      <c r="B306" s="2" t="s">
        <v>32</v>
      </c>
      <c r="C306" s="2" t="s">
        <v>980</v>
      </c>
      <c r="D306" s="2" t="s">
        <v>981</v>
      </c>
      <c r="E306" s="2" t="s">
        <v>44</v>
      </c>
      <c r="F306" s="2" t="s">
        <v>45</v>
      </c>
      <c r="G306" s="2" t="s">
        <v>23</v>
      </c>
      <c r="H306" s="2" t="s">
        <v>91</v>
      </c>
      <c r="I306" s="2" t="s">
        <v>48</v>
      </c>
      <c r="J306" s="2">
        <v>2.2999999999999998</v>
      </c>
      <c r="K306" s="2">
        <v>24</v>
      </c>
      <c r="L306" s="2" t="s">
        <v>26</v>
      </c>
      <c r="M306" s="2">
        <v>4</v>
      </c>
      <c r="N306" s="2" t="s">
        <v>27</v>
      </c>
      <c r="O306" s="2" t="s">
        <v>28</v>
      </c>
      <c r="P306" s="2" t="s">
        <v>29</v>
      </c>
      <c r="Q306" s="6" t="s">
        <v>30</v>
      </c>
    </row>
    <row r="307" spans="1:17">
      <c r="A307" s="3" t="s">
        <v>982</v>
      </c>
      <c r="B307" s="4" t="s">
        <v>32</v>
      </c>
      <c r="C307" s="4" t="s">
        <v>983</v>
      </c>
      <c r="D307" s="4" t="s">
        <v>980</v>
      </c>
      <c r="E307" s="4" t="s">
        <v>78</v>
      </c>
      <c r="F307" s="4" t="s">
        <v>79</v>
      </c>
      <c r="G307" s="4" t="s">
        <v>46</v>
      </c>
      <c r="H307" s="4" t="s">
        <v>91</v>
      </c>
      <c r="I307" s="4" t="s">
        <v>80</v>
      </c>
      <c r="J307" s="4">
        <v>20.100000000000001</v>
      </c>
      <c r="K307" s="4">
        <v>8</v>
      </c>
      <c r="L307" s="4" t="s">
        <v>27</v>
      </c>
      <c r="M307" s="4">
        <v>3</v>
      </c>
      <c r="N307" s="4" t="s">
        <v>26</v>
      </c>
      <c r="O307" s="4" t="s">
        <v>28</v>
      </c>
      <c r="P307" s="4" t="s">
        <v>1670</v>
      </c>
      <c r="Q307" s="5" t="s">
        <v>30</v>
      </c>
    </row>
    <row r="308" spans="1:17">
      <c r="A308" s="1" t="s">
        <v>984</v>
      </c>
      <c r="B308" s="2" t="s">
        <v>106</v>
      </c>
      <c r="C308" s="2" t="s">
        <v>985</v>
      </c>
      <c r="D308" s="2" t="s">
        <v>986</v>
      </c>
      <c r="E308" s="2" t="s">
        <v>21</v>
      </c>
      <c r="F308" s="2" t="s">
        <v>69</v>
      </c>
      <c r="G308" s="2" t="s">
        <v>23</v>
      </c>
      <c r="H308" s="2" t="s">
        <v>91</v>
      </c>
      <c r="I308" s="2" t="s">
        <v>25</v>
      </c>
      <c r="J308" s="2">
        <v>11.6</v>
      </c>
      <c r="K308" s="2">
        <v>24</v>
      </c>
      <c r="L308" s="2" t="s">
        <v>26</v>
      </c>
      <c r="M308" s="2">
        <v>4</v>
      </c>
      <c r="N308" s="2" t="s">
        <v>27</v>
      </c>
      <c r="O308" s="2" t="s">
        <v>28</v>
      </c>
      <c r="P308" s="2" t="s">
        <v>29</v>
      </c>
      <c r="Q308" s="6" t="s">
        <v>39</v>
      </c>
    </row>
    <row r="309" spans="1:17">
      <c r="A309" s="3" t="s">
        <v>987</v>
      </c>
      <c r="B309" s="4" t="s">
        <v>75</v>
      </c>
      <c r="C309" s="4" t="s">
        <v>988</v>
      </c>
      <c r="D309" s="4" t="s">
        <v>989</v>
      </c>
      <c r="E309" s="4" t="s">
        <v>21</v>
      </c>
      <c r="F309" s="4" t="s">
        <v>63</v>
      </c>
      <c r="G309" s="4" t="s">
        <v>46</v>
      </c>
      <c r="H309" s="4" t="s">
        <v>86</v>
      </c>
      <c r="I309" s="4" t="s">
        <v>25</v>
      </c>
      <c r="J309" s="4">
        <v>10.7</v>
      </c>
      <c r="K309" s="4">
        <v>8</v>
      </c>
      <c r="L309" s="4" t="s">
        <v>27</v>
      </c>
      <c r="M309" s="4">
        <v>1</v>
      </c>
      <c r="N309" s="4" t="s">
        <v>27</v>
      </c>
      <c r="O309" s="4" t="s">
        <v>28</v>
      </c>
      <c r="P309" s="4" t="s">
        <v>1670</v>
      </c>
      <c r="Q309" s="5" t="s">
        <v>30</v>
      </c>
    </row>
    <row r="310" spans="1:17">
      <c r="A310" s="1" t="s">
        <v>990</v>
      </c>
      <c r="B310" s="2" t="s">
        <v>60</v>
      </c>
      <c r="C310" s="2" t="s">
        <v>991</v>
      </c>
      <c r="D310" s="2" t="s">
        <v>992</v>
      </c>
      <c r="E310" s="2" t="s">
        <v>44</v>
      </c>
      <c r="F310" s="2" t="s">
        <v>45</v>
      </c>
      <c r="G310" s="2" t="s">
        <v>54</v>
      </c>
      <c r="H310" s="2" t="s">
        <v>37</v>
      </c>
      <c r="I310" s="2" t="s">
        <v>48</v>
      </c>
      <c r="J310" s="2">
        <v>3.3</v>
      </c>
      <c r="K310" s="2">
        <v>4</v>
      </c>
      <c r="L310" s="2" t="s">
        <v>26</v>
      </c>
      <c r="M310" s="2">
        <v>5</v>
      </c>
      <c r="N310" s="2" t="s">
        <v>27</v>
      </c>
      <c r="O310" s="2" t="s">
        <v>28</v>
      </c>
      <c r="P310" s="2" t="s">
        <v>29</v>
      </c>
      <c r="Q310" s="6" t="s">
        <v>101</v>
      </c>
    </row>
    <row r="311" spans="1:17">
      <c r="A311" s="3" t="s">
        <v>993</v>
      </c>
      <c r="B311" s="4" t="s">
        <v>41</v>
      </c>
      <c r="C311" s="4" t="s">
        <v>994</v>
      </c>
      <c r="D311" s="4" t="s">
        <v>995</v>
      </c>
      <c r="E311" s="4" t="s">
        <v>21</v>
      </c>
      <c r="F311" s="4" t="s">
        <v>22</v>
      </c>
      <c r="G311" s="4" t="s">
        <v>46</v>
      </c>
      <c r="H311" s="4" t="s">
        <v>55</v>
      </c>
      <c r="I311" s="4" t="s">
        <v>25</v>
      </c>
      <c r="J311" s="4">
        <v>15.2</v>
      </c>
      <c r="K311" s="4">
        <v>8</v>
      </c>
      <c r="L311" s="4" t="s">
        <v>27</v>
      </c>
      <c r="M311" s="4">
        <v>1</v>
      </c>
      <c r="N311" s="4" t="s">
        <v>27</v>
      </c>
      <c r="O311" s="4" t="s">
        <v>28</v>
      </c>
      <c r="P311" s="4" t="s">
        <v>57</v>
      </c>
      <c r="Q311" s="5" t="s">
        <v>58</v>
      </c>
    </row>
    <row r="312" spans="1:17">
      <c r="A312" s="1" t="s">
        <v>996</v>
      </c>
      <c r="B312" s="2" t="s">
        <v>18</v>
      </c>
      <c r="C312" s="2" t="s">
        <v>997</v>
      </c>
      <c r="D312" s="2" t="s">
        <v>998</v>
      </c>
      <c r="E312" s="2" t="s">
        <v>84</v>
      </c>
      <c r="F312" s="2" t="s">
        <v>116</v>
      </c>
      <c r="G312" s="2" t="s">
        <v>46</v>
      </c>
      <c r="H312" s="2" t="s">
        <v>47</v>
      </c>
      <c r="I312" s="2" t="s">
        <v>87</v>
      </c>
      <c r="J312" s="2">
        <v>5.0999999999999996</v>
      </c>
      <c r="K312" s="2">
        <v>8</v>
      </c>
      <c r="L312" s="2" t="s">
        <v>26</v>
      </c>
      <c r="M312" s="2">
        <v>4</v>
      </c>
      <c r="N312" s="2" t="s">
        <v>27</v>
      </c>
      <c r="O312" s="2" t="s">
        <v>28</v>
      </c>
      <c r="P312" s="2" t="s">
        <v>29</v>
      </c>
      <c r="Q312" s="6" t="s">
        <v>58</v>
      </c>
    </row>
    <row r="313" spans="1:17">
      <c r="A313" s="3" t="s">
        <v>999</v>
      </c>
      <c r="B313" s="4" t="s">
        <v>121</v>
      </c>
      <c r="C313" s="4" t="s">
        <v>1000</v>
      </c>
      <c r="D313" s="4" t="s">
        <v>1001</v>
      </c>
      <c r="E313" s="4" t="s">
        <v>84</v>
      </c>
      <c r="F313" s="4" t="s">
        <v>116</v>
      </c>
      <c r="G313" s="4" t="s">
        <v>23</v>
      </c>
      <c r="H313" s="4" t="s">
        <v>55</v>
      </c>
      <c r="I313" s="4" t="s">
        <v>87</v>
      </c>
      <c r="J313" s="4">
        <v>4.0999999999999996</v>
      </c>
      <c r="K313" s="4">
        <v>24</v>
      </c>
      <c r="L313" s="4" t="s">
        <v>26</v>
      </c>
      <c r="M313" s="4">
        <v>5</v>
      </c>
      <c r="N313" s="4" t="s">
        <v>27</v>
      </c>
      <c r="O313" s="4" t="s">
        <v>28</v>
      </c>
      <c r="P313" s="4" t="s">
        <v>29</v>
      </c>
      <c r="Q313" s="5" t="s">
        <v>30</v>
      </c>
    </row>
    <row r="314" spans="1:17">
      <c r="A314" s="1" t="s">
        <v>1002</v>
      </c>
      <c r="B314" s="2" t="s">
        <v>32</v>
      </c>
      <c r="C314" s="2" t="s">
        <v>1003</v>
      </c>
      <c r="D314" s="2" t="s">
        <v>1004</v>
      </c>
      <c r="E314" s="2" t="s">
        <v>35</v>
      </c>
      <c r="F314" s="2" t="s">
        <v>127</v>
      </c>
      <c r="G314" s="2" t="s">
        <v>23</v>
      </c>
      <c r="H314" s="2" t="s">
        <v>91</v>
      </c>
      <c r="I314" s="2" t="s">
        <v>56</v>
      </c>
      <c r="J314" s="2">
        <v>11.1</v>
      </c>
      <c r="K314" s="2">
        <v>24</v>
      </c>
      <c r="L314" s="2" t="s">
        <v>26</v>
      </c>
      <c r="M314" s="2">
        <v>5</v>
      </c>
      <c r="N314" s="2" t="s">
        <v>27</v>
      </c>
      <c r="O314" s="2" t="s">
        <v>28</v>
      </c>
      <c r="P314" s="2" t="s">
        <v>29</v>
      </c>
      <c r="Q314" s="6" t="s">
        <v>101</v>
      </c>
    </row>
    <row r="315" spans="1:17">
      <c r="A315" s="3" t="s">
        <v>1005</v>
      </c>
      <c r="B315" s="4" t="s">
        <v>41</v>
      </c>
      <c r="C315" s="4" t="s">
        <v>1006</v>
      </c>
      <c r="D315" s="4" t="s">
        <v>1007</v>
      </c>
      <c r="E315" s="4" t="s">
        <v>21</v>
      </c>
      <c r="F315" s="4" t="s">
        <v>22</v>
      </c>
      <c r="G315" s="4" t="s">
        <v>23</v>
      </c>
      <c r="H315" s="4" t="s">
        <v>24</v>
      </c>
      <c r="I315" s="4" t="s">
        <v>25</v>
      </c>
      <c r="J315" s="4">
        <v>20.6</v>
      </c>
      <c r="K315" s="4">
        <v>24</v>
      </c>
      <c r="L315" s="4" t="s">
        <v>26</v>
      </c>
      <c r="M315" s="4">
        <v>4</v>
      </c>
      <c r="N315" s="4" t="s">
        <v>27</v>
      </c>
      <c r="O315" s="4" t="s">
        <v>28</v>
      </c>
      <c r="P315" s="4" t="s">
        <v>29</v>
      </c>
      <c r="Q315" s="5" t="s">
        <v>101</v>
      </c>
    </row>
    <row r="316" spans="1:17">
      <c r="A316" s="1" t="s">
        <v>1008</v>
      </c>
      <c r="B316" s="2" t="s">
        <v>32</v>
      </c>
      <c r="C316" s="2" t="s">
        <v>1009</v>
      </c>
      <c r="D316" s="2" t="s">
        <v>1010</v>
      </c>
      <c r="E316" s="2" t="s">
        <v>21</v>
      </c>
      <c r="F316" s="2" t="s">
        <v>69</v>
      </c>
      <c r="G316" s="2" t="s">
        <v>23</v>
      </c>
      <c r="H316" s="2" t="s">
        <v>70</v>
      </c>
      <c r="I316" s="2" t="s">
        <v>25</v>
      </c>
      <c r="J316" s="2">
        <v>10.199999999999999</v>
      </c>
      <c r="K316" s="2">
        <v>24</v>
      </c>
      <c r="L316" s="2" t="s">
        <v>26</v>
      </c>
      <c r="M316" s="2">
        <v>4</v>
      </c>
      <c r="N316" s="2" t="s">
        <v>27</v>
      </c>
      <c r="O316" s="2" t="s">
        <v>28</v>
      </c>
      <c r="P316" s="2" t="s">
        <v>29</v>
      </c>
      <c r="Q316" s="6" t="s">
        <v>30</v>
      </c>
    </row>
    <row r="317" spans="1:17">
      <c r="A317" s="3" t="s">
        <v>1011</v>
      </c>
      <c r="B317" s="4" t="s">
        <v>106</v>
      </c>
      <c r="C317" s="4" t="s">
        <v>1012</v>
      </c>
      <c r="D317" s="4" t="s">
        <v>1013</v>
      </c>
      <c r="E317" s="4" t="s">
        <v>35</v>
      </c>
      <c r="F317" s="4" t="s">
        <v>36</v>
      </c>
      <c r="G317" s="4" t="s">
        <v>23</v>
      </c>
      <c r="H317" s="4" t="s">
        <v>86</v>
      </c>
      <c r="I317" s="4" t="s">
        <v>38</v>
      </c>
      <c r="J317" s="4">
        <v>7</v>
      </c>
      <c r="K317" s="4">
        <v>24</v>
      </c>
      <c r="L317" s="4" t="s">
        <v>27</v>
      </c>
      <c r="M317" s="4"/>
      <c r="N317" s="4" t="s">
        <v>27</v>
      </c>
      <c r="O317" s="4" t="s">
        <v>28</v>
      </c>
      <c r="P317" s="4" t="s">
        <v>1670</v>
      </c>
      <c r="Q317" s="5" t="s">
        <v>39</v>
      </c>
    </row>
    <row r="318" spans="1:17">
      <c r="A318" s="1" t="s">
        <v>1014</v>
      </c>
      <c r="B318" s="2" t="s">
        <v>18</v>
      </c>
      <c r="C318" s="2" t="s">
        <v>1015</v>
      </c>
      <c r="D318" s="2" t="s">
        <v>1016</v>
      </c>
      <c r="E318" s="2" t="s">
        <v>78</v>
      </c>
      <c r="F318" s="2" t="s">
        <v>79</v>
      </c>
      <c r="G318" s="2" t="s">
        <v>54</v>
      </c>
      <c r="H318" s="2" t="s">
        <v>91</v>
      </c>
      <c r="I318" s="2" t="s">
        <v>80</v>
      </c>
      <c r="J318" s="2">
        <v>15.1</v>
      </c>
      <c r="K318" s="2">
        <v>4</v>
      </c>
      <c r="L318" s="2" t="s">
        <v>27</v>
      </c>
      <c r="M318" s="2">
        <v>2</v>
      </c>
      <c r="N318" s="2" t="s">
        <v>26</v>
      </c>
      <c r="O318" s="2" t="s">
        <v>28</v>
      </c>
      <c r="P318" s="2" t="s">
        <v>1670</v>
      </c>
      <c r="Q318" s="6" t="s">
        <v>30</v>
      </c>
    </row>
    <row r="319" spans="1:17">
      <c r="A319" s="3" t="s">
        <v>1017</v>
      </c>
      <c r="B319" s="4" t="s">
        <v>32</v>
      </c>
      <c r="C319" s="4" t="s">
        <v>1018</v>
      </c>
      <c r="D319" s="4" t="s">
        <v>1019</v>
      </c>
      <c r="E319" s="4" t="s">
        <v>21</v>
      </c>
      <c r="F319" s="4" t="s">
        <v>22</v>
      </c>
      <c r="G319" s="4" t="s">
        <v>54</v>
      </c>
      <c r="H319" s="4" t="s">
        <v>55</v>
      </c>
      <c r="I319" s="4" t="s">
        <v>25</v>
      </c>
      <c r="J319" s="4">
        <v>9.1</v>
      </c>
      <c r="K319" s="4">
        <v>4</v>
      </c>
      <c r="L319" s="4" t="s">
        <v>27</v>
      </c>
      <c r="M319" s="4">
        <v>3</v>
      </c>
      <c r="N319" s="4" t="s">
        <v>26</v>
      </c>
      <c r="O319" s="4" t="s">
        <v>28</v>
      </c>
      <c r="P319" s="4" t="s">
        <v>57</v>
      </c>
      <c r="Q319" s="5" t="s">
        <v>39</v>
      </c>
    </row>
    <row r="320" spans="1:17">
      <c r="A320" s="1" t="s">
        <v>1020</v>
      </c>
      <c r="B320" s="2" t="s">
        <v>60</v>
      </c>
      <c r="C320" s="2" t="s">
        <v>1021</v>
      </c>
      <c r="D320" s="2" t="s">
        <v>1022</v>
      </c>
      <c r="E320" s="2" t="s">
        <v>78</v>
      </c>
      <c r="F320" s="2" t="s">
        <v>191</v>
      </c>
      <c r="G320" s="2" t="s">
        <v>23</v>
      </c>
      <c r="H320" s="2" t="s">
        <v>37</v>
      </c>
      <c r="I320" s="2" t="s">
        <v>38</v>
      </c>
      <c r="J320" s="2">
        <v>13.5</v>
      </c>
      <c r="K320" s="2">
        <v>24</v>
      </c>
      <c r="L320" s="2" t="s">
        <v>26</v>
      </c>
      <c r="M320" s="2">
        <v>4</v>
      </c>
      <c r="N320" s="2" t="s">
        <v>27</v>
      </c>
      <c r="O320" s="2" t="s">
        <v>28</v>
      </c>
      <c r="P320" s="2" t="s">
        <v>29</v>
      </c>
      <c r="Q320" s="6" t="s">
        <v>58</v>
      </c>
    </row>
    <row r="321" spans="1:17">
      <c r="A321" s="3" t="s">
        <v>1023</v>
      </c>
      <c r="B321" s="4" t="s">
        <v>50</v>
      </c>
      <c r="C321" s="4" t="s">
        <v>1024</v>
      </c>
      <c r="D321" s="4" t="s">
        <v>1025</v>
      </c>
      <c r="E321" s="4" t="s">
        <v>84</v>
      </c>
      <c r="F321" s="4" t="s">
        <v>85</v>
      </c>
      <c r="G321" s="4" t="s">
        <v>54</v>
      </c>
      <c r="H321" s="4" t="s">
        <v>37</v>
      </c>
      <c r="I321" s="4" t="s">
        <v>87</v>
      </c>
      <c r="J321" s="4">
        <v>4.3</v>
      </c>
      <c r="K321" s="4">
        <v>4</v>
      </c>
      <c r="L321" s="4" t="s">
        <v>27</v>
      </c>
      <c r="M321" s="4">
        <v>3</v>
      </c>
      <c r="N321" s="4" t="s">
        <v>26</v>
      </c>
      <c r="O321" s="4" t="s">
        <v>28</v>
      </c>
      <c r="P321" s="4" t="s">
        <v>57</v>
      </c>
      <c r="Q321" s="5" t="s">
        <v>58</v>
      </c>
    </row>
    <row r="322" spans="1:17">
      <c r="A322" s="1" t="s">
        <v>1026</v>
      </c>
      <c r="B322" s="2" t="s">
        <v>60</v>
      </c>
      <c r="C322" s="2" t="s">
        <v>1027</v>
      </c>
      <c r="D322" s="2" t="s">
        <v>1028</v>
      </c>
      <c r="E322" s="2" t="s">
        <v>21</v>
      </c>
      <c r="F322" s="2" t="s">
        <v>69</v>
      </c>
      <c r="G322" s="2" t="s">
        <v>23</v>
      </c>
      <c r="H322" s="2" t="s">
        <v>37</v>
      </c>
      <c r="I322" s="2" t="s">
        <v>25</v>
      </c>
      <c r="J322" s="2">
        <v>15.1</v>
      </c>
      <c r="K322" s="2">
        <v>24</v>
      </c>
      <c r="L322" s="2" t="s">
        <v>26</v>
      </c>
      <c r="M322" s="2">
        <v>5</v>
      </c>
      <c r="N322" s="2" t="s">
        <v>27</v>
      </c>
      <c r="O322" s="2" t="s">
        <v>28</v>
      </c>
      <c r="P322" s="2" t="s">
        <v>29</v>
      </c>
      <c r="Q322" s="6" t="s">
        <v>30</v>
      </c>
    </row>
    <row r="323" spans="1:17">
      <c r="A323" s="3" t="s">
        <v>1029</v>
      </c>
      <c r="B323" s="4" t="s">
        <v>32</v>
      </c>
      <c r="C323" s="4" t="s">
        <v>1030</v>
      </c>
      <c r="D323" s="4" t="s">
        <v>1031</v>
      </c>
      <c r="E323" s="4" t="s">
        <v>35</v>
      </c>
      <c r="F323" s="4" t="s">
        <v>53</v>
      </c>
      <c r="G323" s="4" t="s">
        <v>46</v>
      </c>
      <c r="H323" s="4" t="s">
        <v>86</v>
      </c>
      <c r="I323" s="4" t="s">
        <v>56</v>
      </c>
      <c r="J323" s="4">
        <v>5</v>
      </c>
      <c r="K323" s="4">
        <v>8</v>
      </c>
      <c r="L323" s="4" t="s">
        <v>26</v>
      </c>
      <c r="M323" s="4">
        <v>5</v>
      </c>
      <c r="N323" s="4" t="s">
        <v>27</v>
      </c>
      <c r="O323" s="4" t="s">
        <v>28</v>
      </c>
      <c r="P323" s="4" t="s">
        <v>29</v>
      </c>
      <c r="Q323" s="5" t="s">
        <v>58</v>
      </c>
    </row>
    <row r="324" spans="1:17">
      <c r="A324" s="1" t="s">
        <v>1032</v>
      </c>
      <c r="B324" s="2" t="s">
        <v>18</v>
      </c>
      <c r="C324" s="2" t="s">
        <v>1033</v>
      </c>
      <c r="D324" s="2" t="s">
        <v>1034</v>
      </c>
      <c r="E324" s="2" t="s">
        <v>78</v>
      </c>
      <c r="F324" s="2" t="s">
        <v>166</v>
      </c>
      <c r="G324" s="2" t="s">
        <v>23</v>
      </c>
      <c r="H324" s="2" t="s">
        <v>24</v>
      </c>
      <c r="I324" s="2" t="s">
        <v>80</v>
      </c>
      <c r="J324" s="2">
        <v>19.7</v>
      </c>
      <c r="K324" s="2">
        <v>24</v>
      </c>
      <c r="L324" s="2" t="s">
        <v>26</v>
      </c>
      <c r="M324" s="2">
        <v>4</v>
      </c>
      <c r="N324" s="2" t="s">
        <v>27</v>
      </c>
      <c r="O324" s="2" t="s">
        <v>28</v>
      </c>
      <c r="P324" s="2" t="s">
        <v>29</v>
      </c>
      <c r="Q324" s="6" t="s">
        <v>58</v>
      </c>
    </row>
    <row r="325" spans="1:17">
      <c r="A325" s="3" t="s">
        <v>1035</v>
      </c>
      <c r="B325" s="4" t="s">
        <v>41</v>
      </c>
      <c r="C325" s="4" t="s">
        <v>1036</v>
      </c>
      <c r="D325" s="4" t="s">
        <v>1037</v>
      </c>
      <c r="E325" s="4" t="s">
        <v>21</v>
      </c>
      <c r="F325" s="4" t="s">
        <v>69</v>
      </c>
      <c r="G325" s="4" t="s">
        <v>46</v>
      </c>
      <c r="H325" s="4" t="s">
        <v>37</v>
      </c>
      <c r="I325" s="4" t="s">
        <v>25</v>
      </c>
      <c r="J325" s="4">
        <v>10</v>
      </c>
      <c r="K325" s="4">
        <v>8</v>
      </c>
      <c r="L325" s="4" t="s">
        <v>27</v>
      </c>
      <c r="M325" s="4">
        <v>1</v>
      </c>
      <c r="N325" s="4" t="s">
        <v>26</v>
      </c>
      <c r="O325" s="4" t="s">
        <v>28</v>
      </c>
      <c r="P325" s="4" t="s">
        <v>57</v>
      </c>
      <c r="Q325" s="5" t="s">
        <v>30</v>
      </c>
    </row>
    <row r="326" spans="1:17">
      <c r="A326" s="1" t="s">
        <v>1038</v>
      </c>
      <c r="B326" s="2" t="s">
        <v>75</v>
      </c>
      <c r="C326" s="2" t="s">
        <v>1039</v>
      </c>
      <c r="D326" s="2" t="s">
        <v>1040</v>
      </c>
      <c r="E326" s="2" t="s">
        <v>35</v>
      </c>
      <c r="F326" s="2" t="s">
        <v>53</v>
      </c>
      <c r="G326" s="2" t="s">
        <v>46</v>
      </c>
      <c r="H326" s="2" t="s">
        <v>37</v>
      </c>
      <c r="I326" s="2" t="s">
        <v>56</v>
      </c>
      <c r="J326" s="2">
        <v>8.1999999999999993</v>
      </c>
      <c r="K326" s="2">
        <v>8</v>
      </c>
      <c r="L326" s="2" t="s">
        <v>27</v>
      </c>
      <c r="M326" s="2">
        <v>3</v>
      </c>
      <c r="N326" s="2" t="s">
        <v>26</v>
      </c>
      <c r="O326" s="2" t="s">
        <v>28</v>
      </c>
      <c r="P326" s="2" t="s">
        <v>57</v>
      </c>
      <c r="Q326" s="6" t="s">
        <v>30</v>
      </c>
    </row>
    <row r="327" spans="1:17">
      <c r="A327" s="3" t="s">
        <v>1041</v>
      </c>
      <c r="B327" s="4" t="s">
        <v>60</v>
      </c>
      <c r="C327" s="4" t="s">
        <v>1042</v>
      </c>
      <c r="D327" s="4" t="s">
        <v>1043</v>
      </c>
      <c r="E327" s="4" t="s">
        <v>84</v>
      </c>
      <c r="F327" s="4" t="s">
        <v>85</v>
      </c>
      <c r="G327" s="4" t="s">
        <v>46</v>
      </c>
      <c r="H327" s="4" t="s">
        <v>234</v>
      </c>
      <c r="I327" s="4" t="s">
        <v>87</v>
      </c>
      <c r="J327" s="4">
        <v>8.5</v>
      </c>
      <c r="K327" s="4">
        <v>8</v>
      </c>
      <c r="L327" s="4" t="s">
        <v>27</v>
      </c>
      <c r="M327" s="4">
        <v>2</v>
      </c>
      <c r="N327" s="4" t="s">
        <v>27</v>
      </c>
      <c r="O327" s="4" t="s">
        <v>28</v>
      </c>
      <c r="P327" s="4" t="s">
        <v>57</v>
      </c>
      <c r="Q327" s="5" t="s">
        <v>58</v>
      </c>
    </row>
    <row r="328" spans="1:17">
      <c r="A328" s="1" t="s">
        <v>1044</v>
      </c>
      <c r="B328" s="2" t="s">
        <v>32</v>
      </c>
      <c r="C328" s="2" t="s">
        <v>1045</v>
      </c>
      <c r="D328" s="2" t="s">
        <v>1046</v>
      </c>
      <c r="E328" s="2" t="s">
        <v>78</v>
      </c>
      <c r="F328" s="2" t="s">
        <v>191</v>
      </c>
      <c r="G328" s="2" t="s">
        <v>23</v>
      </c>
      <c r="H328" s="2" t="s">
        <v>70</v>
      </c>
      <c r="I328" s="2" t="s">
        <v>38</v>
      </c>
      <c r="J328" s="2">
        <v>10.199999999999999</v>
      </c>
      <c r="K328" s="2">
        <v>24</v>
      </c>
      <c r="L328" s="2" t="s">
        <v>26</v>
      </c>
      <c r="M328" s="2">
        <v>5</v>
      </c>
      <c r="N328" s="2" t="s">
        <v>27</v>
      </c>
      <c r="O328" s="2" t="s">
        <v>28</v>
      </c>
      <c r="P328" s="2" t="s">
        <v>29</v>
      </c>
      <c r="Q328" s="6" t="s">
        <v>101</v>
      </c>
    </row>
    <row r="329" spans="1:17">
      <c r="A329" s="3" t="s">
        <v>1047</v>
      </c>
      <c r="B329" s="4" t="s">
        <v>106</v>
      </c>
      <c r="C329" s="4" t="s">
        <v>1048</v>
      </c>
      <c r="D329" s="4" t="s">
        <v>1049</v>
      </c>
      <c r="E329" s="4" t="s">
        <v>78</v>
      </c>
      <c r="F329" s="4" t="s">
        <v>191</v>
      </c>
      <c r="G329" s="4" t="s">
        <v>46</v>
      </c>
      <c r="H329" s="4" t="s">
        <v>37</v>
      </c>
      <c r="I329" s="4" t="s">
        <v>38</v>
      </c>
      <c r="J329" s="4">
        <v>19.2</v>
      </c>
      <c r="K329" s="4">
        <v>8</v>
      </c>
      <c r="L329" s="4" t="s">
        <v>27</v>
      </c>
      <c r="M329" s="4"/>
      <c r="N329" s="4" t="s">
        <v>27</v>
      </c>
      <c r="O329" s="4" t="s">
        <v>28</v>
      </c>
      <c r="P329" s="4" t="s">
        <v>1670</v>
      </c>
      <c r="Q329" s="5" t="s">
        <v>101</v>
      </c>
    </row>
    <row r="330" spans="1:17">
      <c r="A330" s="1" t="s">
        <v>1050</v>
      </c>
      <c r="B330" s="2" t="s">
        <v>50</v>
      </c>
      <c r="C330" s="2" t="s">
        <v>1051</v>
      </c>
      <c r="D330" s="2" t="s">
        <v>1052</v>
      </c>
      <c r="E330" s="2" t="s">
        <v>35</v>
      </c>
      <c r="F330" s="2" t="s">
        <v>36</v>
      </c>
      <c r="G330" s="2" t="s">
        <v>23</v>
      </c>
      <c r="H330" s="2" t="s">
        <v>47</v>
      </c>
      <c r="I330" s="2" t="s">
        <v>38</v>
      </c>
      <c r="J330" s="2">
        <v>7.5</v>
      </c>
      <c r="K330" s="2">
        <v>24</v>
      </c>
      <c r="L330" s="2" t="s">
        <v>26</v>
      </c>
      <c r="M330" s="2">
        <v>4</v>
      </c>
      <c r="N330" s="2" t="s">
        <v>27</v>
      </c>
      <c r="O330" s="2" t="s">
        <v>28</v>
      </c>
      <c r="P330" s="2" t="s">
        <v>29</v>
      </c>
      <c r="Q330" s="6" t="s">
        <v>39</v>
      </c>
    </row>
    <row r="331" spans="1:17">
      <c r="A331" s="3" t="s">
        <v>1053</v>
      </c>
      <c r="B331" s="4" t="s">
        <v>66</v>
      </c>
      <c r="C331" s="4" t="s">
        <v>1054</v>
      </c>
      <c r="D331" s="4" t="s">
        <v>1055</v>
      </c>
      <c r="E331" s="4" t="s">
        <v>21</v>
      </c>
      <c r="F331" s="4" t="s">
        <v>69</v>
      </c>
      <c r="G331" s="4" t="s">
        <v>23</v>
      </c>
      <c r="H331" s="4" t="s">
        <v>70</v>
      </c>
      <c r="I331" s="4" t="s">
        <v>25</v>
      </c>
      <c r="J331" s="4">
        <v>8.9</v>
      </c>
      <c r="K331" s="4">
        <v>24</v>
      </c>
      <c r="L331" s="4" t="s">
        <v>26</v>
      </c>
      <c r="M331" s="4">
        <v>4</v>
      </c>
      <c r="N331" s="4" t="s">
        <v>27</v>
      </c>
      <c r="O331" s="4" t="s">
        <v>28</v>
      </c>
      <c r="P331" s="4" t="s">
        <v>29</v>
      </c>
      <c r="Q331" s="5" t="s">
        <v>101</v>
      </c>
    </row>
    <row r="332" spans="1:17">
      <c r="A332" s="1" t="s">
        <v>1056</v>
      </c>
      <c r="B332" s="2" t="s">
        <v>41</v>
      </c>
      <c r="C332" s="2" t="s">
        <v>1057</v>
      </c>
      <c r="D332" s="2" t="s">
        <v>1058</v>
      </c>
      <c r="E332" s="2" t="s">
        <v>78</v>
      </c>
      <c r="F332" s="2" t="s">
        <v>79</v>
      </c>
      <c r="G332" s="2" t="s">
        <v>54</v>
      </c>
      <c r="H332" s="2" t="s">
        <v>138</v>
      </c>
      <c r="I332" s="2" t="s">
        <v>80</v>
      </c>
      <c r="J332" s="2">
        <v>16.8</v>
      </c>
      <c r="K332" s="2">
        <v>4</v>
      </c>
      <c r="L332" s="2" t="s">
        <v>27</v>
      </c>
      <c r="M332" s="2"/>
      <c r="N332" s="2" t="s">
        <v>27</v>
      </c>
      <c r="O332" s="2" t="s">
        <v>28</v>
      </c>
      <c r="P332" s="2" t="s">
        <v>57</v>
      </c>
      <c r="Q332" s="6" t="s">
        <v>39</v>
      </c>
    </row>
    <row r="333" spans="1:17">
      <c r="A333" s="3" t="s">
        <v>1059</v>
      </c>
      <c r="B333" s="4" t="s">
        <v>60</v>
      </c>
      <c r="C333" s="4" t="s">
        <v>1060</v>
      </c>
      <c r="D333" s="4" t="s">
        <v>1061</v>
      </c>
      <c r="E333" s="4" t="s">
        <v>21</v>
      </c>
      <c r="F333" s="4" t="s">
        <v>22</v>
      </c>
      <c r="G333" s="4" t="s">
        <v>46</v>
      </c>
      <c r="H333" s="4" t="s">
        <v>91</v>
      </c>
      <c r="I333" s="4" t="s">
        <v>25</v>
      </c>
      <c r="J333" s="4">
        <v>11.1</v>
      </c>
      <c r="K333" s="4">
        <v>8</v>
      </c>
      <c r="L333" s="4" t="s">
        <v>27</v>
      </c>
      <c r="M333" s="4">
        <v>2</v>
      </c>
      <c r="N333" s="4" t="s">
        <v>26</v>
      </c>
      <c r="O333" s="4" t="s">
        <v>28</v>
      </c>
      <c r="P333" s="4" t="s">
        <v>1670</v>
      </c>
      <c r="Q333" s="5" t="s">
        <v>101</v>
      </c>
    </row>
    <row r="334" spans="1:17">
      <c r="A334" s="1" t="s">
        <v>1062</v>
      </c>
      <c r="B334" s="2" t="s">
        <v>32</v>
      </c>
      <c r="C334" s="2" t="s">
        <v>1063</v>
      </c>
      <c r="D334" s="2" t="s">
        <v>1064</v>
      </c>
      <c r="E334" s="2" t="s">
        <v>21</v>
      </c>
      <c r="F334" s="2" t="s">
        <v>63</v>
      </c>
      <c r="G334" s="2" t="s">
        <v>46</v>
      </c>
      <c r="H334" s="2" t="s">
        <v>37</v>
      </c>
      <c r="I334" s="2" t="s">
        <v>25</v>
      </c>
      <c r="J334" s="2">
        <v>12.9</v>
      </c>
      <c r="K334" s="2">
        <v>8</v>
      </c>
      <c r="L334" s="2" t="s">
        <v>27</v>
      </c>
      <c r="M334" s="2">
        <v>3</v>
      </c>
      <c r="N334" s="2" t="s">
        <v>27</v>
      </c>
      <c r="O334" s="2" t="s">
        <v>28</v>
      </c>
      <c r="P334" s="2" t="s">
        <v>57</v>
      </c>
      <c r="Q334" s="6" t="s">
        <v>39</v>
      </c>
    </row>
    <row r="335" spans="1:17">
      <c r="A335" s="3" t="s">
        <v>1065</v>
      </c>
      <c r="B335" s="4" t="s">
        <v>32</v>
      </c>
      <c r="C335" s="4" t="s">
        <v>1066</v>
      </c>
      <c r="D335" s="4" t="s">
        <v>1067</v>
      </c>
      <c r="E335" s="4" t="s">
        <v>35</v>
      </c>
      <c r="F335" s="4" t="s">
        <v>127</v>
      </c>
      <c r="G335" s="4" t="s">
        <v>23</v>
      </c>
      <c r="H335" s="4" t="s">
        <v>234</v>
      </c>
      <c r="I335" s="4" t="s">
        <v>56</v>
      </c>
      <c r="J335" s="4">
        <v>4.8</v>
      </c>
      <c r="K335" s="4">
        <v>24</v>
      </c>
      <c r="L335" s="4" t="s">
        <v>26</v>
      </c>
      <c r="M335" s="4">
        <v>5</v>
      </c>
      <c r="N335" s="4" t="s">
        <v>27</v>
      </c>
      <c r="O335" s="4" t="s">
        <v>28</v>
      </c>
      <c r="P335" s="4" t="s">
        <v>29</v>
      </c>
      <c r="Q335" s="5" t="s">
        <v>58</v>
      </c>
    </row>
    <row r="336" spans="1:17">
      <c r="A336" s="1" t="s">
        <v>1068</v>
      </c>
      <c r="B336" s="2" t="s">
        <v>135</v>
      </c>
      <c r="C336" s="2" t="s">
        <v>1069</v>
      </c>
      <c r="D336" s="2" t="s">
        <v>1070</v>
      </c>
      <c r="E336" s="2" t="s">
        <v>21</v>
      </c>
      <c r="F336" s="2" t="s">
        <v>63</v>
      </c>
      <c r="G336" s="2" t="s">
        <v>46</v>
      </c>
      <c r="H336" s="2" t="s">
        <v>70</v>
      </c>
      <c r="I336" s="2" t="s">
        <v>25</v>
      </c>
      <c r="J336" s="2">
        <v>14.9</v>
      </c>
      <c r="K336" s="2">
        <v>8</v>
      </c>
      <c r="L336" s="2" t="s">
        <v>27</v>
      </c>
      <c r="M336" s="2">
        <v>1</v>
      </c>
      <c r="N336" s="2" t="s">
        <v>26</v>
      </c>
      <c r="O336" s="2" t="s">
        <v>28</v>
      </c>
      <c r="P336" s="2" t="s">
        <v>57</v>
      </c>
      <c r="Q336" s="6" t="s">
        <v>39</v>
      </c>
    </row>
    <row r="337" spans="1:17">
      <c r="A337" s="3" t="s">
        <v>1071</v>
      </c>
      <c r="B337" s="4" t="s">
        <v>50</v>
      </c>
      <c r="C337" s="4" t="s">
        <v>1072</v>
      </c>
      <c r="D337" s="4" t="s">
        <v>1073</v>
      </c>
      <c r="E337" s="4" t="s">
        <v>78</v>
      </c>
      <c r="F337" s="4" t="s">
        <v>79</v>
      </c>
      <c r="G337" s="4" t="s">
        <v>23</v>
      </c>
      <c r="H337" s="4" t="s">
        <v>138</v>
      </c>
      <c r="I337" s="4" t="s">
        <v>80</v>
      </c>
      <c r="J337" s="4">
        <v>19.3</v>
      </c>
      <c r="K337" s="4">
        <v>24</v>
      </c>
      <c r="L337" s="4" t="s">
        <v>26</v>
      </c>
      <c r="M337" s="4">
        <v>5</v>
      </c>
      <c r="N337" s="4" t="s">
        <v>27</v>
      </c>
      <c r="O337" s="4" t="s">
        <v>28</v>
      </c>
      <c r="P337" s="4" t="s">
        <v>29</v>
      </c>
      <c r="Q337" s="5" t="s">
        <v>58</v>
      </c>
    </row>
    <row r="338" spans="1:17">
      <c r="A338" s="1" t="s">
        <v>1074</v>
      </c>
      <c r="B338" s="2" t="s">
        <v>50</v>
      </c>
      <c r="C338" s="2" t="s">
        <v>1075</v>
      </c>
      <c r="D338" s="2" t="s">
        <v>1076</v>
      </c>
      <c r="E338" s="2" t="s">
        <v>78</v>
      </c>
      <c r="F338" s="2" t="s">
        <v>79</v>
      </c>
      <c r="G338" s="2" t="s">
        <v>54</v>
      </c>
      <c r="H338" s="2" t="s">
        <v>86</v>
      </c>
      <c r="I338" s="2" t="s">
        <v>80</v>
      </c>
      <c r="J338" s="2">
        <v>17.899999999999999</v>
      </c>
      <c r="K338" s="2">
        <v>4</v>
      </c>
      <c r="L338" s="2" t="s">
        <v>27</v>
      </c>
      <c r="M338" s="2">
        <v>2</v>
      </c>
      <c r="N338" s="2" t="s">
        <v>27</v>
      </c>
      <c r="O338" s="2" t="s">
        <v>28</v>
      </c>
      <c r="P338" s="2" t="s">
        <v>57</v>
      </c>
      <c r="Q338" s="6" t="s">
        <v>58</v>
      </c>
    </row>
    <row r="339" spans="1:17">
      <c r="A339" s="3" t="s">
        <v>1077</v>
      </c>
      <c r="B339" s="4" t="s">
        <v>50</v>
      </c>
      <c r="C339" s="4" t="s">
        <v>1078</v>
      </c>
      <c r="D339" s="4" t="s">
        <v>1079</v>
      </c>
      <c r="E339" s="4" t="s">
        <v>78</v>
      </c>
      <c r="F339" s="4" t="s">
        <v>79</v>
      </c>
      <c r="G339" s="4" t="s">
        <v>54</v>
      </c>
      <c r="H339" s="4" t="s">
        <v>55</v>
      </c>
      <c r="I339" s="4" t="s">
        <v>80</v>
      </c>
      <c r="J339" s="4">
        <v>12.7</v>
      </c>
      <c r="K339" s="4">
        <v>4</v>
      </c>
      <c r="L339" s="4" t="s">
        <v>27</v>
      </c>
      <c r="M339" s="4">
        <v>3</v>
      </c>
      <c r="N339" s="4" t="s">
        <v>26</v>
      </c>
      <c r="O339" s="4" t="s">
        <v>28</v>
      </c>
      <c r="P339" s="4" t="s">
        <v>1670</v>
      </c>
      <c r="Q339" s="5" t="s">
        <v>58</v>
      </c>
    </row>
    <row r="340" spans="1:17">
      <c r="A340" s="1" t="s">
        <v>1080</v>
      </c>
      <c r="B340" s="2" t="s">
        <v>50</v>
      </c>
      <c r="C340" s="2" t="s">
        <v>1081</v>
      </c>
      <c r="D340" s="2" t="s">
        <v>1082</v>
      </c>
      <c r="E340" s="2" t="s">
        <v>78</v>
      </c>
      <c r="F340" s="2" t="s">
        <v>79</v>
      </c>
      <c r="G340" s="2" t="s">
        <v>46</v>
      </c>
      <c r="H340" s="2" t="s">
        <v>47</v>
      </c>
      <c r="I340" s="2" t="s">
        <v>80</v>
      </c>
      <c r="J340" s="2">
        <v>7.1</v>
      </c>
      <c r="K340" s="2">
        <v>8</v>
      </c>
      <c r="L340" s="2" t="s">
        <v>26</v>
      </c>
      <c r="M340" s="2"/>
      <c r="N340" s="2" t="s">
        <v>27</v>
      </c>
      <c r="O340" s="2" t="s">
        <v>28</v>
      </c>
      <c r="P340" s="2" t="s">
        <v>29</v>
      </c>
      <c r="Q340" s="6" t="s">
        <v>58</v>
      </c>
    </row>
    <row r="341" spans="1:17">
      <c r="A341" s="3" t="s">
        <v>1083</v>
      </c>
      <c r="B341" s="4" t="s">
        <v>60</v>
      </c>
      <c r="C341" s="4" t="s">
        <v>1084</v>
      </c>
      <c r="D341" s="4" t="s">
        <v>1085</v>
      </c>
      <c r="E341" s="4" t="s">
        <v>35</v>
      </c>
      <c r="F341" s="4" t="s">
        <v>53</v>
      </c>
      <c r="G341" s="4" t="s">
        <v>46</v>
      </c>
      <c r="H341" s="4" t="s">
        <v>37</v>
      </c>
      <c r="I341" s="4" t="s">
        <v>56</v>
      </c>
      <c r="J341" s="4">
        <v>11.1</v>
      </c>
      <c r="K341" s="4">
        <v>8</v>
      </c>
      <c r="L341" s="4" t="s">
        <v>27</v>
      </c>
      <c r="M341" s="4">
        <v>1</v>
      </c>
      <c r="N341" s="4" t="s">
        <v>27</v>
      </c>
      <c r="O341" s="4" t="s">
        <v>28</v>
      </c>
      <c r="P341" s="4" t="s">
        <v>1670</v>
      </c>
      <c r="Q341" s="5" t="s">
        <v>30</v>
      </c>
    </row>
    <row r="342" spans="1:17">
      <c r="A342" s="1" t="s">
        <v>1086</v>
      </c>
      <c r="B342" s="2" t="s">
        <v>32</v>
      </c>
      <c r="C342" s="2" t="s">
        <v>1087</v>
      </c>
      <c r="D342" s="2" t="s">
        <v>1088</v>
      </c>
      <c r="E342" s="2" t="s">
        <v>35</v>
      </c>
      <c r="F342" s="2" t="s">
        <v>36</v>
      </c>
      <c r="G342" s="2" t="s">
        <v>23</v>
      </c>
      <c r="H342" s="2" t="s">
        <v>138</v>
      </c>
      <c r="I342" s="2" t="s">
        <v>38</v>
      </c>
      <c r="J342" s="2">
        <v>8.1</v>
      </c>
      <c r="K342" s="2">
        <v>24</v>
      </c>
      <c r="L342" s="2" t="s">
        <v>26</v>
      </c>
      <c r="M342" s="2">
        <v>5</v>
      </c>
      <c r="N342" s="2" t="s">
        <v>27</v>
      </c>
      <c r="O342" s="2" t="s">
        <v>28</v>
      </c>
      <c r="P342" s="2" t="s">
        <v>29</v>
      </c>
      <c r="Q342" s="6" t="s">
        <v>39</v>
      </c>
    </row>
    <row r="343" spans="1:17">
      <c r="A343" s="3" t="s">
        <v>1089</v>
      </c>
      <c r="B343" s="4" t="s">
        <v>66</v>
      </c>
      <c r="C343" s="4" t="s">
        <v>1090</v>
      </c>
      <c r="D343" s="4" t="s">
        <v>1091</v>
      </c>
      <c r="E343" s="4" t="s">
        <v>78</v>
      </c>
      <c r="F343" s="4" t="s">
        <v>166</v>
      </c>
      <c r="G343" s="4" t="s">
        <v>46</v>
      </c>
      <c r="H343" s="4" t="s">
        <v>70</v>
      </c>
      <c r="I343" s="4" t="s">
        <v>80</v>
      </c>
      <c r="J343" s="4">
        <v>11.4</v>
      </c>
      <c r="K343" s="4">
        <v>8</v>
      </c>
      <c r="L343" s="4" t="s">
        <v>27</v>
      </c>
      <c r="M343" s="4">
        <v>1</v>
      </c>
      <c r="N343" s="4" t="s">
        <v>27</v>
      </c>
      <c r="O343" s="4" t="s">
        <v>28</v>
      </c>
      <c r="P343" s="4" t="s">
        <v>1670</v>
      </c>
      <c r="Q343" s="5" t="s">
        <v>101</v>
      </c>
    </row>
    <row r="344" spans="1:17">
      <c r="A344" s="1" t="s">
        <v>1092</v>
      </c>
      <c r="B344" s="2" t="s">
        <v>32</v>
      </c>
      <c r="C344" s="2" t="s">
        <v>1093</v>
      </c>
      <c r="D344" s="2" t="s">
        <v>1094</v>
      </c>
      <c r="E344" s="2" t="s">
        <v>44</v>
      </c>
      <c r="F344" s="2" t="s">
        <v>109</v>
      </c>
      <c r="G344" s="2" t="s">
        <v>46</v>
      </c>
      <c r="H344" s="2" t="s">
        <v>70</v>
      </c>
      <c r="I344" s="2" t="s">
        <v>48</v>
      </c>
      <c r="J344" s="2">
        <v>3.3</v>
      </c>
      <c r="K344" s="2">
        <v>8</v>
      </c>
      <c r="L344" s="2" t="s">
        <v>26</v>
      </c>
      <c r="M344" s="2">
        <v>5</v>
      </c>
      <c r="N344" s="2" t="s">
        <v>27</v>
      </c>
      <c r="O344" s="2" t="s">
        <v>28</v>
      </c>
      <c r="P344" s="2" t="s">
        <v>29</v>
      </c>
      <c r="Q344" s="6" t="s">
        <v>39</v>
      </c>
    </row>
    <row r="345" spans="1:17">
      <c r="A345" s="3" t="s">
        <v>1095</v>
      </c>
      <c r="B345" s="4" t="s">
        <v>75</v>
      </c>
      <c r="C345" s="4" t="s">
        <v>1096</v>
      </c>
      <c r="D345" s="4" t="s">
        <v>1097</v>
      </c>
      <c r="E345" s="4" t="s">
        <v>35</v>
      </c>
      <c r="F345" s="4" t="s">
        <v>53</v>
      </c>
      <c r="G345" s="4" t="s">
        <v>46</v>
      </c>
      <c r="H345" s="4" t="s">
        <v>55</v>
      </c>
      <c r="I345" s="4" t="s">
        <v>56</v>
      </c>
      <c r="J345" s="4">
        <v>6.7</v>
      </c>
      <c r="K345" s="4">
        <v>8</v>
      </c>
      <c r="L345" s="4" t="s">
        <v>26</v>
      </c>
      <c r="M345" s="4">
        <v>4</v>
      </c>
      <c r="N345" s="4" t="s">
        <v>27</v>
      </c>
      <c r="O345" s="4" t="s">
        <v>28</v>
      </c>
      <c r="P345" s="4" t="s">
        <v>29</v>
      </c>
      <c r="Q345" s="5" t="s">
        <v>39</v>
      </c>
    </row>
    <row r="346" spans="1:17">
      <c r="A346" s="1" t="s">
        <v>1098</v>
      </c>
      <c r="B346" s="2" t="s">
        <v>32</v>
      </c>
      <c r="C346" s="2" t="s">
        <v>1099</v>
      </c>
      <c r="D346" s="2" t="s">
        <v>1100</v>
      </c>
      <c r="E346" s="2" t="s">
        <v>35</v>
      </c>
      <c r="F346" s="2" t="s">
        <v>53</v>
      </c>
      <c r="G346" s="2" t="s">
        <v>46</v>
      </c>
      <c r="H346" s="2" t="s">
        <v>86</v>
      </c>
      <c r="I346" s="2" t="s">
        <v>56</v>
      </c>
      <c r="J346" s="2">
        <v>6.2</v>
      </c>
      <c r="K346" s="2">
        <v>8</v>
      </c>
      <c r="L346" s="2" t="s">
        <v>26</v>
      </c>
      <c r="M346" s="2">
        <v>5</v>
      </c>
      <c r="N346" s="2" t="s">
        <v>27</v>
      </c>
      <c r="O346" s="2" t="s">
        <v>28</v>
      </c>
      <c r="P346" s="2" t="s">
        <v>29</v>
      </c>
      <c r="Q346" s="6" t="s">
        <v>101</v>
      </c>
    </row>
    <row r="347" spans="1:17">
      <c r="A347" s="3" t="s">
        <v>1101</v>
      </c>
      <c r="B347" s="4" t="s">
        <v>121</v>
      </c>
      <c r="C347" s="4" t="s">
        <v>1102</v>
      </c>
      <c r="D347" s="4" t="s">
        <v>1103</v>
      </c>
      <c r="E347" s="4" t="s">
        <v>44</v>
      </c>
      <c r="F347" s="4" t="s">
        <v>45</v>
      </c>
      <c r="G347" s="4" t="s">
        <v>54</v>
      </c>
      <c r="H347" s="4" t="s">
        <v>70</v>
      </c>
      <c r="I347" s="4" t="s">
        <v>48</v>
      </c>
      <c r="J347" s="4">
        <v>2.6</v>
      </c>
      <c r="K347" s="4">
        <v>4</v>
      </c>
      <c r="L347" s="4" t="s">
        <v>26</v>
      </c>
      <c r="M347" s="4">
        <v>5</v>
      </c>
      <c r="N347" s="4" t="s">
        <v>27</v>
      </c>
      <c r="O347" s="4" t="s">
        <v>28</v>
      </c>
      <c r="P347" s="4" t="s">
        <v>29</v>
      </c>
      <c r="Q347" s="5" t="s">
        <v>101</v>
      </c>
    </row>
    <row r="348" spans="1:17">
      <c r="A348" s="1" t="s">
        <v>1104</v>
      </c>
      <c r="B348" s="2" t="s">
        <v>66</v>
      </c>
      <c r="C348" s="2" t="s">
        <v>1105</v>
      </c>
      <c r="D348" s="2" t="s">
        <v>1106</v>
      </c>
      <c r="E348" s="2" t="s">
        <v>21</v>
      </c>
      <c r="F348" s="2" t="s">
        <v>69</v>
      </c>
      <c r="G348" s="2" t="s">
        <v>54</v>
      </c>
      <c r="H348" s="2" t="s">
        <v>37</v>
      </c>
      <c r="I348" s="2" t="s">
        <v>25</v>
      </c>
      <c r="J348" s="2">
        <v>6</v>
      </c>
      <c r="K348" s="2">
        <v>4</v>
      </c>
      <c r="L348" s="2" t="s">
        <v>27</v>
      </c>
      <c r="M348" s="2">
        <v>3</v>
      </c>
      <c r="N348" s="2" t="s">
        <v>27</v>
      </c>
      <c r="O348" s="2" t="s">
        <v>28</v>
      </c>
      <c r="P348" s="2" t="s">
        <v>1670</v>
      </c>
      <c r="Q348" s="6" t="s">
        <v>39</v>
      </c>
    </row>
    <row r="349" spans="1:17">
      <c r="A349" s="3" t="s">
        <v>1107</v>
      </c>
      <c r="B349" s="4" t="s">
        <v>60</v>
      </c>
      <c r="C349" s="4" t="s">
        <v>1108</v>
      </c>
      <c r="D349" s="4" t="s">
        <v>1109</v>
      </c>
      <c r="E349" s="4" t="s">
        <v>35</v>
      </c>
      <c r="F349" s="4" t="s">
        <v>53</v>
      </c>
      <c r="G349" s="4" t="s">
        <v>54</v>
      </c>
      <c r="H349" s="4" t="s">
        <v>37</v>
      </c>
      <c r="I349" s="4" t="s">
        <v>56</v>
      </c>
      <c r="J349" s="4">
        <v>10.3</v>
      </c>
      <c r="K349" s="4">
        <v>4</v>
      </c>
      <c r="L349" s="4" t="s">
        <v>27</v>
      </c>
      <c r="M349" s="4">
        <v>2</v>
      </c>
      <c r="N349" s="4" t="s">
        <v>26</v>
      </c>
      <c r="O349" s="4" t="s">
        <v>28</v>
      </c>
      <c r="P349" s="4" t="s">
        <v>1670</v>
      </c>
      <c r="Q349" s="5" t="s">
        <v>30</v>
      </c>
    </row>
    <row r="350" spans="1:17">
      <c r="A350" s="1" t="s">
        <v>1110</v>
      </c>
      <c r="B350" s="2" t="s">
        <v>66</v>
      </c>
      <c r="C350" s="2" t="s">
        <v>1111</v>
      </c>
      <c r="D350" s="2" t="s">
        <v>1112</v>
      </c>
      <c r="E350" s="2" t="s">
        <v>35</v>
      </c>
      <c r="F350" s="2" t="s">
        <v>36</v>
      </c>
      <c r="G350" s="2" t="s">
        <v>46</v>
      </c>
      <c r="H350" s="2" t="s">
        <v>234</v>
      </c>
      <c r="I350" s="2" t="s">
        <v>38</v>
      </c>
      <c r="J350" s="2">
        <v>11.8</v>
      </c>
      <c r="K350" s="2">
        <v>8</v>
      </c>
      <c r="L350" s="2" t="s">
        <v>27</v>
      </c>
      <c r="M350" s="2">
        <v>1</v>
      </c>
      <c r="N350" s="2" t="s">
        <v>27</v>
      </c>
      <c r="O350" s="2" t="s">
        <v>28</v>
      </c>
      <c r="P350" s="2" t="s">
        <v>1670</v>
      </c>
      <c r="Q350" s="6" t="s">
        <v>58</v>
      </c>
    </row>
    <row r="351" spans="1:17">
      <c r="A351" s="3" t="s">
        <v>1113</v>
      </c>
      <c r="B351" s="4" t="s">
        <v>121</v>
      </c>
      <c r="C351" s="4" t="s">
        <v>1114</v>
      </c>
      <c r="D351" s="4" t="s">
        <v>1115</v>
      </c>
      <c r="E351" s="4" t="s">
        <v>21</v>
      </c>
      <c r="F351" s="4" t="s">
        <v>63</v>
      </c>
      <c r="G351" s="4" t="s">
        <v>46</v>
      </c>
      <c r="H351" s="4" t="s">
        <v>70</v>
      </c>
      <c r="I351" s="4" t="s">
        <v>25</v>
      </c>
      <c r="J351" s="4">
        <v>6.8</v>
      </c>
      <c r="K351" s="4">
        <v>8</v>
      </c>
      <c r="L351" s="4" t="s">
        <v>26</v>
      </c>
      <c r="M351" s="4">
        <v>4</v>
      </c>
      <c r="N351" s="4" t="s">
        <v>27</v>
      </c>
      <c r="O351" s="4" t="s">
        <v>28</v>
      </c>
      <c r="P351" s="4" t="s">
        <v>29</v>
      </c>
      <c r="Q351" s="5" t="s">
        <v>101</v>
      </c>
    </row>
    <row r="352" spans="1:17">
      <c r="A352" s="1" t="s">
        <v>1116</v>
      </c>
      <c r="B352" s="2" t="s">
        <v>50</v>
      </c>
      <c r="C352" s="2" t="s">
        <v>1117</v>
      </c>
      <c r="D352" s="2" t="s">
        <v>1118</v>
      </c>
      <c r="E352" s="2" t="s">
        <v>78</v>
      </c>
      <c r="F352" s="2" t="s">
        <v>79</v>
      </c>
      <c r="G352" s="2" t="s">
        <v>54</v>
      </c>
      <c r="H352" s="2" t="s">
        <v>24</v>
      </c>
      <c r="I352" s="2" t="s">
        <v>80</v>
      </c>
      <c r="J352" s="2">
        <v>23.4</v>
      </c>
      <c r="K352" s="2">
        <v>4</v>
      </c>
      <c r="L352" s="2" t="s">
        <v>27</v>
      </c>
      <c r="M352" s="2">
        <v>3</v>
      </c>
      <c r="N352" s="2" t="s">
        <v>26</v>
      </c>
      <c r="O352" s="2" t="s">
        <v>28</v>
      </c>
      <c r="P352" s="2" t="s">
        <v>1670</v>
      </c>
      <c r="Q352" s="6" t="s">
        <v>58</v>
      </c>
    </row>
    <row r="353" spans="1:17">
      <c r="A353" s="3" t="s">
        <v>1119</v>
      </c>
      <c r="B353" s="4" t="s">
        <v>75</v>
      </c>
      <c r="C353" s="4" t="s">
        <v>1120</v>
      </c>
      <c r="D353" s="4" t="s">
        <v>1121</v>
      </c>
      <c r="E353" s="4" t="s">
        <v>84</v>
      </c>
      <c r="F353" s="4" t="s">
        <v>116</v>
      </c>
      <c r="G353" s="4" t="s">
        <v>23</v>
      </c>
      <c r="H353" s="4" t="s">
        <v>37</v>
      </c>
      <c r="I353" s="4" t="s">
        <v>87</v>
      </c>
      <c r="J353" s="4">
        <v>6.1</v>
      </c>
      <c r="K353" s="4">
        <v>24</v>
      </c>
      <c r="L353" s="4" t="s">
        <v>27</v>
      </c>
      <c r="M353" s="4">
        <v>1</v>
      </c>
      <c r="N353" s="4" t="s">
        <v>26</v>
      </c>
      <c r="O353" s="4" t="s">
        <v>28</v>
      </c>
      <c r="P353" s="4" t="s">
        <v>57</v>
      </c>
      <c r="Q353" s="5" t="s">
        <v>39</v>
      </c>
    </row>
    <row r="354" spans="1:17">
      <c r="A354" s="1" t="s">
        <v>1122</v>
      </c>
      <c r="B354" s="2" t="s">
        <v>75</v>
      </c>
      <c r="C354" s="2" t="s">
        <v>1123</v>
      </c>
      <c r="D354" s="2" t="s">
        <v>1124</v>
      </c>
      <c r="E354" s="2" t="s">
        <v>78</v>
      </c>
      <c r="F354" s="2" t="s">
        <v>166</v>
      </c>
      <c r="G354" s="2" t="s">
        <v>46</v>
      </c>
      <c r="H354" s="2" t="s">
        <v>70</v>
      </c>
      <c r="I354" s="2" t="s">
        <v>80</v>
      </c>
      <c r="J354" s="2">
        <v>14</v>
      </c>
      <c r="K354" s="2">
        <v>8</v>
      </c>
      <c r="L354" s="2" t="s">
        <v>27</v>
      </c>
      <c r="M354" s="2">
        <v>1</v>
      </c>
      <c r="N354" s="2" t="s">
        <v>26</v>
      </c>
      <c r="O354" s="2" t="s">
        <v>28</v>
      </c>
      <c r="P354" s="2" t="s">
        <v>57</v>
      </c>
      <c r="Q354" s="6" t="s">
        <v>58</v>
      </c>
    </row>
    <row r="355" spans="1:17">
      <c r="A355" s="3" t="s">
        <v>1125</v>
      </c>
      <c r="B355" s="4" t="s">
        <v>135</v>
      </c>
      <c r="C355" s="4" t="s">
        <v>1126</v>
      </c>
      <c r="D355" s="4" t="s">
        <v>1127</v>
      </c>
      <c r="E355" s="4" t="s">
        <v>44</v>
      </c>
      <c r="F355" s="4" t="s">
        <v>45</v>
      </c>
      <c r="G355" s="4" t="s">
        <v>46</v>
      </c>
      <c r="H355" s="4" t="s">
        <v>234</v>
      </c>
      <c r="I355" s="4" t="s">
        <v>48</v>
      </c>
      <c r="J355" s="4">
        <v>4.5</v>
      </c>
      <c r="K355" s="4">
        <v>8</v>
      </c>
      <c r="L355" s="4" t="s">
        <v>26</v>
      </c>
      <c r="M355" s="4"/>
      <c r="N355" s="4" t="s">
        <v>27</v>
      </c>
      <c r="O355" s="4" t="s">
        <v>28</v>
      </c>
      <c r="P355" s="4" t="s">
        <v>29</v>
      </c>
      <c r="Q355" s="5" t="s">
        <v>101</v>
      </c>
    </row>
    <row r="356" spans="1:17">
      <c r="A356" s="1" t="s">
        <v>1128</v>
      </c>
      <c r="B356" s="2" t="s">
        <v>75</v>
      </c>
      <c r="C356" s="2" t="s">
        <v>1129</v>
      </c>
      <c r="D356" s="2" t="s">
        <v>1130</v>
      </c>
      <c r="E356" s="2" t="s">
        <v>44</v>
      </c>
      <c r="F356" s="2" t="s">
        <v>109</v>
      </c>
      <c r="G356" s="2" t="s">
        <v>46</v>
      </c>
      <c r="H356" s="2" t="s">
        <v>24</v>
      </c>
      <c r="I356" s="2" t="s">
        <v>48</v>
      </c>
      <c r="J356" s="2">
        <v>5.3</v>
      </c>
      <c r="K356" s="2">
        <v>8</v>
      </c>
      <c r="L356" s="2" t="s">
        <v>26</v>
      </c>
      <c r="M356" s="2">
        <v>4</v>
      </c>
      <c r="N356" s="2" t="s">
        <v>27</v>
      </c>
      <c r="O356" s="2" t="s">
        <v>28</v>
      </c>
      <c r="P356" s="2" t="s">
        <v>29</v>
      </c>
      <c r="Q356" s="6" t="s">
        <v>39</v>
      </c>
    </row>
    <row r="357" spans="1:17">
      <c r="A357" s="3" t="s">
        <v>1131</v>
      </c>
      <c r="B357" s="4" t="s">
        <v>75</v>
      </c>
      <c r="C357" s="4" t="s">
        <v>1132</v>
      </c>
      <c r="D357" s="4" t="s">
        <v>1133</v>
      </c>
      <c r="E357" s="4" t="s">
        <v>35</v>
      </c>
      <c r="F357" s="4" t="s">
        <v>53</v>
      </c>
      <c r="G357" s="4" t="s">
        <v>54</v>
      </c>
      <c r="H357" s="4" t="s">
        <v>24</v>
      </c>
      <c r="I357" s="4" t="s">
        <v>56</v>
      </c>
      <c r="J357" s="4">
        <v>10.6</v>
      </c>
      <c r="K357" s="4">
        <v>4</v>
      </c>
      <c r="L357" s="4" t="s">
        <v>27</v>
      </c>
      <c r="M357" s="4">
        <v>2</v>
      </c>
      <c r="N357" s="4" t="s">
        <v>27</v>
      </c>
      <c r="O357" s="4" t="s">
        <v>28</v>
      </c>
      <c r="P357" s="4" t="s">
        <v>57</v>
      </c>
      <c r="Q357" s="5" t="s">
        <v>30</v>
      </c>
    </row>
    <row r="358" spans="1:17">
      <c r="A358" s="1" t="s">
        <v>1134</v>
      </c>
      <c r="B358" s="2" t="s">
        <v>32</v>
      </c>
      <c r="C358" s="2" t="s">
        <v>1135</v>
      </c>
      <c r="D358" s="2" t="s">
        <v>1136</v>
      </c>
      <c r="E358" s="2" t="s">
        <v>78</v>
      </c>
      <c r="F358" s="2" t="s">
        <v>191</v>
      </c>
      <c r="G358" s="2" t="s">
        <v>23</v>
      </c>
      <c r="H358" s="2" t="s">
        <v>70</v>
      </c>
      <c r="I358" s="2" t="s">
        <v>38</v>
      </c>
      <c r="J358" s="2">
        <v>14.2</v>
      </c>
      <c r="K358" s="2">
        <v>24</v>
      </c>
      <c r="L358" s="2" t="s">
        <v>26</v>
      </c>
      <c r="M358" s="2">
        <v>5</v>
      </c>
      <c r="N358" s="2" t="s">
        <v>27</v>
      </c>
      <c r="O358" s="2" t="s">
        <v>28</v>
      </c>
      <c r="P358" s="2" t="s">
        <v>29</v>
      </c>
      <c r="Q358" s="6" t="s">
        <v>30</v>
      </c>
    </row>
    <row r="359" spans="1:17">
      <c r="A359" s="3" t="s">
        <v>1137</v>
      </c>
      <c r="B359" s="4" t="s">
        <v>32</v>
      </c>
      <c r="C359" s="4" t="s">
        <v>1138</v>
      </c>
      <c r="D359" s="4" t="s">
        <v>1139</v>
      </c>
      <c r="E359" s="4" t="s">
        <v>84</v>
      </c>
      <c r="F359" s="4" t="s">
        <v>85</v>
      </c>
      <c r="G359" s="4" t="s">
        <v>46</v>
      </c>
      <c r="H359" s="4" t="s">
        <v>234</v>
      </c>
      <c r="I359" s="4" t="s">
        <v>87</v>
      </c>
      <c r="J359" s="4">
        <v>5.3</v>
      </c>
      <c r="K359" s="4">
        <v>8</v>
      </c>
      <c r="L359" s="4" t="s">
        <v>26</v>
      </c>
      <c r="M359" s="4">
        <v>4</v>
      </c>
      <c r="N359" s="4" t="s">
        <v>27</v>
      </c>
      <c r="O359" s="4" t="s">
        <v>28</v>
      </c>
      <c r="P359" s="4" t="s">
        <v>29</v>
      </c>
      <c r="Q359" s="5" t="s">
        <v>101</v>
      </c>
    </row>
    <row r="360" spans="1:17">
      <c r="A360" s="1" t="s">
        <v>1140</v>
      </c>
      <c r="B360" s="2" t="s">
        <v>121</v>
      </c>
      <c r="C360" s="2" t="s">
        <v>1141</v>
      </c>
      <c r="D360" s="2" t="s">
        <v>1142</v>
      </c>
      <c r="E360" s="2" t="s">
        <v>35</v>
      </c>
      <c r="F360" s="2" t="s">
        <v>36</v>
      </c>
      <c r="G360" s="2" t="s">
        <v>23</v>
      </c>
      <c r="H360" s="2" t="s">
        <v>37</v>
      </c>
      <c r="I360" s="2" t="s">
        <v>38</v>
      </c>
      <c r="J360" s="2">
        <v>11.2</v>
      </c>
      <c r="K360" s="2">
        <v>24</v>
      </c>
      <c r="L360" s="2" t="s">
        <v>26</v>
      </c>
      <c r="M360" s="2">
        <v>4</v>
      </c>
      <c r="N360" s="2" t="s">
        <v>27</v>
      </c>
      <c r="O360" s="2" t="s">
        <v>28</v>
      </c>
      <c r="P360" s="2" t="s">
        <v>29</v>
      </c>
      <c r="Q360" s="6" t="s">
        <v>101</v>
      </c>
    </row>
    <row r="361" spans="1:17">
      <c r="A361" s="3" t="s">
        <v>1143</v>
      </c>
      <c r="B361" s="4" t="s">
        <v>60</v>
      </c>
      <c r="C361" s="4" t="s">
        <v>1144</v>
      </c>
      <c r="D361" s="4" t="s">
        <v>1145</v>
      </c>
      <c r="E361" s="4" t="s">
        <v>78</v>
      </c>
      <c r="F361" s="4" t="s">
        <v>191</v>
      </c>
      <c r="G361" s="4" t="s">
        <v>54</v>
      </c>
      <c r="H361" s="4" t="s">
        <v>37</v>
      </c>
      <c r="I361" s="4" t="s">
        <v>38</v>
      </c>
      <c r="J361" s="4">
        <v>10</v>
      </c>
      <c r="K361" s="4">
        <v>4</v>
      </c>
      <c r="L361" s="4" t="s">
        <v>27</v>
      </c>
      <c r="M361" s="4">
        <v>3</v>
      </c>
      <c r="N361" s="4" t="s">
        <v>27</v>
      </c>
      <c r="O361" s="4" t="s">
        <v>28</v>
      </c>
      <c r="P361" s="4" t="s">
        <v>1670</v>
      </c>
      <c r="Q361" s="5" t="s">
        <v>39</v>
      </c>
    </row>
    <row r="362" spans="1:17">
      <c r="A362" s="1" t="s">
        <v>1146</v>
      </c>
      <c r="B362" s="2" t="s">
        <v>18</v>
      </c>
      <c r="C362" s="2" t="s">
        <v>1147</v>
      </c>
      <c r="D362" s="2" t="s">
        <v>1148</v>
      </c>
      <c r="E362" s="2" t="s">
        <v>21</v>
      </c>
      <c r="F362" s="2" t="s">
        <v>22</v>
      </c>
      <c r="G362" s="2" t="s">
        <v>23</v>
      </c>
      <c r="H362" s="2" t="s">
        <v>70</v>
      </c>
      <c r="I362" s="2" t="s">
        <v>25</v>
      </c>
      <c r="J362" s="2">
        <v>6.3</v>
      </c>
      <c r="K362" s="2">
        <v>24</v>
      </c>
      <c r="L362" s="2" t="s">
        <v>26</v>
      </c>
      <c r="M362" s="2">
        <v>5</v>
      </c>
      <c r="N362" s="2" t="s">
        <v>27</v>
      </c>
      <c r="O362" s="2" t="s">
        <v>28</v>
      </c>
      <c r="P362" s="2" t="s">
        <v>29</v>
      </c>
      <c r="Q362" s="6" t="s">
        <v>39</v>
      </c>
    </row>
    <row r="363" spans="1:17">
      <c r="A363" s="3" t="s">
        <v>1149</v>
      </c>
      <c r="B363" s="4" t="s">
        <v>121</v>
      </c>
      <c r="C363" s="4" t="s">
        <v>1150</v>
      </c>
      <c r="D363" s="4" t="s">
        <v>1151</v>
      </c>
      <c r="E363" s="4" t="s">
        <v>21</v>
      </c>
      <c r="F363" s="4" t="s">
        <v>63</v>
      </c>
      <c r="G363" s="4" t="s">
        <v>46</v>
      </c>
      <c r="H363" s="4" t="s">
        <v>64</v>
      </c>
      <c r="I363" s="4" t="s">
        <v>25</v>
      </c>
      <c r="J363" s="4">
        <v>7.4</v>
      </c>
      <c r="K363" s="4">
        <v>8</v>
      </c>
      <c r="L363" s="4" t="s">
        <v>26</v>
      </c>
      <c r="M363" s="4">
        <v>4</v>
      </c>
      <c r="N363" s="4" t="s">
        <v>27</v>
      </c>
      <c r="O363" s="4" t="s">
        <v>28</v>
      </c>
      <c r="P363" s="4" t="s">
        <v>29</v>
      </c>
      <c r="Q363" s="5" t="s">
        <v>30</v>
      </c>
    </row>
    <row r="364" spans="1:17">
      <c r="A364" s="1" t="s">
        <v>1152</v>
      </c>
      <c r="B364" s="2" t="s">
        <v>75</v>
      </c>
      <c r="C364" s="2" t="s">
        <v>1153</v>
      </c>
      <c r="D364" s="2" t="s">
        <v>1154</v>
      </c>
      <c r="E364" s="2" t="s">
        <v>78</v>
      </c>
      <c r="F364" s="2" t="s">
        <v>166</v>
      </c>
      <c r="G364" s="2" t="s">
        <v>46</v>
      </c>
      <c r="H364" s="2" t="s">
        <v>37</v>
      </c>
      <c r="I364" s="2" t="s">
        <v>80</v>
      </c>
      <c r="J364" s="2">
        <v>17.600000000000001</v>
      </c>
      <c r="K364" s="2">
        <v>8</v>
      </c>
      <c r="L364" s="2" t="s">
        <v>27</v>
      </c>
      <c r="M364" s="2">
        <v>1</v>
      </c>
      <c r="N364" s="2" t="s">
        <v>27</v>
      </c>
      <c r="O364" s="2" t="s">
        <v>28</v>
      </c>
      <c r="P364" s="2" t="s">
        <v>57</v>
      </c>
      <c r="Q364" s="6" t="s">
        <v>39</v>
      </c>
    </row>
    <row r="365" spans="1:17">
      <c r="A365" s="3" t="s">
        <v>1155</v>
      </c>
      <c r="B365" s="4" t="s">
        <v>106</v>
      </c>
      <c r="C365" s="4" t="s">
        <v>1156</v>
      </c>
      <c r="D365" s="4" t="s">
        <v>1157</v>
      </c>
      <c r="E365" s="4" t="s">
        <v>21</v>
      </c>
      <c r="F365" s="4" t="s">
        <v>22</v>
      </c>
      <c r="G365" s="4" t="s">
        <v>54</v>
      </c>
      <c r="H365" s="4" t="s">
        <v>86</v>
      </c>
      <c r="I365" s="4" t="s">
        <v>25</v>
      </c>
      <c r="J365" s="4">
        <v>8.1999999999999993</v>
      </c>
      <c r="K365" s="4">
        <v>4</v>
      </c>
      <c r="L365" s="4" t="s">
        <v>27</v>
      </c>
      <c r="M365" s="4">
        <v>1</v>
      </c>
      <c r="N365" s="4" t="s">
        <v>27</v>
      </c>
      <c r="O365" s="4" t="s">
        <v>28</v>
      </c>
      <c r="P365" s="4" t="s">
        <v>57</v>
      </c>
      <c r="Q365" s="5" t="s">
        <v>39</v>
      </c>
    </row>
    <row r="366" spans="1:17">
      <c r="A366" s="1" t="s">
        <v>1158</v>
      </c>
      <c r="B366" s="2" t="s">
        <v>60</v>
      </c>
      <c r="C366" s="2" t="s">
        <v>1159</v>
      </c>
      <c r="D366" s="2" t="s">
        <v>1160</v>
      </c>
      <c r="E366" s="2" t="s">
        <v>21</v>
      </c>
      <c r="F366" s="2" t="s">
        <v>69</v>
      </c>
      <c r="G366" s="2" t="s">
        <v>46</v>
      </c>
      <c r="H366" s="2" t="s">
        <v>47</v>
      </c>
      <c r="I366" s="2" t="s">
        <v>25</v>
      </c>
      <c r="J366" s="2">
        <v>8.3000000000000007</v>
      </c>
      <c r="K366" s="2">
        <v>8</v>
      </c>
      <c r="L366" s="2" t="s">
        <v>27</v>
      </c>
      <c r="M366" s="2">
        <v>2</v>
      </c>
      <c r="N366" s="2" t="s">
        <v>27</v>
      </c>
      <c r="O366" s="2" t="s">
        <v>28</v>
      </c>
      <c r="P366" s="2" t="s">
        <v>57</v>
      </c>
      <c r="Q366" s="6" t="s">
        <v>58</v>
      </c>
    </row>
    <row r="367" spans="1:17">
      <c r="A367" s="3" t="s">
        <v>1161</v>
      </c>
      <c r="B367" s="4" t="s">
        <v>121</v>
      </c>
      <c r="C367" s="4" t="s">
        <v>1162</v>
      </c>
      <c r="D367" s="4" t="s">
        <v>1163</v>
      </c>
      <c r="E367" s="4" t="s">
        <v>35</v>
      </c>
      <c r="F367" s="4" t="s">
        <v>127</v>
      </c>
      <c r="G367" s="4" t="s">
        <v>46</v>
      </c>
      <c r="H367" s="4" t="s">
        <v>86</v>
      </c>
      <c r="I367" s="4" t="s">
        <v>56</v>
      </c>
      <c r="J367" s="4">
        <v>12</v>
      </c>
      <c r="K367" s="4">
        <v>8</v>
      </c>
      <c r="L367" s="4" t="s">
        <v>27</v>
      </c>
      <c r="M367" s="4">
        <v>2</v>
      </c>
      <c r="N367" s="4" t="s">
        <v>27</v>
      </c>
      <c r="O367" s="4" t="s">
        <v>28</v>
      </c>
      <c r="P367" s="4" t="s">
        <v>1670</v>
      </c>
      <c r="Q367" s="5" t="s">
        <v>101</v>
      </c>
    </row>
    <row r="368" spans="1:17">
      <c r="A368" s="1" t="s">
        <v>1164</v>
      </c>
      <c r="B368" s="2" t="s">
        <v>60</v>
      </c>
      <c r="C368" s="2" t="s">
        <v>1165</v>
      </c>
      <c r="D368" s="2" t="s">
        <v>1166</v>
      </c>
      <c r="E368" s="2" t="s">
        <v>21</v>
      </c>
      <c r="F368" s="2" t="s">
        <v>69</v>
      </c>
      <c r="G368" s="2" t="s">
        <v>46</v>
      </c>
      <c r="H368" s="2" t="s">
        <v>55</v>
      </c>
      <c r="I368" s="2" t="s">
        <v>25</v>
      </c>
      <c r="J368" s="2">
        <v>14.4</v>
      </c>
      <c r="K368" s="2">
        <v>8</v>
      </c>
      <c r="L368" s="2" t="s">
        <v>27</v>
      </c>
      <c r="M368" s="2">
        <v>2</v>
      </c>
      <c r="N368" s="2" t="s">
        <v>26</v>
      </c>
      <c r="O368" s="2" t="s">
        <v>28</v>
      </c>
      <c r="P368" s="2" t="s">
        <v>57</v>
      </c>
      <c r="Q368" s="6" t="s">
        <v>39</v>
      </c>
    </row>
    <row r="369" spans="1:17">
      <c r="A369" s="3" t="s">
        <v>1167</v>
      </c>
      <c r="B369" s="4" t="s">
        <v>135</v>
      </c>
      <c r="C369" s="4" t="s">
        <v>1168</v>
      </c>
      <c r="D369" s="4" t="s">
        <v>1169</v>
      </c>
      <c r="E369" s="4" t="s">
        <v>78</v>
      </c>
      <c r="F369" s="4" t="s">
        <v>191</v>
      </c>
      <c r="G369" s="4" t="s">
        <v>46</v>
      </c>
      <c r="H369" s="4" t="s">
        <v>64</v>
      </c>
      <c r="I369" s="4" t="s">
        <v>38</v>
      </c>
      <c r="J369" s="4">
        <v>11.7</v>
      </c>
      <c r="K369" s="4">
        <v>8</v>
      </c>
      <c r="L369" s="4" t="s">
        <v>27</v>
      </c>
      <c r="M369" s="4">
        <v>3</v>
      </c>
      <c r="N369" s="4" t="s">
        <v>27</v>
      </c>
      <c r="O369" s="4" t="s">
        <v>28</v>
      </c>
      <c r="P369" s="4" t="s">
        <v>57</v>
      </c>
      <c r="Q369" s="5" t="s">
        <v>58</v>
      </c>
    </row>
    <row r="370" spans="1:17">
      <c r="A370" s="1" t="s">
        <v>1170</v>
      </c>
      <c r="B370" s="2" t="s">
        <v>41</v>
      </c>
      <c r="C370" s="2" t="s">
        <v>1171</v>
      </c>
      <c r="D370" s="2" t="s">
        <v>1172</v>
      </c>
      <c r="E370" s="2" t="s">
        <v>44</v>
      </c>
      <c r="F370" s="2" t="s">
        <v>109</v>
      </c>
      <c r="G370" s="2" t="s">
        <v>54</v>
      </c>
      <c r="H370" s="2" t="s">
        <v>64</v>
      </c>
      <c r="I370" s="2" t="s">
        <v>48</v>
      </c>
      <c r="J370" s="2">
        <v>2.6</v>
      </c>
      <c r="K370" s="2">
        <v>4</v>
      </c>
      <c r="L370" s="2" t="s">
        <v>26</v>
      </c>
      <c r="M370" s="2">
        <v>5</v>
      </c>
      <c r="N370" s="2" t="s">
        <v>27</v>
      </c>
      <c r="O370" s="2" t="s">
        <v>28</v>
      </c>
      <c r="P370" s="2" t="s">
        <v>29</v>
      </c>
      <c r="Q370" s="6" t="s">
        <v>39</v>
      </c>
    </row>
    <row r="371" spans="1:17">
      <c r="A371" s="3" t="s">
        <v>1173</v>
      </c>
      <c r="B371" s="4" t="s">
        <v>50</v>
      </c>
      <c r="C371" s="4" t="s">
        <v>1174</v>
      </c>
      <c r="D371" s="4" t="s">
        <v>1175</v>
      </c>
      <c r="E371" s="4" t="s">
        <v>21</v>
      </c>
      <c r="F371" s="4" t="s">
        <v>22</v>
      </c>
      <c r="G371" s="4" t="s">
        <v>46</v>
      </c>
      <c r="H371" s="4" t="s">
        <v>91</v>
      </c>
      <c r="I371" s="4" t="s">
        <v>25</v>
      </c>
      <c r="J371" s="4">
        <v>9.1</v>
      </c>
      <c r="K371" s="4">
        <v>8</v>
      </c>
      <c r="L371" s="4" t="s">
        <v>27</v>
      </c>
      <c r="M371" s="4">
        <v>1</v>
      </c>
      <c r="N371" s="4" t="s">
        <v>26</v>
      </c>
      <c r="O371" s="4" t="s">
        <v>28</v>
      </c>
      <c r="P371" s="4" t="s">
        <v>57</v>
      </c>
      <c r="Q371" s="5" t="s">
        <v>30</v>
      </c>
    </row>
    <row r="372" spans="1:17">
      <c r="A372" s="1" t="s">
        <v>1176</v>
      </c>
      <c r="B372" s="2" t="s">
        <v>18</v>
      </c>
      <c r="C372" s="2" t="s">
        <v>1177</v>
      </c>
      <c r="D372" s="2" t="s">
        <v>1178</v>
      </c>
      <c r="E372" s="2" t="s">
        <v>78</v>
      </c>
      <c r="F372" s="2" t="s">
        <v>191</v>
      </c>
      <c r="G372" s="2" t="s">
        <v>23</v>
      </c>
      <c r="H372" s="2" t="s">
        <v>55</v>
      </c>
      <c r="I372" s="2" t="s">
        <v>38</v>
      </c>
      <c r="J372" s="2">
        <v>12.9</v>
      </c>
      <c r="K372" s="2">
        <v>24</v>
      </c>
      <c r="L372" s="2" t="s">
        <v>26</v>
      </c>
      <c r="M372" s="2">
        <v>4</v>
      </c>
      <c r="N372" s="2" t="s">
        <v>27</v>
      </c>
      <c r="O372" s="2" t="s">
        <v>28</v>
      </c>
      <c r="P372" s="2" t="s">
        <v>29</v>
      </c>
      <c r="Q372" s="6" t="s">
        <v>58</v>
      </c>
    </row>
    <row r="373" spans="1:17">
      <c r="A373" s="3" t="s">
        <v>1179</v>
      </c>
      <c r="B373" s="4" t="s">
        <v>32</v>
      </c>
      <c r="C373" s="4" t="s">
        <v>1180</v>
      </c>
      <c r="D373" s="4" t="s">
        <v>1181</v>
      </c>
      <c r="E373" s="4" t="s">
        <v>35</v>
      </c>
      <c r="F373" s="4" t="s">
        <v>53</v>
      </c>
      <c r="G373" s="4" t="s">
        <v>46</v>
      </c>
      <c r="H373" s="4" t="s">
        <v>234</v>
      </c>
      <c r="I373" s="4" t="s">
        <v>56</v>
      </c>
      <c r="J373" s="4">
        <v>10.5</v>
      </c>
      <c r="K373" s="4">
        <v>8</v>
      </c>
      <c r="L373" s="4" t="s">
        <v>27</v>
      </c>
      <c r="M373" s="4">
        <v>1</v>
      </c>
      <c r="N373" s="4" t="s">
        <v>26</v>
      </c>
      <c r="O373" s="4" t="s">
        <v>28</v>
      </c>
      <c r="P373" s="4" t="s">
        <v>57</v>
      </c>
      <c r="Q373" s="5" t="s">
        <v>101</v>
      </c>
    </row>
    <row r="374" spans="1:17">
      <c r="A374" s="1" t="s">
        <v>1182</v>
      </c>
      <c r="B374" s="2" t="s">
        <v>60</v>
      </c>
      <c r="C374" s="2" t="s">
        <v>1183</v>
      </c>
      <c r="D374" s="2" t="s">
        <v>1184</v>
      </c>
      <c r="E374" s="2" t="s">
        <v>35</v>
      </c>
      <c r="F374" s="2" t="s">
        <v>53</v>
      </c>
      <c r="G374" s="2" t="s">
        <v>46</v>
      </c>
      <c r="H374" s="2" t="s">
        <v>55</v>
      </c>
      <c r="I374" s="2" t="s">
        <v>56</v>
      </c>
      <c r="J374" s="2">
        <v>8.8000000000000007</v>
      </c>
      <c r="K374" s="2">
        <v>8</v>
      </c>
      <c r="L374" s="2" t="s">
        <v>27</v>
      </c>
      <c r="M374" s="2">
        <v>1</v>
      </c>
      <c r="N374" s="2" t="s">
        <v>26</v>
      </c>
      <c r="O374" s="2" t="s">
        <v>28</v>
      </c>
      <c r="P374" s="2" t="s">
        <v>1670</v>
      </c>
      <c r="Q374" s="6" t="s">
        <v>30</v>
      </c>
    </row>
    <row r="375" spans="1:17">
      <c r="A375" s="3" t="s">
        <v>1185</v>
      </c>
      <c r="B375" s="4" t="s">
        <v>41</v>
      </c>
      <c r="C375" s="4" t="s">
        <v>1186</v>
      </c>
      <c r="D375" s="4" t="s">
        <v>1187</v>
      </c>
      <c r="E375" s="4" t="s">
        <v>35</v>
      </c>
      <c r="F375" s="4" t="s">
        <v>53</v>
      </c>
      <c r="G375" s="4" t="s">
        <v>23</v>
      </c>
      <c r="H375" s="4" t="s">
        <v>24</v>
      </c>
      <c r="I375" s="4" t="s">
        <v>56</v>
      </c>
      <c r="J375" s="4">
        <v>17.7</v>
      </c>
      <c r="K375" s="4">
        <v>24</v>
      </c>
      <c r="L375" s="4" t="s">
        <v>26</v>
      </c>
      <c r="M375" s="4">
        <v>4</v>
      </c>
      <c r="N375" s="4" t="s">
        <v>27</v>
      </c>
      <c r="O375" s="4" t="s">
        <v>28</v>
      </c>
      <c r="P375" s="4" t="s">
        <v>29</v>
      </c>
      <c r="Q375" s="5" t="s">
        <v>58</v>
      </c>
    </row>
    <row r="376" spans="1:17">
      <c r="A376" s="1" t="s">
        <v>1188</v>
      </c>
      <c r="B376" s="2" t="s">
        <v>32</v>
      </c>
      <c r="C376" s="2" t="s">
        <v>1189</v>
      </c>
      <c r="D376" s="2" t="s">
        <v>1190</v>
      </c>
      <c r="E376" s="2" t="s">
        <v>78</v>
      </c>
      <c r="F376" s="2" t="s">
        <v>191</v>
      </c>
      <c r="G376" s="2" t="s">
        <v>46</v>
      </c>
      <c r="H376" s="2" t="s">
        <v>37</v>
      </c>
      <c r="I376" s="2" t="s">
        <v>38</v>
      </c>
      <c r="J376" s="2">
        <v>8.9</v>
      </c>
      <c r="K376" s="2">
        <v>8</v>
      </c>
      <c r="L376" s="2" t="s">
        <v>27</v>
      </c>
      <c r="M376" s="2">
        <v>3</v>
      </c>
      <c r="N376" s="2" t="s">
        <v>26</v>
      </c>
      <c r="O376" s="2" t="s">
        <v>28</v>
      </c>
      <c r="P376" s="2" t="s">
        <v>57</v>
      </c>
      <c r="Q376" s="6" t="s">
        <v>58</v>
      </c>
    </row>
    <row r="377" spans="1:17">
      <c r="A377" s="3" t="s">
        <v>1191</v>
      </c>
      <c r="B377" s="4" t="s">
        <v>75</v>
      </c>
      <c r="C377" s="4" t="s">
        <v>1192</v>
      </c>
      <c r="D377" s="4" t="s">
        <v>1193</v>
      </c>
      <c r="E377" s="4" t="s">
        <v>44</v>
      </c>
      <c r="F377" s="4" t="s">
        <v>45</v>
      </c>
      <c r="G377" s="4" t="s">
        <v>23</v>
      </c>
      <c r="H377" s="4" t="s">
        <v>55</v>
      </c>
      <c r="I377" s="4" t="s">
        <v>48</v>
      </c>
      <c r="J377" s="4">
        <v>3.2</v>
      </c>
      <c r="K377" s="4">
        <v>24</v>
      </c>
      <c r="L377" s="4" t="s">
        <v>26</v>
      </c>
      <c r="M377" s="4">
        <v>5</v>
      </c>
      <c r="N377" s="4" t="s">
        <v>27</v>
      </c>
      <c r="O377" s="4" t="s">
        <v>28</v>
      </c>
      <c r="P377" s="4" t="s">
        <v>29</v>
      </c>
      <c r="Q377" s="5" t="s">
        <v>39</v>
      </c>
    </row>
    <row r="378" spans="1:17">
      <c r="A378" s="1" t="s">
        <v>1194</v>
      </c>
      <c r="B378" s="2" t="s">
        <v>75</v>
      </c>
      <c r="C378" s="2" t="s">
        <v>1195</v>
      </c>
      <c r="D378" s="2" t="s">
        <v>1196</v>
      </c>
      <c r="E378" s="2" t="s">
        <v>21</v>
      </c>
      <c r="F378" s="2" t="s">
        <v>63</v>
      </c>
      <c r="G378" s="2" t="s">
        <v>46</v>
      </c>
      <c r="H378" s="2" t="s">
        <v>91</v>
      </c>
      <c r="I378" s="2" t="s">
        <v>25</v>
      </c>
      <c r="J378" s="2">
        <v>15.9</v>
      </c>
      <c r="K378" s="2">
        <v>8</v>
      </c>
      <c r="L378" s="2" t="s">
        <v>27</v>
      </c>
      <c r="M378" s="2">
        <v>2</v>
      </c>
      <c r="N378" s="2" t="s">
        <v>26</v>
      </c>
      <c r="O378" s="2" t="s">
        <v>28</v>
      </c>
      <c r="P378" s="2" t="s">
        <v>1670</v>
      </c>
      <c r="Q378" s="6" t="s">
        <v>39</v>
      </c>
    </row>
    <row r="379" spans="1:17">
      <c r="A379" s="3" t="s">
        <v>1197</v>
      </c>
      <c r="B379" s="4" t="s">
        <v>135</v>
      </c>
      <c r="C379" s="4" t="s">
        <v>1198</v>
      </c>
      <c r="D379" s="4" t="s">
        <v>1199</v>
      </c>
      <c r="E379" s="4" t="s">
        <v>21</v>
      </c>
      <c r="F379" s="4" t="s">
        <v>69</v>
      </c>
      <c r="G379" s="4" t="s">
        <v>23</v>
      </c>
      <c r="H379" s="4" t="s">
        <v>64</v>
      </c>
      <c r="I379" s="4" t="s">
        <v>25</v>
      </c>
      <c r="J379" s="4">
        <v>10.5</v>
      </c>
      <c r="K379" s="4">
        <v>24</v>
      </c>
      <c r="L379" s="4" t="s">
        <v>26</v>
      </c>
      <c r="M379" s="4">
        <v>4</v>
      </c>
      <c r="N379" s="4" t="s">
        <v>27</v>
      </c>
      <c r="O379" s="4" t="s">
        <v>28</v>
      </c>
      <c r="P379" s="4" t="s">
        <v>29</v>
      </c>
      <c r="Q379" s="5" t="s">
        <v>39</v>
      </c>
    </row>
    <row r="380" spans="1:17">
      <c r="A380" s="1" t="s">
        <v>1200</v>
      </c>
      <c r="B380" s="2" t="s">
        <v>32</v>
      </c>
      <c r="C380" s="2" t="s">
        <v>1201</v>
      </c>
      <c r="D380" s="2" t="s">
        <v>1202</v>
      </c>
      <c r="E380" s="2" t="s">
        <v>78</v>
      </c>
      <c r="F380" s="2" t="s">
        <v>166</v>
      </c>
      <c r="G380" s="2" t="s">
        <v>54</v>
      </c>
      <c r="H380" s="2" t="s">
        <v>37</v>
      </c>
      <c r="I380" s="2" t="s">
        <v>80</v>
      </c>
      <c r="J380" s="2">
        <v>17.399999999999999</v>
      </c>
      <c r="K380" s="2">
        <v>4</v>
      </c>
      <c r="L380" s="2" t="s">
        <v>27</v>
      </c>
      <c r="M380" s="2">
        <v>2</v>
      </c>
      <c r="N380" s="2" t="s">
        <v>26</v>
      </c>
      <c r="O380" s="2" t="s">
        <v>28</v>
      </c>
      <c r="P380" s="2" t="s">
        <v>57</v>
      </c>
      <c r="Q380" s="6" t="s">
        <v>58</v>
      </c>
    </row>
    <row r="381" spans="1:17">
      <c r="A381" s="3" t="s">
        <v>1203</v>
      </c>
      <c r="B381" s="4" t="s">
        <v>32</v>
      </c>
      <c r="C381" s="4" t="s">
        <v>1204</v>
      </c>
      <c r="D381" s="4" t="s">
        <v>1205</v>
      </c>
      <c r="E381" s="4" t="s">
        <v>21</v>
      </c>
      <c r="F381" s="4" t="s">
        <v>22</v>
      </c>
      <c r="G381" s="4" t="s">
        <v>23</v>
      </c>
      <c r="H381" s="4" t="s">
        <v>55</v>
      </c>
      <c r="I381" s="4" t="s">
        <v>25</v>
      </c>
      <c r="J381" s="4">
        <v>14.8</v>
      </c>
      <c r="K381" s="4">
        <v>24</v>
      </c>
      <c r="L381" s="4" t="s">
        <v>26</v>
      </c>
      <c r="M381" s="4">
        <v>4</v>
      </c>
      <c r="N381" s="4" t="s">
        <v>27</v>
      </c>
      <c r="O381" s="4" t="s">
        <v>28</v>
      </c>
      <c r="P381" s="4" t="s">
        <v>29</v>
      </c>
      <c r="Q381" s="5" t="s">
        <v>101</v>
      </c>
    </row>
    <row r="382" spans="1:17">
      <c r="A382" s="1" t="s">
        <v>1206</v>
      </c>
      <c r="B382" s="2" t="s">
        <v>66</v>
      </c>
      <c r="C382" s="2" t="s">
        <v>1207</v>
      </c>
      <c r="D382" s="2" t="s">
        <v>1208</v>
      </c>
      <c r="E382" s="2" t="s">
        <v>78</v>
      </c>
      <c r="F382" s="2" t="s">
        <v>166</v>
      </c>
      <c r="G382" s="2" t="s">
        <v>46</v>
      </c>
      <c r="H382" s="2" t="s">
        <v>86</v>
      </c>
      <c r="I382" s="2" t="s">
        <v>80</v>
      </c>
      <c r="J382" s="2">
        <v>17.899999999999999</v>
      </c>
      <c r="K382" s="2">
        <v>8</v>
      </c>
      <c r="L382" s="2" t="s">
        <v>27</v>
      </c>
      <c r="M382" s="2">
        <v>1</v>
      </c>
      <c r="N382" s="2" t="s">
        <v>26</v>
      </c>
      <c r="O382" s="2" t="s">
        <v>28</v>
      </c>
      <c r="P382" s="2" t="s">
        <v>1670</v>
      </c>
      <c r="Q382" s="6" t="s">
        <v>30</v>
      </c>
    </row>
    <row r="383" spans="1:17">
      <c r="A383" s="3" t="s">
        <v>1209</v>
      </c>
      <c r="B383" s="4" t="s">
        <v>60</v>
      </c>
      <c r="C383" s="4" t="s">
        <v>1210</v>
      </c>
      <c r="D383" s="4" t="s">
        <v>1211</v>
      </c>
      <c r="E383" s="4" t="s">
        <v>35</v>
      </c>
      <c r="F383" s="4" t="s">
        <v>36</v>
      </c>
      <c r="G383" s="4" t="s">
        <v>54</v>
      </c>
      <c r="H383" s="4" t="s">
        <v>234</v>
      </c>
      <c r="I383" s="4" t="s">
        <v>38</v>
      </c>
      <c r="J383" s="4">
        <v>7.7</v>
      </c>
      <c r="K383" s="4">
        <v>4</v>
      </c>
      <c r="L383" s="4" t="s">
        <v>27</v>
      </c>
      <c r="M383" s="4">
        <v>3</v>
      </c>
      <c r="N383" s="4" t="s">
        <v>27</v>
      </c>
      <c r="O383" s="4" t="s">
        <v>28</v>
      </c>
      <c r="P383" s="4" t="s">
        <v>1670</v>
      </c>
      <c r="Q383" s="5" t="s">
        <v>30</v>
      </c>
    </row>
    <row r="384" spans="1:17">
      <c r="A384" s="1" t="s">
        <v>1212</v>
      </c>
      <c r="B384" s="2" t="s">
        <v>50</v>
      </c>
      <c r="C384" s="2" t="s">
        <v>1213</v>
      </c>
      <c r="D384" s="2" t="s">
        <v>1214</v>
      </c>
      <c r="E384" s="2" t="s">
        <v>84</v>
      </c>
      <c r="F384" s="2" t="s">
        <v>116</v>
      </c>
      <c r="G384" s="2" t="s">
        <v>54</v>
      </c>
      <c r="H384" s="2" t="s">
        <v>86</v>
      </c>
      <c r="I384" s="2" t="s">
        <v>87</v>
      </c>
      <c r="J384" s="2">
        <v>4.9000000000000004</v>
      </c>
      <c r="K384" s="2">
        <v>4</v>
      </c>
      <c r="L384" s="2" t="s">
        <v>27</v>
      </c>
      <c r="M384" s="2">
        <v>3</v>
      </c>
      <c r="N384" s="2" t="s">
        <v>27</v>
      </c>
      <c r="O384" s="2" t="s">
        <v>28</v>
      </c>
      <c r="P384" s="2" t="s">
        <v>1670</v>
      </c>
      <c r="Q384" s="6" t="s">
        <v>39</v>
      </c>
    </row>
    <row r="385" spans="1:17">
      <c r="A385" s="3" t="s">
        <v>1215</v>
      </c>
      <c r="B385" s="4" t="s">
        <v>60</v>
      </c>
      <c r="C385" s="4" t="s">
        <v>1216</v>
      </c>
      <c r="D385" s="4" t="s">
        <v>1217</v>
      </c>
      <c r="E385" s="4" t="s">
        <v>21</v>
      </c>
      <c r="F385" s="4" t="s">
        <v>69</v>
      </c>
      <c r="G385" s="4" t="s">
        <v>54</v>
      </c>
      <c r="H385" s="4" t="s">
        <v>24</v>
      </c>
      <c r="I385" s="4" t="s">
        <v>25</v>
      </c>
      <c r="J385" s="4">
        <v>17.399999999999999</v>
      </c>
      <c r="K385" s="4">
        <v>4</v>
      </c>
      <c r="L385" s="4" t="s">
        <v>27</v>
      </c>
      <c r="M385" s="4">
        <v>1</v>
      </c>
      <c r="N385" s="4" t="s">
        <v>27</v>
      </c>
      <c r="O385" s="4" t="s">
        <v>28</v>
      </c>
      <c r="P385" s="4" t="s">
        <v>57</v>
      </c>
      <c r="Q385" s="5" t="s">
        <v>58</v>
      </c>
    </row>
    <row r="386" spans="1:17">
      <c r="A386" s="1" t="s">
        <v>1218</v>
      </c>
      <c r="B386" s="2" t="s">
        <v>75</v>
      </c>
      <c r="C386" s="2" t="s">
        <v>1219</v>
      </c>
      <c r="D386" s="2" t="s">
        <v>1220</v>
      </c>
      <c r="E386" s="2" t="s">
        <v>21</v>
      </c>
      <c r="F386" s="2" t="s">
        <v>63</v>
      </c>
      <c r="G386" s="2" t="s">
        <v>54</v>
      </c>
      <c r="H386" s="2" t="s">
        <v>70</v>
      </c>
      <c r="I386" s="2" t="s">
        <v>25</v>
      </c>
      <c r="J386" s="2">
        <v>14.3</v>
      </c>
      <c r="K386" s="2">
        <v>4</v>
      </c>
      <c r="L386" s="2" t="s">
        <v>27</v>
      </c>
      <c r="M386" s="2">
        <v>3</v>
      </c>
      <c r="N386" s="2" t="s">
        <v>26</v>
      </c>
      <c r="O386" s="2" t="s">
        <v>28</v>
      </c>
      <c r="P386" s="2" t="s">
        <v>1670</v>
      </c>
      <c r="Q386" s="6" t="s">
        <v>39</v>
      </c>
    </row>
    <row r="387" spans="1:17">
      <c r="A387" s="3" t="s">
        <v>1221</v>
      </c>
      <c r="B387" s="4" t="s">
        <v>135</v>
      </c>
      <c r="C387" s="4" t="s">
        <v>1222</v>
      </c>
      <c r="D387" s="4" t="s">
        <v>1223</v>
      </c>
      <c r="E387" s="4" t="s">
        <v>84</v>
      </c>
      <c r="F387" s="4" t="s">
        <v>116</v>
      </c>
      <c r="G387" s="4" t="s">
        <v>46</v>
      </c>
      <c r="H387" s="4" t="s">
        <v>138</v>
      </c>
      <c r="I387" s="4" t="s">
        <v>87</v>
      </c>
      <c r="J387" s="4">
        <v>6.4</v>
      </c>
      <c r="K387" s="4">
        <v>8</v>
      </c>
      <c r="L387" s="4" t="s">
        <v>26</v>
      </c>
      <c r="M387" s="4">
        <v>4</v>
      </c>
      <c r="N387" s="4" t="s">
        <v>27</v>
      </c>
      <c r="O387" s="4" t="s">
        <v>28</v>
      </c>
      <c r="P387" s="4" t="s">
        <v>29</v>
      </c>
      <c r="Q387" s="5" t="s">
        <v>101</v>
      </c>
    </row>
    <row r="388" spans="1:17">
      <c r="A388" s="1" t="s">
        <v>1224</v>
      </c>
      <c r="B388" s="2" t="s">
        <v>50</v>
      </c>
      <c r="C388" s="2" t="s">
        <v>1225</v>
      </c>
      <c r="D388" s="2" t="s">
        <v>1226</v>
      </c>
      <c r="E388" s="2" t="s">
        <v>35</v>
      </c>
      <c r="F388" s="2" t="s">
        <v>53</v>
      </c>
      <c r="G388" s="2" t="s">
        <v>46</v>
      </c>
      <c r="H388" s="2" t="s">
        <v>86</v>
      </c>
      <c r="I388" s="2" t="s">
        <v>56</v>
      </c>
      <c r="J388" s="2">
        <v>8.1</v>
      </c>
      <c r="K388" s="2">
        <v>8</v>
      </c>
      <c r="L388" s="2" t="s">
        <v>27</v>
      </c>
      <c r="M388" s="2">
        <v>3</v>
      </c>
      <c r="N388" s="2" t="s">
        <v>26</v>
      </c>
      <c r="O388" s="2" t="s">
        <v>28</v>
      </c>
      <c r="P388" s="2" t="s">
        <v>1670</v>
      </c>
      <c r="Q388" s="6" t="s">
        <v>30</v>
      </c>
    </row>
    <row r="389" spans="1:17">
      <c r="A389" s="3" t="s">
        <v>1227</v>
      </c>
      <c r="B389" s="4" t="s">
        <v>50</v>
      </c>
      <c r="C389" s="4" t="s">
        <v>1228</v>
      </c>
      <c r="D389" s="4" t="s">
        <v>1229</v>
      </c>
      <c r="E389" s="4" t="s">
        <v>35</v>
      </c>
      <c r="F389" s="4" t="s">
        <v>127</v>
      </c>
      <c r="G389" s="4" t="s">
        <v>23</v>
      </c>
      <c r="H389" s="4" t="s">
        <v>37</v>
      </c>
      <c r="I389" s="4" t="s">
        <v>56</v>
      </c>
      <c r="J389" s="4">
        <v>9.1</v>
      </c>
      <c r="K389" s="4">
        <v>24</v>
      </c>
      <c r="L389" s="4" t="s">
        <v>26</v>
      </c>
      <c r="M389" s="4">
        <v>4</v>
      </c>
      <c r="N389" s="4" t="s">
        <v>27</v>
      </c>
      <c r="O389" s="4" t="s">
        <v>28</v>
      </c>
      <c r="P389" s="4" t="s">
        <v>29</v>
      </c>
      <c r="Q389" s="5" t="s">
        <v>58</v>
      </c>
    </row>
    <row r="390" spans="1:17">
      <c r="A390" s="1" t="s">
        <v>1230</v>
      </c>
      <c r="B390" s="2" t="s">
        <v>41</v>
      </c>
      <c r="C390" s="2" t="s">
        <v>1231</v>
      </c>
      <c r="D390" s="2" t="s">
        <v>1232</v>
      </c>
      <c r="E390" s="2" t="s">
        <v>35</v>
      </c>
      <c r="F390" s="2" t="s">
        <v>36</v>
      </c>
      <c r="G390" s="2" t="s">
        <v>54</v>
      </c>
      <c r="H390" s="2" t="s">
        <v>47</v>
      </c>
      <c r="I390" s="2" t="s">
        <v>38</v>
      </c>
      <c r="J390" s="2">
        <v>4.2</v>
      </c>
      <c r="K390" s="2">
        <v>4</v>
      </c>
      <c r="L390" s="2" t="s">
        <v>27</v>
      </c>
      <c r="M390" s="2">
        <v>2</v>
      </c>
      <c r="N390" s="2" t="s">
        <v>26</v>
      </c>
      <c r="O390" s="2" t="s">
        <v>28</v>
      </c>
      <c r="P390" s="2" t="s">
        <v>1670</v>
      </c>
      <c r="Q390" s="6" t="s">
        <v>39</v>
      </c>
    </row>
    <row r="391" spans="1:17">
      <c r="A391" s="3" t="s">
        <v>1233</v>
      </c>
      <c r="B391" s="4" t="s">
        <v>50</v>
      </c>
      <c r="C391" s="4" t="s">
        <v>1234</v>
      </c>
      <c r="D391" s="4" t="s">
        <v>1235</v>
      </c>
      <c r="E391" s="4" t="s">
        <v>78</v>
      </c>
      <c r="F391" s="4" t="s">
        <v>166</v>
      </c>
      <c r="G391" s="4" t="s">
        <v>23</v>
      </c>
      <c r="H391" s="4" t="s">
        <v>138</v>
      </c>
      <c r="I391" s="4" t="s">
        <v>80</v>
      </c>
      <c r="J391" s="4">
        <v>13.5</v>
      </c>
      <c r="K391" s="4">
        <v>24</v>
      </c>
      <c r="L391" s="4" t="s">
        <v>26</v>
      </c>
      <c r="M391" s="4">
        <v>4</v>
      </c>
      <c r="N391" s="4" t="s">
        <v>27</v>
      </c>
      <c r="O391" s="4" t="s">
        <v>28</v>
      </c>
      <c r="P391" s="4" t="s">
        <v>29</v>
      </c>
      <c r="Q391" s="5" t="s">
        <v>39</v>
      </c>
    </row>
    <row r="392" spans="1:17">
      <c r="A392" s="1" t="s">
        <v>1236</v>
      </c>
      <c r="B392" s="2" t="s">
        <v>60</v>
      </c>
      <c r="C392" s="2" t="s">
        <v>1237</v>
      </c>
      <c r="D392" s="2" t="s">
        <v>1238</v>
      </c>
      <c r="E392" s="2" t="s">
        <v>21</v>
      </c>
      <c r="F392" s="2" t="s">
        <v>63</v>
      </c>
      <c r="G392" s="2" t="s">
        <v>46</v>
      </c>
      <c r="H392" s="2" t="s">
        <v>55</v>
      </c>
      <c r="I392" s="2" t="s">
        <v>25</v>
      </c>
      <c r="J392" s="2">
        <v>14.9</v>
      </c>
      <c r="K392" s="2">
        <v>8</v>
      </c>
      <c r="L392" s="2" t="s">
        <v>27</v>
      </c>
      <c r="M392" s="2">
        <v>2</v>
      </c>
      <c r="N392" s="2" t="s">
        <v>26</v>
      </c>
      <c r="O392" s="2" t="s">
        <v>28</v>
      </c>
      <c r="P392" s="2" t="s">
        <v>1670</v>
      </c>
      <c r="Q392" s="6" t="s">
        <v>30</v>
      </c>
    </row>
    <row r="393" spans="1:17">
      <c r="A393" s="3" t="s">
        <v>1239</v>
      </c>
      <c r="B393" s="4" t="s">
        <v>60</v>
      </c>
      <c r="C393" s="4" t="s">
        <v>1240</v>
      </c>
      <c r="D393" s="4" t="s">
        <v>1241</v>
      </c>
      <c r="E393" s="4" t="s">
        <v>35</v>
      </c>
      <c r="F393" s="4" t="s">
        <v>53</v>
      </c>
      <c r="G393" s="4" t="s">
        <v>46</v>
      </c>
      <c r="H393" s="4" t="s">
        <v>64</v>
      </c>
      <c r="I393" s="4" t="s">
        <v>56</v>
      </c>
      <c r="J393" s="4">
        <v>6.6</v>
      </c>
      <c r="K393" s="4">
        <v>8</v>
      </c>
      <c r="L393" s="4" t="s">
        <v>26</v>
      </c>
      <c r="M393" s="4">
        <v>5</v>
      </c>
      <c r="N393" s="4" t="s">
        <v>27</v>
      </c>
      <c r="O393" s="4" t="s">
        <v>28</v>
      </c>
      <c r="P393" s="4" t="s">
        <v>29</v>
      </c>
      <c r="Q393" s="5" t="s">
        <v>58</v>
      </c>
    </row>
    <row r="394" spans="1:17">
      <c r="A394" s="1" t="s">
        <v>1242</v>
      </c>
      <c r="B394" s="2" t="s">
        <v>50</v>
      </c>
      <c r="C394" s="2" t="s">
        <v>1243</v>
      </c>
      <c r="D394" s="2" t="s">
        <v>1244</v>
      </c>
      <c r="E394" s="2" t="s">
        <v>35</v>
      </c>
      <c r="F394" s="2" t="s">
        <v>53</v>
      </c>
      <c r="G394" s="2" t="s">
        <v>46</v>
      </c>
      <c r="H394" s="2" t="s">
        <v>64</v>
      </c>
      <c r="I394" s="2" t="s">
        <v>56</v>
      </c>
      <c r="J394" s="2">
        <v>6.4</v>
      </c>
      <c r="K394" s="2">
        <v>8</v>
      </c>
      <c r="L394" s="2" t="s">
        <v>26</v>
      </c>
      <c r="M394" s="2">
        <v>4</v>
      </c>
      <c r="N394" s="2" t="s">
        <v>27</v>
      </c>
      <c r="O394" s="2" t="s">
        <v>28</v>
      </c>
      <c r="P394" s="2" t="s">
        <v>29</v>
      </c>
      <c r="Q394" s="6" t="s">
        <v>39</v>
      </c>
    </row>
    <row r="395" spans="1:17">
      <c r="A395" s="3" t="s">
        <v>1245</v>
      </c>
      <c r="B395" s="4" t="s">
        <v>50</v>
      </c>
      <c r="C395" s="4" t="s">
        <v>1246</v>
      </c>
      <c r="D395" s="4" t="s">
        <v>1247</v>
      </c>
      <c r="E395" s="4" t="s">
        <v>21</v>
      </c>
      <c r="F395" s="4" t="s">
        <v>22</v>
      </c>
      <c r="G395" s="4" t="s">
        <v>46</v>
      </c>
      <c r="H395" s="4" t="s">
        <v>86</v>
      </c>
      <c r="I395" s="4" t="s">
        <v>25</v>
      </c>
      <c r="J395" s="4">
        <v>13.3</v>
      </c>
      <c r="K395" s="4">
        <v>8</v>
      </c>
      <c r="L395" s="4" t="s">
        <v>27</v>
      </c>
      <c r="M395" s="4">
        <v>1</v>
      </c>
      <c r="N395" s="4" t="s">
        <v>27</v>
      </c>
      <c r="O395" s="4" t="s">
        <v>28</v>
      </c>
      <c r="P395" s="4" t="s">
        <v>1670</v>
      </c>
      <c r="Q395" s="5" t="s">
        <v>30</v>
      </c>
    </row>
    <row r="396" spans="1:17">
      <c r="A396" s="1" t="s">
        <v>1248</v>
      </c>
      <c r="B396" s="2" t="s">
        <v>32</v>
      </c>
      <c r="C396" s="2" t="s">
        <v>1249</v>
      </c>
      <c r="D396" s="2" t="s">
        <v>1250</v>
      </c>
      <c r="E396" s="2" t="s">
        <v>35</v>
      </c>
      <c r="F396" s="2" t="s">
        <v>36</v>
      </c>
      <c r="G396" s="2" t="s">
        <v>46</v>
      </c>
      <c r="H396" s="2" t="s">
        <v>55</v>
      </c>
      <c r="I396" s="2" t="s">
        <v>38</v>
      </c>
      <c r="J396" s="2">
        <v>11.9</v>
      </c>
      <c r="K396" s="2">
        <v>8</v>
      </c>
      <c r="L396" s="2" t="s">
        <v>27</v>
      </c>
      <c r="M396" s="2">
        <v>2</v>
      </c>
      <c r="N396" s="2" t="s">
        <v>27</v>
      </c>
      <c r="O396" s="2" t="s">
        <v>28</v>
      </c>
      <c r="P396" s="2" t="s">
        <v>57</v>
      </c>
      <c r="Q396" s="6" t="s">
        <v>101</v>
      </c>
    </row>
    <row r="397" spans="1:17">
      <c r="A397" s="3" t="s">
        <v>1251</v>
      </c>
      <c r="B397" s="4" t="s">
        <v>75</v>
      </c>
      <c r="C397" s="4" t="s">
        <v>1252</v>
      </c>
      <c r="D397" s="4" t="s">
        <v>1253</v>
      </c>
      <c r="E397" s="4" t="s">
        <v>84</v>
      </c>
      <c r="F397" s="4" t="s">
        <v>116</v>
      </c>
      <c r="G397" s="4" t="s">
        <v>54</v>
      </c>
      <c r="H397" s="4" t="s">
        <v>138</v>
      </c>
      <c r="I397" s="4" t="s">
        <v>87</v>
      </c>
      <c r="J397" s="4">
        <v>7.3</v>
      </c>
      <c r="K397" s="4">
        <v>4</v>
      </c>
      <c r="L397" s="4" t="s">
        <v>27</v>
      </c>
      <c r="M397" s="4">
        <v>1</v>
      </c>
      <c r="N397" s="4" t="s">
        <v>27</v>
      </c>
      <c r="O397" s="4" t="s">
        <v>28</v>
      </c>
      <c r="P397" s="4" t="s">
        <v>1670</v>
      </c>
      <c r="Q397" s="5" t="s">
        <v>58</v>
      </c>
    </row>
    <row r="398" spans="1:17">
      <c r="A398" s="1" t="s">
        <v>1254</v>
      </c>
      <c r="B398" s="2" t="s">
        <v>75</v>
      </c>
      <c r="C398" s="2" t="s">
        <v>1255</v>
      </c>
      <c r="D398" s="2" t="s">
        <v>1256</v>
      </c>
      <c r="E398" s="2" t="s">
        <v>44</v>
      </c>
      <c r="F398" s="2" t="s">
        <v>45</v>
      </c>
      <c r="G398" s="2" t="s">
        <v>46</v>
      </c>
      <c r="H398" s="2" t="s">
        <v>138</v>
      </c>
      <c r="I398" s="2" t="s">
        <v>48</v>
      </c>
      <c r="J398" s="2">
        <v>3.5</v>
      </c>
      <c r="K398" s="2">
        <v>8</v>
      </c>
      <c r="L398" s="2" t="s">
        <v>26</v>
      </c>
      <c r="M398" s="2">
        <v>4</v>
      </c>
      <c r="N398" s="2" t="s">
        <v>27</v>
      </c>
      <c r="O398" s="2" t="s">
        <v>28</v>
      </c>
      <c r="P398" s="2" t="s">
        <v>29</v>
      </c>
      <c r="Q398" s="6" t="s">
        <v>101</v>
      </c>
    </row>
    <row r="399" spans="1:17">
      <c r="A399" s="3" t="s">
        <v>1257</v>
      </c>
      <c r="B399" s="4" t="s">
        <v>18</v>
      </c>
      <c r="C399" s="4" t="s">
        <v>1258</v>
      </c>
      <c r="D399" s="4" t="s">
        <v>1259</v>
      </c>
      <c r="E399" s="4" t="s">
        <v>78</v>
      </c>
      <c r="F399" s="4" t="s">
        <v>79</v>
      </c>
      <c r="G399" s="4" t="s">
        <v>23</v>
      </c>
      <c r="H399" s="4" t="s">
        <v>138</v>
      </c>
      <c r="I399" s="4" t="s">
        <v>80</v>
      </c>
      <c r="J399" s="4">
        <v>15</v>
      </c>
      <c r="K399" s="4">
        <v>24</v>
      </c>
      <c r="L399" s="4" t="s">
        <v>26</v>
      </c>
      <c r="M399" s="4">
        <v>4</v>
      </c>
      <c r="N399" s="4" t="s">
        <v>27</v>
      </c>
      <c r="O399" s="4" t="s">
        <v>28</v>
      </c>
      <c r="P399" s="4" t="s">
        <v>29</v>
      </c>
      <c r="Q399" s="5" t="s">
        <v>30</v>
      </c>
    </row>
    <row r="400" spans="1:17">
      <c r="A400" s="1" t="s">
        <v>1260</v>
      </c>
      <c r="B400" s="2" t="s">
        <v>32</v>
      </c>
      <c r="C400" s="2" t="s">
        <v>1261</v>
      </c>
      <c r="D400" s="2" t="s">
        <v>1262</v>
      </c>
      <c r="E400" s="2" t="s">
        <v>21</v>
      </c>
      <c r="F400" s="2" t="s">
        <v>69</v>
      </c>
      <c r="G400" s="2" t="s">
        <v>46</v>
      </c>
      <c r="H400" s="2" t="s">
        <v>64</v>
      </c>
      <c r="I400" s="2" t="s">
        <v>25</v>
      </c>
      <c r="J400" s="2">
        <v>6.9</v>
      </c>
      <c r="K400" s="2">
        <v>8</v>
      </c>
      <c r="L400" s="2" t="s">
        <v>26</v>
      </c>
      <c r="M400" s="2">
        <v>5</v>
      </c>
      <c r="N400" s="2" t="s">
        <v>27</v>
      </c>
      <c r="O400" s="2" t="s">
        <v>28</v>
      </c>
      <c r="P400" s="2" t="s">
        <v>29</v>
      </c>
      <c r="Q400" s="6" t="s">
        <v>101</v>
      </c>
    </row>
    <row r="401" spans="1:17">
      <c r="A401" s="3" t="s">
        <v>1263</v>
      </c>
      <c r="B401" s="4" t="s">
        <v>75</v>
      </c>
      <c r="C401" s="4" t="s">
        <v>1264</v>
      </c>
      <c r="D401" s="4" t="s">
        <v>1265</v>
      </c>
      <c r="E401" s="4" t="s">
        <v>35</v>
      </c>
      <c r="F401" s="4" t="s">
        <v>127</v>
      </c>
      <c r="G401" s="4" t="s">
        <v>46</v>
      </c>
      <c r="H401" s="4" t="s">
        <v>37</v>
      </c>
      <c r="I401" s="4" t="s">
        <v>56</v>
      </c>
      <c r="J401" s="4">
        <v>10.3</v>
      </c>
      <c r="K401" s="4">
        <v>8</v>
      </c>
      <c r="L401" s="4" t="s">
        <v>27</v>
      </c>
      <c r="M401" s="4">
        <v>1</v>
      </c>
      <c r="N401" s="4" t="s">
        <v>27</v>
      </c>
      <c r="O401" s="4" t="s">
        <v>28</v>
      </c>
      <c r="P401" s="4" t="s">
        <v>1670</v>
      </c>
      <c r="Q401" s="5" t="s">
        <v>39</v>
      </c>
    </row>
    <row r="402" spans="1:17">
      <c r="A402" s="1" t="s">
        <v>1266</v>
      </c>
      <c r="B402" s="2" t="s">
        <v>32</v>
      </c>
      <c r="C402" s="2" t="s">
        <v>1267</v>
      </c>
      <c r="D402" s="2" t="s">
        <v>1268</v>
      </c>
      <c r="E402" s="2" t="s">
        <v>21</v>
      </c>
      <c r="F402" s="2" t="s">
        <v>22</v>
      </c>
      <c r="G402" s="2" t="s">
        <v>23</v>
      </c>
      <c r="H402" s="2" t="s">
        <v>64</v>
      </c>
      <c r="I402" s="2" t="s">
        <v>25</v>
      </c>
      <c r="J402" s="2">
        <v>10.4</v>
      </c>
      <c r="K402" s="2">
        <v>24</v>
      </c>
      <c r="L402" s="2" t="s">
        <v>26</v>
      </c>
      <c r="M402" s="2">
        <v>4</v>
      </c>
      <c r="N402" s="2" t="s">
        <v>27</v>
      </c>
      <c r="O402" s="2" t="s">
        <v>28</v>
      </c>
      <c r="P402" s="2" t="s">
        <v>29</v>
      </c>
      <c r="Q402" s="6" t="s">
        <v>58</v>
      </c>
    </row>
    <row r="403" spans="1:17">
      <c r="A403" s="3" t="s">
        <v>1269</v>
      </c>
      <c r="B403" s="4" t="s">
        <v>50</v>
      </c>
      <c r="C403" s="4" t="s">
        <v>1270</v>
      </c>
      <c r="D403" s="4" t="s">
        <v>1271</v>
      </c>
      <c r="E403" s="4" t="s">
        <v>35</v>
      </c>
      <c r="F403" s="4" t="s">
        <v>36</v>
      </c>
      <c r="G403" s="4" t="s">
        <v>23</v>
      </c>
      <c r="H403" s="4" t="s">
        <v>70</v>
      </c>
      <c r="I403" s="4" t="s">
        <v>38</v>
      </c>
      <c r="J403" s="4">
        <v>8</v>
      </c>
      <c r="K403" s="4">
        <v>24</v>
      </c>
      <c r="L403" s="4" t="s">
        <v>26</v>
      </c>
      <c r="M403" s="4">
        <v>4</v>
      </c>
      <c r="N403" s="4" t="s">
        <v>27</v>
      </c>
      <c r="O403" s="4" t="s">
        <v>28</v>
      </c>
      <c r="P403" s="4" t="s">
        <v>29</v>
      </c>
      <c r="Q403" s="5" t="s">
        <v>30</v>
      </c>
    </row>
    <row r="404" spans="1:17">
      <c r="A404" s="1" t="s">
        <v>1272</v>
      </c>
      <c r="B404" s="2" t="s">
        <v>32</v>
      </c>
      <c r="C404" s="2" t="s">
        <v>1273</v>
      </c>
      <c r="D404" s="2" t="s">
        <v>1274</v>
      </c>
      <c r="E404" s="2" t="s">
        <v>21</v>
      </c>
      <c r="F404" s="2" t="s">
        <v>22</v>
      </c>
      <c r="G404" s="2" t="s">
        <v>46</v>
      </c>
      <c r="H404" s="2" t="s">
        <v>70</v>
      </c>
      <c r="I404" s="2" t="s">
        <v>25</v>
      </c>
      <c r="J404" s="2">
        <v>10.1</v>
      </c>
      <c r="K404" s="2">
        <v>8</v>
      </c>
      <c r="L404" s="2" t="s">
        <v>27</v>
      </c>
      <c r="M404" s="2">
        <v>2</v>
      </c>
      <c r="N404" s="2" t="s">
        <v>27</v>
      </c>
      <c r="O404" s="2" t="s">
        <v>28</v>
      </c>
      <c r="P404" s="2" t="s">
        <v>1670</v>
      </c>
      <c r="Q404" s="6" t="s">
        <v>58</v>
      </c>
    </row>
    <row r="405" spans="1:17">
      <c r="A405" s="3" t="s">
        <v>1275</v>
      </c>
      <c r="B405" s="4" t="s">
        <v>66</v>
      </c>
      <c r="C405" s="4" t="s">
        <v>1276</v>
      </c>
      <c r="D405" s="4" t="s">
        <v>1277</v>
      </c>
      <c r="E405" s="4" t="s">
        <v>78</v>
      </c>
      <c r="F405" s="4" t="s">
        <v>191</v>
      </c>
      <c r="G405" s="4" t="s">
        <v>54</v>
      </c>
      <c r="H405" s="4" t="s">
        <v>138</v>
      </c>
      <c r="I405" s="4" t="s">
        <v>38</v>
      </c>
      <c r="J405" s="4">
        <v>16.600000000000001</v>
      </c>
      <c r="K405" s="4">
        <v>4</v>
      </c>
      <c r="L405" s="4" t="s">
        <v>27</v>
      </c>
      <c r="M405" s="4">
        <v>2</v>
      </c>
      <c r="N405" s="4" t="s">
        <v>27</v>
      </c>
      <c r="O405" s="4" t="s">
        <v>28</v>
      </c>
      <c r="P405" s="4" t="s">
        <v>1670</v>
      </c>
      <c r="Q405" s="5" t="s">
        <v>39</v>
      </c>
    </row>
    <row r="406" spans="1:17">
      <c r="A406" s="1" t="s">
        <v>1278</v>
      </c>
      <c r="B406" s="2" t="s">
        <v>60</v>
      </c>
      <c r="C406" s="2" t="s">
        <v>1279</v>
      </c>
      <c r="D406" s="2" t="s">
        <v>1280</v>
      </c>
      <c r="E406" s="2" t="s">
        <v>21</v>
      </c>
      <c r="F406" s="2" t="s">
        <v>63</v>
      </c>
      <c r="G406" s="2" t="s">
        <v>46</v>
      </c>
      <c r="H406" s="2" t="s">
        <v>64</v>
      </c>
      <c r="I406" s="2" t="s">
        <v>25</v>
      </c>
      <c r="J406" s="2">
        <v>5.6</v>
      </c>
      <c r="K406" s="2">
        <v>8</v>
      </c>
      <c r="L406" s="2" t="s">
        <v>26</v>
      </c>
      <c r="M406" s="2">
        <v>4</v>
      </c>
      <c r="N406" s="2" t="s">
        <v>27</v>
      </c>
      <c r="O406" s="2" t="s">
        <v>28</v>
      </c>
      <c r="P406" s="2" t="s">
        <v>29</v>
      </c>
      <c r="Q406" s="6" t="s">
        <v>30</v>
      </c>
    </row>
    <row r="407" spans="1:17">
      <c r="A407" s="3" t="s">
        <v>1281</v>
      </c>
      <c r="B407" s="4" t="s">
        <v>41</v>
      </c>
      <c r="C407" s="4" t="s">
        <v>1282</v>
      </c>
      <c r="D407" s="4" t="s">
        <v>1283</v>
      </c>
      <c r="E407" s="4" t="s">
        <v>84</v>
      </c>
      <c r="F407" s="4" t="s">
        <v>85</v>
      </c>
      <c r="G407" s="4" t="s">
        <v>46</v>
      </c>
      <c r="H407" s="4" t="s">
        <v>234</v>
      </c>
      <c r="I407" s="4" t="s">
        <v>87</v>
      </c>
      <c r="J407" s="4">
        <v>6.5</v>
      </c>
      <c r="K407" s="4">
        <v>8</v>
      </c>
      <c r="L407" s="4" t="s">
        <v>26</v>
      </c>
      <c r="M407" s="4">
        <v>5</v>
      </c>
      <c r="N407" s="4" t="s">
        <v>27</v>
      </c>
      <c r="O407" s="4" t="s">
        <v>28</v>
      </c>
      <c r="P407" s="4" t="s">
        <v>29</v>
      </c>
      <c r="Q407" s="5" t="s">
        <v>101</v>
      </c>
    </row>
    <row r="408" spans="1:17">
      <c r="A408" s="1" t="s">
        <v>1284</v>
      </c>
      <c r="B408" s="2" t="s">
        <v>32</v>
      </c>
      <c r="C408" s="2" t="s">
        <v>1285</v>
      </c>
      <c r="D408" s="2" t="s">
        <v>1286</v>
      </c>
      <c r="E408" s="2" t="s">
        <v>84</v>
      </c>
      <c r="F408" s="2" t="s">
        <v>85</v>
      </c>
      <c r="G408" s="2" t="s">
        <v>46</v>
      </c>
      <c r="H408" s="2" t="s">
        <v>55</v>
      </c>
      <c r="I408" s="2" t="s">
        <v>87</v>
      </c>
      <c r="J408" s="2">
        <v>6.9</v>
      </c>
      <c r="K408" s="2">
        <v>8</v>
      </c>
      <c r="L408" s="2" t="s">
        <v>26</v>
      </c>
      <c r="M408" s="2">
        <v>4</v>
      </c>
      <c r="N408" s="2" t="s">
        <v>27</v>
      </c>
      <c r="O408" s="2" t="s">
        <v>28</v>
      </c>
      <c r="P408" s="2" t="s">
        <v>29</v>
      </c>
      <c r="Q408" s="6" t="s">
        <v>58</v>
      </c>
    </row>
    <row r="409" spans="1:17">
      <c r="A409" s="3" t="s">
        <v>1287</v>
      </c>
      <c r="B409" s="4" t="s">
        <v>32</v>
      </c>
      <c r="C409" s="4" t="s">
        <v>1288</v>
      </c>
      <c r="D409" s="4" t="s">
        <v>1289</v>
      </c>
      <c r="E409" s="4" t="s">
        <v>78</v>
      </c>
      <c r="F409" s="4" t="s">
        <v>191</v>
      </c>
      <c r="G409" s="4" t="s">
        <v>54</v>
      </c>
      <c r="H409" s="4" t="s">
        <v>55</v>
      </c>
      <c r="I409" s="4" t="s">
        <v>38</v>
      </c>
      <c r="J409" s="4">
        <v>8.5</v>
      </c>
      <c r="K409" s="4">
        <v>4</v>
      </c>
      <c r="L409" s="4" t="s">
        <v>27</v>
      </c>
      <c r="M409" s="4">
        <v>3</v>
      </c>
      <c r="N409" s="4" t="s">
        <v>26</v>
      </c>
      <c r="O409" s="4" t="s">
        <v>28</v>
      </c>
      <c r="P409" s="4" t="s">
        <v>57</v>
      </c>
      <c r="Q409" s="5" t="s">
        <v>58</v>
      </c>
    </row>
    <row r="410" spans="1:17">
      <c r="A410" s="1" t="s">
        <v>1290</v>
      </c>
      <c r="B410" s="2" t="s">
        <v>60</v>
      </c>
      <c r="C410" s="2" t="s">
        <v>1291</v>
      </c>
      <c r="D410" s="2" t="s">
        <v>1292</v>
      </c>
      <c r="E410" s="2" t="s">
        <v>78</v>
      </c>
      <c r="F410" s="2" t="s">
        <v>79</v>
      </c>
      <c r="G410" s="2" t="s">
        <v>54</v>
      </c>
      <c r="H410" s="2" t="s">
        <v>91</v>
      </c>
      <c r="I410" s="2" t="s">
        <v>80</v>
      </c>
      <c r="J410" s="2">
        <v>18</v>
      </c>
      <c r="K410" s="2">
        <v>4</v>
      </c>
      <c r="L410" s="2" t="s">
        <v>27</v>
      </c>
      <c r="M410" s="2">
        <v>2</v>
      </c>
      <c r="N410" s="2" t="s">
        <v>26</v>
      </c>
      <c r="O410" s="2" t="s">
        <v>28</v>
      </c>
      <c r="P410" s="2" t="s">
        <v>57</v>
      </c>
      <c r="Q410" s="6" t="s">
        <v>58</v>
      </c>
    </row>
    <row r="411" spans="1:17">
      <c r="A411" s="3" t="s">
        <v>1293</v>
      </c>
      <c r="B411" s="4" t="s">
        <v>75</v>
      </c>
      <c r="C411" s="4" t="s">
        <v>1294</v>
      </c>
      <c r="D411" s="4" t="s">
        <v>1295</v>
      </c>
      <c r="E411" s="4" t="s">
        <v>35</v>
      </c>
      <c r="F411" s="4" t="s">
        <v>36</v>
      </c>
      <c r="G411" s="4" t="s">
        <v>46</v>
      </c>
      <c r="H411" s="4" t="s">
        <v>24</v>
      </c>
      <c r="I411" s="4" t="s">
        <v>38</v>
      </c>
      <c r="J411" s="4">
        <v>9</v>
      </c>
      <c r="K411" s="4">
        <v>8</v>
      </c>
      <c r="L411" s="4" t="s">
        <v>27</v>
      </c>
      <c r="M411" s="4">
        <v>1</v>
      </c>
      <c r="N411" s="4" t="s">
        <v>26</v>
      </c>
      <c r="O411" s="4" t="s">
        <v>28</v>
      </c>
      <c r="P411" s="4" t="s">
        <v>57</v>
      </c>
      <c r="Q411" s="5" t="s">
        <v>58</v>
      </c>
    </row>
    <row r="412" spans="1:17">
      <c r="A412" s="1" t="s">
        <v>1296</v>
      </c>
      <c r="B412" s="2" t="s">
        <v>50</v>
      </c>
      <c r="C412" s="2" t="s">
        <v>1297</v>
      </c>
      <c r="D412" s="2" t="s">
        <v>1298</v>
      </c>
      <c r="E412" s="2" t="s">
        <v>21</v>
      </c>
      <c r="F412" s="2" t="s">
        <v>63</v>
      </c>
      <c r="G412" s="2" t="s">
        <v>54</v>
      </c>
      <c r="H412" s="2" t="s">
        <v>47</v>
      </c>
      <c r="I412" s="2" t="s">
        <v>25</v>
      </c>
      <c r="J412" s="2">
        <v>10.3</v>
      </c>
      <c r="K412" s="2">
        <v>4</v>
      </c>
      <c r="L412" s="2" t="s">
        <v>27</v>
      </c>
      <c r="M412" s="2">
        <v>3</v>
      </c>
      <c r="N412" s="2" t="s">
        <v>27</v>
      </c>
      <c r="O412" s="2" t="s">
        <v>28</v>
      </c>
      <c r="P412" s="2" t="s">
        <v>57</v>
      </c>
      <c r="Q412" s="6" t="s">
        <v>101</v>
      </c>
    </row>
    <row r="413" spans="1:17">
      <c r="A413" s="3" t="s">
        <v>1299</v>
      </c>
      <c r="B413" s="4" t="s">
        <v>41</v>
      </c>
      <c r="C413" s="4" t="s">
        <v>1300</v>
      </c>
      <c r="D413" s="4" t="s">
        <v>1301</v>
      </c>
      <c r="E413" s="4" t="s">
        <v>78</v>
      </c>
      <c r="F413" s="4" t="s">
        <v>79</v>
      </c>
      <c r="G413" s="4" t="s">
        <v>23</v>
      </c>
      <c r="H413" s="4" t="s">
        <v>70</v>
      </c>
      <c r="I413" s="4" t="s">
        <v>80</v>
      </c>
      <c r="J413" s="4">
        <v>14</v>
      </c>
      <c r="K413" s="4">
        <v>24</v>
      </c>
      <c r="L413" s="4" t="s">
        <v>26</v>
      </c>
      <c r="M413" s="4">
        <v>4</v>
      </c>
      <c r="N413" s="4" t="s">
        <v>27</v>
      </c>
      <c r="O413" s="4" t="s">
        <v>28</v>
      </c>
      <c r="P413" s="4" t="s">
        <v>29</v>
      </c>
      <c r="Q413" s="5" t="s">
        <v>101</v>
      </c>
    </row>
    <row r="414" spans="1:17">
      <c r="A414" s="1" t="s">
        <v>1302</v>
      </c>
      <c r="B414" s="2" t="s">
        <v>41</v>
      </c>
      <c r="C414" s="2" t="s">
        <v>1303</v>
      </c>
      <c r="D414" s="2" t="s">
        <v>1304</v>
      </c>
      <c r="E414" s="2" t="s">
        <v>21</v>
      </c>
      <c r="F414" s="2" t="s">
        <v>69</v>
      </c>
      <c r="G414" s="2" t="s">
        <v>46</v>
      </c>
      <c r="H414" s="2" t="s">
        <v>55</v>
      </c>
      <c r="I414" s="2" t="s">
        <v>25</v>
      </c>
      <c r="J414" s="2">
        <v>14.6</v>
      </c>
      <c r="K414" s="2">
        <v>8</v>
      </c>
      <c r="L414" s="2" t="s">
        <v>27</v>
      </c>
      <c r="M414" s="2">
        <v>1</v>
      </c>
      <c r="N414" s="2" t="s">
        <v>26</v>
      </c>
      <c r="O414" s="2" t="s">
        <v>28</v>
      </c>
      <c r="P414" s="2" t="s">
        <v>1670</v>
      </c>
      <c r="Q414" s="6" t="s">
        <v>30</v>
      </c>
    </row>
    <row r="415" spans="1:17">
      <c r="A415" s="3" t="s">
        <v>1305</v>
      </c>
      <c r="B415" s="4" t="s">
        <v>18</v>
      </c>
      <c r="C415" s="4" t="s">
        <v>1306</v>
      </c>
      <c r="D415" s="4" t="s">
        <v>1307</v>
      </c>
      <c r="E415" s="4" t="s">
        <v>44</v>
      </c>
      <c r="F415" s="4" t="s">
        <v>109</v>
      </c>
      <c r="G415" s="4" t="s">
        <v>46</v>
      </c>
      <c r="H415" s="4" t="s">
        <v>37</v>
      </c>
      <c r="I415" s="4" t="s">
        <v>48</v>
      </c>
      <c r="J415" s="4">
        <v>4.8</v>
      </c>
      <c r="K415" s="4">
        <v>8</v>
      </c>
      <c r="L415" s="4" t="s">
        <v>26</v>
      </c>
      <c r="M415" s="4">
        <v>4</v>
      </c>
      <c r="N415" s="4" t="s">
        <v>27</v>
      </c>
      <c r="O415" s="4" t="s">
        <v>28</v>
      </c>
      <c r="P415" s="4" t="s">
        <v>29</v>
      </c>
      <c r="Q415" s="5" t="s">
        <v>39</v>
      </c>
    </row>
    <row r="416" spans="1:17">
      <c r="A416" s="1" t="s">
        <v>1308</v>
      </c>
      <c r="B416" s="2" t="s">
        <v>60</v>
      </c>
      <c r="C416" s="2" t="s">
        <v>1309</v>
      </c>
      <c r="D416" s="2" t="s">
        <v>1310</v>
      </c>
      <c r="E416" s="2" t="s">
        <v>84</v>
      </c>
      <c r="F416" s="2" t="s">
        <v>116</v>
      </c>
      <c r="G416" s="2" t="s">
        <v>46</v>
      </c>
      <c r="H416" s="2" t="s">
        <v>234</v>
      </c>
      <c r="I416" s="2" t="s">
        <v>87</v>
      </c>
      <c r="J416" s="2">
        <v>6.2</v>
      </c>
      <c r="K416" s="2">
        <v>8</v>
      </c>
      <c r="L416" s="2" t="s">
        <v>26</v>
      </c>
      <c r="M416" s="2">
        <v>5</v>
      </c>
      <c r="N416" s="2" t="s">
        <v>27</v>
      </c>
      <c r="O416" s="2" t="s">
        <v>28</v>
      </c>
      <c r="P416" s="2" t="s">
        <v>29</v>
      </c>
      <c r="Q416" s="6" t="s">
        <v>30</v>
      </c>
    </row>
    <row r="417" spans="1:17">
      <c r="A417" s="3" t="s">
        <v>1311</v>
      </c>
      <c r="B417" s="4" t="s">
        <v>60</v>
      </c>
      <c r="C417" s="4" t="s">
        <v>1312</v>
      </c>
      <c r="D417" s="4" t="s">
        <v>1313</v>
      </c>
      <c r="E417" s="4" t="s">
        <v>21</v>
      </c>
      <c r="F417" s="4" t="s">
        <v>63</v>
      </c>
      <c r="G417" s="4" t="s">
        <v>46</v>
      </c>
      <c r="H417" s="4" t="s">
        <v>138</v>
      </c>
      <c r="I417" s="4" t="s">
        <v>25</v>
      </c>
      <c r="J417" s="4">
        <v>12.2</v>
      </c>
      <c r="K417" s="4">
        <v>8</v>
      </c>
      <c r="L417" s="4" t="s">
        <v>27</v>
      </c>
      <c r="M417" s="4">
        <v>2</v>
      </c>
      <c r="N417" s="4" t="s">
        <v>26</v>
      </c>
      <c r="O417" s="4" t="s">
        <v>28</v>
      </c>
      <c r="P417" s="4" t="s">
        <v>57</v>
      </c>
      <c r="Q417" s="5" t="s">
        <v>39</v>
      </c>
    </row>
    <row r="418" spans="1:17">
      <c r="A418" s="1" t="s">
        <v>1314</v>
      </c>
      <c r="B418" s="2" t="s">
        <v>75</v>
      </c>
      <c r="C418" s="2" t="s">
        <v>1315</v>
      </c>
      <c r="D418" s="2" t="s">
        <v>1316</v>
      </c>
      <c r="E418" s="2" t="s">
        <v>21</v>
      </c>
      <c r="F418" s="2" t="s">
        <v>63</v>
      </c>
      <c r="G418" s="2" t="s">
        <v>46</v>
      </c>
      <c r="H418" s="2" t="s">
        <v>234</v>
      </c>
      <c r="I418" s="2" t="s">
        <v>25</v>
      </c>
      <c r="J418" s="2">
        <v>9.4</v>
      </c>
      <c r="K418" s="2">
        <v>8</v>
      </c>
      <c r="L418" s="2" t="s">
        <v>27</v>
      </c>
      <c r="M418" s="2">
        <v>2</v>
      </c>
      <c r="N418" s="2" t="s">
        <v>26</v>
      </c>
      <c r="O418" s="2" t="s">
        <v>28</v>
      </c>
      <c r="P418" s="2" t="s">
        <v>1670</v>
      </c>
      <c r="Q418" s="6" t="s">
        <v>30</v>
      </c>
    </row>
    <row r="419" spans="1:17">
      <c r="A419" s="3" t="s">
        <v>1317</v>
      </c>
      <c r="B419" s="4" t="s">
        <v>66</v>
      </c>
      <c r="C419" s="4" t="s">
        <v>1318</v>
      </c>
      <c r="D419" s="4" t="s">
        <v>1319</v>
      </c>
      <c r="E419" s="4" t="s">
        <v>35</v>
      </c>
      <c r="F419" s="4" t="s">
        <v>53</v>
      </c>
      <c r="G419" s="4" t="s">
        <v>46</v>
      </c>
      <c r="H419" s="4" t="s">
        <v>47</v>
      </c>
      <c r="I419" s="4" t="s">
        <v>56</v>
      </c>
      <c r="J419" s="4">
        <v>5.5</v>
      </c>
      <c r="K419" s="4">
        <v>8</v>
      </c>
      <c r="L419" s="4" t="s">
        <v>26</v>
      </c>
      <c r="M419" s="4">
        <v>5</v>
      </c>
      <c r="N419" s="4" t="s">
        <v>27</v>
      </c>
      <c r="O419" s="4" t="s">
        <v>28</v>
      </c>
      <c r="P419" s="4" t="s">
        <v>29</v>
      </c>
      <c r="Q419" s="5" t="s">
        <v>101</v>
      </c>
    </row>
    <row r="420" spans="1:17">
      <c r="A420" s="1" t="s">
        <v>1320</v>
      </c>
      <c r="B420" s="2" t="s">
        <v>75</v>
      </c>
      <c r="C420" s="2" t="s">
        <v>1321</v>
      </c>
      <c r="D420" s="2" t="s">
        <v>1322</v>
      </c>
      <c r="E420" s="2" t="s">
        <v>21</v>
      </c>
      <c r="F420" s="2" t="s">
        <v>63</v>
      </c>
      <c r="G420" s="2" t="s">
        <v>23</v>
      </c>
      <c r="H420" s="2" t="s">
        <v>47</v>
      </c>
      <c r="I420" s="2" t="s">
        <v>25</v>
      </c>
      <c r="J420" s="2">
        <v>7.4</v>
      </c>
      <c r="K420" s="2">
        <v>24</v>
      </c>
      <c r="L420" s="2" t="s">
        <v>26</v>
      </c>
      <c r="M420" s="2">
        <v>4</v>
      </c>
      <c r="N420" s="2" t="s">
        <v>27</v>
      </c>
      <c r="O420" s="2" t="s">
        <v>28</v>
      </c>
      <c r="P420" s="2" t="s">
        <v>29</v>
      </c>
      <c r="Q420" s="6" t="s">
        <v>101</v>
      </c>
    </row>
    <row r="421" spans="1:17">
      <c r="A421" s="3" t="s">
        <v>1323</v>
      </c>
      <c r="B421" s="4" t="s">
        <v>32</v>
      </c>
      <c r="C421" s="4" t="s">
        <v>1324</v>
      </c>
      <c r="D421" s="4" t="s">
        <v>1325</v>
      </c>
      <c r="E421" s="4" t="s">
        <v>78</v>
      </c>
      <c r="F421" s="4" t="s">
        <v>191</v>
      </c>
      <c r="G421" s="4" t="s">
        <v>46</v>
      </c>
      <c r="H421" s="4" t="s">
        <v>64</v>
      </c>
      <c r="I421" s="4" t="s">
        <v>38</v>
      </c>
      <c r="J421" s="4">
        <v>12.1</v>
      </c>
      <c r="K421" s="4">
        <v>8</v>
      </c>
      <c r="L421" s="4" t="s">
        <v>27</v>
      </c>
      <c r="M421" s="4">
        <v>3</v>
      </c>
      <c r="N421" s="4" t="s">
        <v>27</v>
      </c>
      <c r="O421" s="4" t="s">
        <v>28</v>
      </c>
      <c r="P421" s="4" t="s">
        <v>1670</v>
      </c>
      <c r="Q421" s="5" t="s">
        <v>30</v>
      </c>
    </row>
    <row r="422" spans="1:17">
      <c r="A422" s="1" t="s">
        <v>1326</v>
      </c>
      <c r="B422" s="2" t="s">
        <v>50</v>
      </c>
      <c r="C422" s="2" t="s">
        <v>1327</v>
      </c>
      <c r="D422" s="2" t="s">
        <v>1328</v>
      </c>
      <c r="E422" s="2" t="s">
        <v>84</v>
      </c>
      <c r="F422" s="2" t="s">
        <v>116</v>
      </c>
      <c r="G422" s="2" t="s">
        <v>46</v>
      </c>
      <c r="H422" s="2" t="s">
        <v>234</v>
      </c>
      <c r="I422" s="2" t="s">
        <v>87</v>
      </c>
      <c r="J422" s="2">
        <v>9.3000000000000007</v>
      </c>
      <c r="K422" s="2">
        <v>8</v>
      </c>
      <c r="L422" s="2" t="s">
        <v>27</v>
      </c>
      <c r="M422" s="2">
        <v>2</v>
      </c>
      <c r="N422" s="2" t="s">
        <v>27</v>
      </c>
      <c r="O422" s="2" t="s">
        <v>28</v>
      </c>
      <c r="P422" s="2" t="s">
        <v>57</v>
      </c>
      <c r="Q422" s="6" t="s">
        <v>39</v>
      </c>
    </row>
    <row r="423" spans="1:17">
      <c r="A423" s="3" t="s">
        <v>1329</v>
      </c>
      <c r="B423" s="4" t="s">
        <v>32</v>
      </c>
      <c r="C423" s="4" t="s">
        <v>1330</v>
      </c>
      <c r="D423" s="4" t="s">
        <v>1331</v>
      </c>
      <c r="E423" s="4" t="s">
        <v>21</v>
      </c>
      <c r="F423" s="4" t="s">
        <v>69</v>
      </c>
      <c r="G423" s="4" t="s">
        <v>54</v>
      </c>
      <c r="H423" s="4" t="s">
        <v>55</v>
      </c>
      <c r="I423" s="4" t="s">
        <v>25</v>
      </c>
      <c r="J423" s="4">
        <v>9.8000000000000007</v>
      </c>
      <c r="K423" s="4">
        <v>4</v>
      </c>
      <c r="L423" s="4" t="s">
        <v>27</v>
      </c>
      <c r="M423" s="4">
        <v>1</v>
      </c>
      <c r="N423" s="4" t="s">
        <v>26</v>
      </c>
      <c r="O423" s="4" t="s">
        <v>28</v>
      </c>
      <c r="P423" s="4" t="s">
        <v>57</v>
      </c>
      <c r="Q423" s="5" t="s">
        <v>101</v>
      </c>
    </row>
    <row r="424" spans="1:17">
      <c r="A424" s="1" t="s">
        <v>1332</v>
      </c>
      <c r="B424" s="2" t="s">
        <v>32</v>
      </c>
      <c r="C424" s="2" t="s">
        <v>1333</v>
      </c>
      <c r="D424" s="2" t="s">
        <v>1334</v>
      </c>
      <c r="E424" s="2" t="s">
        <v>44</v>
      </c>
      <c r="F424" s="2" t="s">
        <v>109</v>
      </c>
      <c r="G424" s="2" t="s">
        <v>46</v>
      </c>
      <c r="H424" s="2" t="s">
        <v>24</v>
      </c>
      <c r="I424" s="2" t="s">
        <v>48</v>
      </c>
      <c r="J424" s="2">
        <v>2.6</v>
      </c>
      <c r="K424" s="2">
        <v>8</v>
      </c>
      <c r="L424" s="2" t="s">
        <v>26</v>
      </c>
      <c r="M424" s="2">
        <v>4</v>
      </c>
      <c r="N424" s="2" t="s">
        <v>27</v>
      </c>
      <c r="O424" s="2" t="s">
        <v>28</v>
      </c>
      <c r="P424" s="2" t="s">
        <v>29</v>
      </c>
      <c r="Q424" s="6" t="s">
        <v>58</v>
      </c>
    </row>
    <row r="425" spans="1:17">
      <c r="A425" s="3" t="s">
        <v>1335</v>
      </c>
      <c r="B425" s="4" t="s">
        <v>50</v>
      </c>
      <c r="C425" s="4" t="s">
        <v>1336</v>
      </c>
      <c r="D425" s="4" t="s">
        <v>1337</v>
      </c>
      <c r="E425" s="4" t="s">
        <v>21</v>
      </c>
      <c r="F425" s="4" t="s">
        <v>63</v>
      </c>
      <c r="G425" s="4" t="s">
        <v>46</v>
      </c>
      <c r="H425" s="4" t="s">
        <v>138</v>
      </c>
      <c r="I425" s="4" t="s">
        <v>25</v>
      </c>
      <c r="J425" s="4">
        <v>8.5</v>
      </c>
      <c r="K425" s="4">
        <v>8</v>
      </c>
      <c r="L425" s="4" t="s">
        <v>27</v>
      </c>
      <c r="M425" s="4">
        <v>2</v>
      </c>
      <c r="N425" s="4" t="s">
        <v>26</v>
      </c>
      <c r="O425" s="4" t="s">
        <v>28</v>
      </c>
      <c r="P425" s="4" t="s">
        <v>57</v>
      </c>
      <c r="Q425" s="5" t="s">
        <v>101</v>
      </c>
    </row>
    <row r="426" spans="1:17">
      <c r="A426" s="1" t="s">
        <v>1338</v>
      </c>
      <c r="B426" s="2" t="s">
        <v>66</v>
      </c>
      <c r="C426" s="2" t="s">
        <v>1339</v>
      </c>
      <c r="D426" s="2" t="s">
        <v>1340</v>
      </c>
      <c r="E426" s="2" t="s">
        <v>21</v>
      </c>
      <c r="F426" s="2" t="s">
        <v>63</v>
      </c>
      <c r="G426" s="2" t="s">
        <v>46</v>
      </c>
      <c r="H426" s="2" t="s">
        <v>86</v>
      </c>
      <c r="I426" s="2" t="s">
        <v>25</v>
      </c>
      <c r="J426" s="2">
        <v>10.4</v>
      </c>
      <c r="K426" s="2">
        <v>8</v>
      </c>
      <c r="L426" s="2" t="s">
        <v>27</v>
      </c>
      <c r="M426" s="2">
        <v>3</v>
      </c>
      <c r="N426" s="2" t="s">
        <v>27</v>
      </c>
      <c r="O426" s="2" t="s">
        <v>28</v>
      </c>
      <c r="P426" s="2" t="s">
        <v>1670</v>
      </c>
      <c r="Q426" s="6" t="s">
        <v>39</v>
      </c>
    </row>
    <row r="427" spans="1:17">
      <c r="A427" s="3" t="s">
        <v>1341</v>
      </c>
      <c r="B427" s="4" t="s">
        <v>18</v>
      </c>
      <c r="C427" s="4" t="s">
        <v>1342</v>
      </c>
      <c r="D427" s="4" t="s">
        <v>1322</v>
      </c>
      <c r="E427" s="4" t="s">
        <v>35</v>
      </c>
      <c r="F427" s="4" t="s">
        <v>36</v>
      </c>
      <c r="G427" s="4" t="s">
        <v>46</v>
      </c>
      <c r="H427" s="4" t="s">
        <v>138</v>
      </c>
      <c r="I427" s="4" t="s">
        <v>38</v>
      </c>
      <c r="J427" s="4">
        <v>10.5</v>
      </c>
      <c r="K427" s="4">
        <v>8</v>
      </c>
      <c r="L427" s="4" t="s">
        <v>27</v>
      </c>
      <c r="M427" s="4">
        <v>3</v>
      </c>
      <c r="N427" s="4" t="s">
        <v>26</v>
      </c>
      <c r="O427" s="4" t="s">
        <v>28</v>
      </c>
      <c r="P427" s="4" t="s">
        <v>1670</v>
      </c>
      <c r="Q427" s="5" t="s">
        <v>58</v>
      </c>
    </row>
    <row r="428" spans="1:17">
      <c r="A428" s="1" t="s">
        <v>1343</v>
      </c>
      <c r="B428" s="2" t="s">
        <v>41</v>
      </c>
      <c r="C428" s="2" t="s">
        <v>1344</v>
      </c>
      <c r="D428" s="2" t="s">
        <v>1345</v>
      </c>
      <c r="E428" s="2" t="s">
        <v>35</v>
      </c>
      <c r="F428" s="2" t="s">
        <v>53</v>
      </c>
      <c r="G428" s="2" t="s">
        <v>54</v>
      </c>
      <c r="H428" s="2" t="s">
        <v>37</v>
      </c>
      <c r="I428" s="2" t="s">
        <v>56</v>
      </c>
      <c r="J428" s="2">
        <v>4.9000000000000004</v>
      </c>
      <c r="K428" s="2">
        <v>4</v>
      </c>
      <c r="L428" s="2" t="s">
        <v>27</v>
      </c>
      <c r="M428" s="2">
        <v>1</v>
      </c>
      <c r="N428" s="2" t="s">
        <v>26</v>
      </c>
      <c r="O428" s="2" t="s">
        <v>28</v>
      </c>
      <c r="P428" s="2" t="s">
        <v>57</v>
      </c>
      <c r="Q428" s="6" t="s">
        <v>30</v>
      </c>
    </row>
    <row r="429" spans="1:17">
      <c r="A429" s="3" t="s">
        <v>1346</v>
      </c>
      <c r="B429" s="4" t="s">
        <v>66</v>
      </c>
      <c r="C429" s="4" t="s">
        <v>1347</v>
      </c>
      <c r="D429" s="4" t="s">
        <v>1348</v>
      </c>
      <c r="E429" s="4" t="s">
        <v>84</v>
      </c>
      <c r="F429" s="4" t="s">
        <v>116</v>
      </c>
      <c r="G429" s="4" t="s">
        <v>46</v>
      </c>
      <c r="H429" s="4" t="s">
        <v>234</v>
      </c>
      <c r="I429" s="4" t="s">
        <v>87</v>
      </c>
      <c r="J429" s="4">
        <v>5.0999999999999996</v>
      </c>
      <c r="K429" s="4">
        <v>8</v>
      </c>
      <c r="L429" s="4" t="s">
        <v>26</v>
      </c>
      <c r="M429" s="4">
        <v>5</v>
      </c>
      <c r="N429" s="4" t="s">
        <v>27</v>
      </c>
      <c r="O429" s="4" t="s">
        <v>28</v>
      </c>
      <c r="P429" s="4" t="s">
        <v>29</v>
      </c>
      <c r="Q429" s="5" t="s">
        <v>30</v>
      </c>
    </row>
    <row r="430" spans="1:17">
      <c r="A430" s="1" t="s">
        <v>1349</v>
      </c>
      <c r="B430" s="2" t="s">
        <v>60</v>
      </c>
      <c r="C430" s="2" t="s">
        <v>1350</v>
      </c>
      <c r="D430" s="2" t="s">
        <v>1351</v>
      </c>
      <c r="E430" s="2" t="s">
        <v>21</v>
      </c>
      <c r="F430" s="2" t="s">
        <v>22</v>
      </c>
      <c r="G430" s="2" t="s">
        <v>46</v>
      </c>
      <c r="H430" s="2" t="s">
        <v>138</v>
      </c>
      <c r="I430" s="2" t="s">
        <v>25</v>
      </c>
      <c r="J430" s="2">
        <v>15.8</v>
      </c>
      <c r="K430" s="2">
        <v>8</v>
      </c>
      <c r="L430" s="2" t="s">
        <v>27</v>
      </c>
      <c r="M430" s="2">
        <v>3</v>
      </c>
      <c r="N430" s="2" t="s">
        <v>27</v>
      </c>
      <c r="O430" s="2" t="s">
        <v>28</v>
      </c>
      <c r="P430" s="2" t="s">
        <v>57</v>
      </c>
      <c r="Q430" s="6" t="s">
        <v>58</v>
      </c>
    </row>
    <row r="431" spans="1:17">
      <c r="A431" s="3" t="s">
        <v>1352</v>
      </c>
      <c r="B431" s="4" t="s">
        <v>50</v>
      </c>
      <c r="C431" s="4" t="s">
        <v>1353</v>
      </c>
      <c r="D431" s="4" t="s">
        <v>1354</v>
      </c>
      <c r="E431" s="4" t="s">
        <v>21</v>
      </c>
      <c r="F431" s="4" t="s">
        <v>63</v>
      </c>
      <c r="G431" s="4" t="s">
        <v>54</v>
      </c>
      <c r="H431" s="4" t="s">
        <v>55</v>
      </c>
      <c r="I431" s="4" t="s">
        <v>25</v>
      </c>
      <c r="J431" s="4">
        <v>13.9</v>
      </c>
      <c r="K431" s="4">
        <v>4</v>
      </c>
      <c r="L431" s="4" t="s">
        <v>27</v>
      </c>
      <c r="M431" s="4">
        <v>2</v>
      </c>
      <c r="N431" s="4" t="s">
        <v>26</v>
      </c>
      <c r="O431" s="4" t="s">
        <v>28</v>
      </c>
      <c r="P431" s="4" t="s">
        <v>1670</v>
      </c>
      <c r="Q431" s="5" t="s">
        <v>30</v>
      </c>
    </row>
    <row r="432" spans="1:17">
      <c r="A432" s="1" t="s">
        <v>1355</v>
      </c>
      <c r="B432" s="2" t="s">
        <v>75</v>
      </c>
      <c r="C432" s="2" t="s">
        <v>1356</v>
      </c>
      <c r="D432" s="2" t="s">
        <v>1357</v>
      </c>
      <c r="E432" s="2" t="s">
        <v>78</v>
      </c>
      <c r="F432" s="2" t="s">
        <v>166</v>
      </c>
      <c r="G432" s="2" t="s">
        <v>46</v>
      </c>
      <c r="H432" s="2" t="s">
        <v>91</v>
      </c>
      <c r="I432" s="2" t="s">
        <v>80</v>
      </c>
      <c r="J432" s="2">
        <v>18.3</v>
      </c>
      <c r="K432" s="2">
        <v>8</v>
      </c>
      <c r="L432" s="2" t="s">
        <v>27</v>
      </c>
      <c r="M432" s="2">
        <v>2</v>
      </c>
      <c r="N432" s="2" t="s">
        <v>26</v>
      </c>
      <c r="O432" s="2" t="s">
        <v>28</v>
      </c>
      <c r="P432" s="2" t="s">
        <v>1670</v>
      </c>
      <c r="Q432" s="6" t="s">
        <v>58</v>
      </c>
    </row>
    <row r="433" spans="1:17">
      <c r="A433" s="3" t="s">
        <v>1358</v>
      </c>
      <c r="B433" s="4" t="s">
        <v>75</v>
      </c>
      <c r="C433" s="4" t="s">
        <v>1359</v>
      </c>
      <c r="D433" s="4" t="s">
        <v>1360</v>
      </c>
      <c r="E433" s="4" t="s">
        <v>21</v>
      </c>
      <c r="F433" s="4" t="s">
        <v>69</v>
      </c>
      <c r="G433" s="4" t="s">
        <v>46</v>
      </c>
      <c r="H433" s="4" t="s">
        <v>138</v>
      </c>
      <c r="I433" s="4" t="s">
        <v>25</v>
      </c>
      <c r="J433" s="4">
        <v>10.199999999999999</v>
      </c>
      <c r="K433" s="4">
        <v>8</v>
      </c>
      <c r="L433" s="4" t="s">
        <v>27</v>
      </c>
      <c r="M433" s="4">
        <v>3</v>
      </c>
      <c r="N433" s="4" t="s">
        <v>27</v>
      </c>
      <c r="O433" s="4" t="s">
        <v>28</v>
      </c>
      <c r="P433" s="4" t="s">
        <v>57</v>
      </c>
      <c r="Q433" s="5" t="s">
        <v>58</v>
      </c>
    </row>
    <row r="434" spans="1:17">
      <c r="A434" s="1" t="s">
        <v>1361</v>
      </c>
      <c r="B434" s="2" t="s">
        <v>106</v>
      </c>
      <c r="C434" s="2" t="s">
        <v>1362</v>
      </c>
      <c r="D434" s="2" t="s">
        <v>1363</v>
      </c>
      <c r="E434" s="2" t="s">
        <v>78</v>
      </c>
      <c r="F434" s="2" t="s">
        <v>191</v>
      </c>
      <c r="G434" s="2" t="s">
        <v>46</v>
      </c>
      <c r="H434" s="2" t="s">
        <v>55</v>
      </c>
      <c r="I434" s="2" t="s">
        <v>38</v>
      </c>
      <c r="J434" s="2">
        <v>11.2</v>
      </c>
      <c r="K434" s="2">
        <v>8</v>
      </c>
      <c r="L434" s="2" t="s">
        <v>27</v>
      </c>
      <c r="M434" s="2">
        <v>1</v>
      </c>
      <c r="N434" s="2" t="s">
        <v>27</v>
      </c>
      <c r="O434" s="2" t="s">
        <v>28</v>
      </c>
      <c r="P434" s="2" t="s">
        <v>57</v>
      </c>
      <c r="Q434" s="6" t="s">
        <v>58</v>
      </c>
    </row>
    <row r="435" spans="1:17">
      <c r="A435" s="3" t="s">
        <v>1364</v>
      </c>
      <c r="B435" s="4" t="s">
        <v>106</v>
      </c>
      <c r="C435" s="4" t="s">
        <v>1365</v>
      </c>
      <c r="D435" s="4" t="s">
        <v>1366</v>
      </c>
      <c r="E435" s="4" t="s">
        <v>78</v>
      </c>
      <c r="F435" s="4" t="s">
        <v>191</v>
      </c>
      <c r="G435" s="4" t="s">
        <v>46</v>
      </c>
      <c r="H435" s="4" t="s">
        <v>86</v>
      </c>
      <c r="I435" s="4" t="s">
        <v>38</v>
      </c>
      <c r="J435" s="4">
        <v>21.6</v>
      </c>
      <c r="K435" s="4">
        <v>8</v>
      </c>
      <c r="L435" s="4" t="s">
        <v>27</v>
      </c>
      <c r="M435" s="4">
        <v>2</v>
      </c>
      <c r="N435" s="4" t="s">
        <v>26</v>
      </c>
      <c r="O435" s="4" t="s">
        <v>28</v>
      </c>
      <c r="P435" s="4" t="s">
        <v>1670</v>
      </c>
      <c r="Q435" s="5" t="s">
        <v>101</v>
      </c>
    </row>
    <row r="436" spans="1:17">
      <c r="A436" s="1" t="s">
        <v>1367</v>
      </c>
      <c r="B436" s="2" t="s">
        <v>135</v>
      </c>
      <c r="C436" s="2" t="s">
        <v>1368</v>
      </c>
      <c r="D436" s="2" t="s">
        <v>1369</v>
      </c>
      <c r="E436" s="2" t="s">
        <v>21</v>
      </c>
      <c r="F436" s="2" t="s">
        <v>69</v>
      </c>
      <c r="G436" s="2" t="s">
        <v>46</v>
      </c>
      <c r="H436" s="2" t="s">
        <v>64</v>
      </c>
      <c r="I436" s="2" t="s">
        <v>25</v>
      </c>
      <c r="J436" s="2">
        <v>8.5</v>
      </c>
      <c r="K436" s="2">
        <v>8</v>
      </c>
      <c r="L436" s="2" t="s">
        <v>27</v>
      </c>
      <c r="M436" s="2">
        <v>3</v>
      </c>
      <c r="N436" s="2" t="s">
        <v>27</v>
      </c>
      <c r="O436" s="2" t="s">
        <v>28</v>
      </c>
      <c r="P436" s="2" t="s">
        <v>57</v>
      </c>
      <c r="Q436" s="6" t="s">
        <v>30</v>
      </c>
    </row>
    <row r="437" spans="1:17">
      <c r="A437" s="3" t="s">
        <v>1370</v>
      </c>
      <c r="B437" s="4" t="s">
        <v>50</v>
      </c>
      <c r="C437" s="4" t="s">
        <v>1371</v>
      </c>
      <c r="D437" s="4" t="s">
        <v>1372</v>
      </c>
      <c r="E437" s="4" t="s">
        <v>78</v>
      </c>
      <c r="F437" s="4" t="s">
        <v>191</v>
      </c>
      <c r="G437" s="4" t="s">
        <v>23</v>
      </c>
      <c r="H437" s="4" t="s">
        <v>70</v>
      </c>
      <c r="I437" s="4" t="s">
        <v>38</v>
      </c>
      <c r="J437" s="4">
        <v>11.8</v>
      </c>
      <c r="K437" s="4">
        <v>24</v>
      </c>
      <c r="L437" s="4" t="s">
        <v>26</v>
      </c>
      <c r="M437" s="4">
        <v>4</v>
      </c>
      <c r="N437" s="4" t="s">
        <v>27</v>
      </c>
      <c r="O437" s="4" t="s">
        <v>28</v>
      </c>
      <c r="P437" s="4" t="s">
        <v>29</v>
      </c>
      <c r="Q437" s="5" t="s">
        <v>58</v>
      </c>
    </row>
    <row r="438" spans="1:17">
      <c r="A438" s="1" t="s">
        <v>1373</v>
      </c>
      <c r="B438" s="2" t="s">
        <v>75</v>
      </c>
      <c r="C438" s="2" t="s">
        <v>1374</v>
      </c>
      <c r="D438" s="2" t="s">
        <v>1375</v>
      </c>
      <c r="E438" s="2" t="s">
        <v>78</v>
      </c>
      <c r="F438" s="2" t="s">
        <v>79</v>
      </c>
      <c r="G438" s="2" t="s">
        <v>23</v>
      </c>
      <c r="H438" s="2" t="s">
        <v>37</v>
      </c>
      <c r="I438" s="2" t="s">
        <v>80</v>
      </c>
      <c r="J438" s="2">
        <v>10.3</v>
      </c>
      <c r="K438" s="2">
        <v>24</v>
      </c>
      <c r="L438" s="2" t="s">
        <v>26</v>
      </c>
      <c r="M438" s="2">
        <v>5</v>
      </c>
      <c r="N438" s="2" t="s">
        <v>27</v>
      </c>
      <c r="O438" s="2" t="s">
        <v>28</v>
      </c>
      <c r="P438" s="2" t="s">
        <v>29</v>
      </c>
      <c r="Q438" s="6" t="s">
        <v>101</v>
      </c>
    </row>
    <row r="439" spans="1:17">
      <c r="A439" s="3" t="s">
        <v>1376</v>
      </c>
      <c r="B439" s="4" t="s">
        <v>50</v>
      </c>
      <c r="C439" s="4" t="s">
        <v>1377</v>
      </c>
      <c r="D439" s="4" t="s">
        <v>1378</v>
      </c>
      <c r="E439" s="4" t="s">
        <v>35</v>
      </c>
      <c r="F439" s="4" t="s">
        <v>36</v>
      </c>
      <c r="G439" s="4" t="s">
        <v>46</v>
      </c>
      <c r="H439" s="4" t="s">
        <v>91</v>
      </c>
      <c r="I439" s="4" t="s">
        <v>38</v>
      </c>
      <c r="J439" s="4">
        <v>6.8</v>
      </c>
      <c r="K439" s="4">
        <v>8</v>
      </c>
      <c r="L439" s="4" t="s">
        <v>26</v>
      </c>
      <c r="M439" s="4">
        <v>4</v>
      </c>
      <c r="N439" s="4" t="s">
        <v>27</v>
      </c>
      <c r="O439" s="4" t="s">
        <v>28</v>
      </c>
      <c r="P439" s="4" t="s">
        <v>29</v>
      </c>
      <c r="Q439" s="5" t="s">
        <v>39</v>
      </c>
    </row>
    <row r="440" spans="1:17">
      <c r="A440" s="1" t="s">
        <v>1379</v>
      </c>
      <c r="B440" s="2" t="s">
        <v>32</v>
      </c>
      <c r="C440" s="2" t="s">
        <v>1380</v>
      </c>
      <c r="D440" s="2" t="s">
        <v>1381</v>
      </c>
      <c r="E440" s="2" t="s">
        <v>21</v>
      </c>
      <c r="F440" s="2" t="s">
        <v>69</v>
      </c>
      <c r="G440" s="2" t="s">
        <v>23</v>
      </c>
      <c r="H440" s="2" t="s">
        <v>138</v>
      </c>
      <c r="I440" s="2" t="s">
        <v>25</v>
      </c>
      <c r="J440" s="2">
        <v>6.8</v>
      </c>
      <c r="K440" s="2">
        <v>24</v>
      </c>
      <c r="L440" s="2" t="s">
        <v>26</v>
      </c>
      <c r="M440" s="2">
        <v>4</v>
      </c>
      <c r="N440" s="2" t="s">
        <v>27</v>
      </c>
      <c r="O440" s="2" t="s">
        <v>28</v>
      </c>
      <c r="P440" s="2" t="s">
        <v>29</v>
      </c>
      <c r="Q440" s="6" t="s">
        <v>58</v>
      </c>
    </row>
    <row r="441" spans="1:17">
      <c r="A441" s="3" t="s">
        <v>1382</v>
      </c>
      <c r="B441" s="4" t="s">
        <v>32</v>
      </c>
      <c r="C441" s="4" t="s">
        <v>1383</v>
      </c>
      <c r="D441" s="4" t="s">
        <v>1384</v>
      </c>
      <c r="E441" s="4" t="s">
        <v>21</v>
      </c>
      <c r="F441" s="4" t="s">
        <v>63</v>
      </c>
      <c r="G441" s="4" t="s">
        <v>46</v>
      </c>
      <c r="H441" s="4" t="s">
        <v>55</v>
      </c>
      <c r="I441" s="4" t="s">
        <v>25</v>
      </c>
      <c r="J441" s="4">
        <v>11.2</v>
      </c>
      <c r="K441" s="4">
        <v>8</v>
      </c>
      <c r="L441" s="4" t="s">
        <v>27</v>
      </c>
      <c r="M441" s="4">
        <v>2</v>
      </c>
      <c r="N441" s="4" t="s">
        <v>26</v>
      </c>
      <c r="O441" s="4" t="s">
        <v>28</v>
      </c>
      <c r="P441" s="4" t="s">
        <v>57</v>
      </c>
      <c r="Q441" s="5" t="s">
        <v>101</v>
      </c>
    </row>
    <row r="442" spans="1:17">
      <c r="A442" s="1" t="s">
        <v>1385</v>
      </c>
      <c r="B442" s="2" t="s">
        <v>50</v>
      </c>
      <c r="C442" s="2" t="s">
        <v>1386</v>
      </c>
      <c r="D442" s="2" t="s">
        <v>1387</v>
      </c>
      <c r="E442" s="2" t="s">
        <v>84</v>
      </c>
      <c r="F442" s="2" t="s">
        <v>85</v>
      </c>
      <c r="G442" s="2" t="s">
        <v>54</v>
      </c>
      <c r="H442" s="2" t="s">
        <v>37</v>
      </c>
      <c r="I442" s="2" t="s">
        <v>87</v>
      </c>
      <c r="J442" s="2">
        <v>6.6</v>
      </c>
      <c r="K442" s="2">
        <v>4</v>
      </c>
      <c r="L442" s="2" t="s">
        <v>27</v>
      </c>
      <c r="M442" s="2">
        <v>1</v>
      </c>
      <c r="N442" s="2" t="s">
        <v>26</v>
      </c>
      <c r="O442" s="2" t="s">
        <v>28</v>
      </c>
      <c r="P442" s="2" t="s">
        <v>57</v>
      </c>
      <c r="Q442" s="6" t="s">
        <v>39</v>
      </c>
    </row>
    <row r="443" spans="1:17">
      <c r="A443" s="3" t="s">
        <v>1388</v>
      </c>
      <c r="B443" s="4" t="s">
        <v>32</v>
      </c>
      <c r="C443" s="4" t="s">
        <v>1389</v>
      </c>
      <c r="D443" s="4" t="s">
        <v>1390</v>
      </c>
      <c r="E443" s="4" t="s">
        <v>44</v>
      </c>
      <c r="F443" s="4" t="s">
        <v>109</v>
      </c>
      <c r="G443" s="4" t="s">
        <v>54</v>
      </c>
      <c r="H443" s="4" t="s">
        <v>70</v>
      </c>
      <c r="I443" s="4" t="s">
        <v>48</v>
      </c>
      <c r="J443" s="4">
        <v>4.7</v>
      </c>
      <c r="K443" s="4">
        <v>4</v>
      </c>
      <c r="L443" s="4" t="s">
        <v>27</v>
      </c>
      <c r="M443" s="4">
        <v>3</v>
      </c>
      <c r="N443" s="4" t="s">
        <v>26</v>
      </c>
      <c r="O443" s="4" t="s">
        <v>28</v>
      </c>
      <c r="P443" s="4" t="s">
        <v>57</v>
      </c>
      <c r="Q443" s="5" t="s">
        <v>39</v>
      </c>
    </row>
    <row r="444" spans="1:17">
      <c r="A444" s="1" t="s">
        <v>1391</v>
      </c>
      <c r="B444" s="2" t="s">
        <v>32</v>
      </c>
      <c r="C444" s="2" t="s">
        <v>1392</v>
      </c>
      <c r="D444" s="2" t="s">
        <v>1393</v>
      </c>
      <c r="E444" s="2" t="s">
        <v>21</v>
      </c>
      <c r="F444" s="2" t="s">
        <v>63</v>
      </c>
      <c r="G444" s="2" t="s">
        <v>46</v>
      </c>
      <c r="H444" s="2" t="s">
        <v>91</v>
      </c>
      <c r="I444" s="2" t="s">
        <v>25</v>
      </c>
      <c r="J444" s="2">
        <v>11.1</v>
      </c>
      <c r="K444" s="2">
        <v>8</v>
      </c>
      <c r="L444" s="2" t="s">
        <v>27</v>
      </c>
      <c r="M444" s="2">
        <v>2</v>
      </c>
      <c r="N444" s="2" t="s">
        <v>27</v>
      </c>
      <c r="O444" s="2" t="s">
        <v>28</v>
      </c>
      <c r="P444" s="2" t="s">
        <v>57</v>
      </c>
      <c r="Q444" s="6" t="s">
        <v>39</v>
      </c>
    </row>
    <row r="445" spans="1:17">
      <c r="A445" s="3" t="s">
        <v>1394</v>
      </c>
      <c r="B445" s="4" t="s">
        <v>60</v>
      </c>
      <c r="C445" s="4" t="s">
        <v>1395</v>
      </c>
      <c r="D445" s="4" t="s">
        <v>1396</v>
      </c>
      <c r="E445" s="4" t="s">
        <v>78</v>
      </c>
      <c r="F445" s="4" t="s">
        <v>166</v>
      </c>
      <c r="G445" s="4" t="s">
        <v>46</v>
      </c>
      <c r="H445" s="4" t="s">
        <v>86</v>
      </c>
      <c r="I445" s="4" t="s">
        <v>80</v>
      </c>
      <c r="J445" s="4">
        <v>22.3</v>
      </c>
      <c r="K445" s="4">
        <v>8</v>
      </c>
      <c r="L445" s="4" t="s">
        <v>27</v>
      </c>
      <c r="M445" s="4">
        <v>1</v>
      </c>
      <c r="N445" s="4" t="s">
        <v>26</v>
      </c>
      <c r="O445" s="4" t="s">
        <v>28</v>
      </c>
      <c r="P445" s="4" t="s">
        <v>57</v>
      </c>
      <c r="Q445" s="5" t="s">
        <v>58</v>
      </c>
    </row>
    <row r="446" spans="1:17">
      <c r="A446" s="1" t="s">
        <v>1397</v>
      </c>
      <c r="B446" s="2" t="s">
        <v>135</v>
      </c>
      <c r="C446" s="2" t="s">
        <v>1398</v>
      </c>
      <c r="D446" s="2" t="s">
        <v>1399</v>
      </c>
      <c r="E446" s="2" t="s">
        <v>78</v>
      </c>
      <c r="F446" s="2" t="s">
        <v>191</v>
      </c>
      <c r="G446" s="2" t="s">
        <v>46</v>
      </c>
      <c r="H446" s="2" t="s">
        <v>234</v>
      </c>
      <c r="I446" s="2" t="s">
        <v>38</v>
      </c>
      <c r="J446" s="2">
        <v>9.3000000000000007</v>
      </c>
      <c r="K446" s="2">
        <v>8</v>
      </c>
      <c r="L446" s="2" t="s">
        <v>27</v>
      </c>
      <c r="M446" s="2">
        <v>1</v>
      </c>
      <c r="N446" s="2" t="s">
        <v>27</v>
      </c>
      <c r="O446" s="2" t="s">
        <v>28</v>
      </c>
      <c r="P446" s="2" t="s">
        <v>57</v>
      </c>
      <c r="Q446" s="6" t="s">
        <v>39</v>
      </c>
    </row>
    <row r="447" spans="1:17">
      <c r="A447" s="3" t="s">
        <v>1400</v>
      </c>
      <c r="B447" s="4" t="s">
        <v>32</v>
      </c>
      <c r="C447" s="4" t="s">
        <v>1401</v>
      </c>
      <c r="D447" s="4" t="s">
        <v>1402</v>
      </c>
      <c r="E447" s="4" t="s">
        <v>35</v>
      </c>
      <c r="F447" s="4" t="s">
        <v>127</v>
      </c>
      <c r="G447" s="4" t="s">
        <v>46</v>
      </c>
      <c r="H447" s="4" t="s">
        <v>24</v>
      </c>
      <c r="I447" s="4" t="s">
        <v>56</v>
      </c>
      <c r="J447" s="4">
        <v>12.3</v>
      </c>
      <c r="K447" s="4">
        <v>8</v>
      </c>
      <c r="L447" s="4" t="s">
        <v>27</v>
      </c>
      <c r="M447" s="4">
        <v>3</v>
      </c>
      <c r="N447" s="4" t="s">
        <v>27</v>
      </c>
      <c r="O447" s="4" t="s">
        <v>28</v>
      </c>
      <c r="P447" s="4" t="s">
        <v>57</v>
      </c>
      <c r="Q447" s="5" t="s">
        <v>58</v>
      </c>
    </row>
    <row r="448" spans="1:17">
      <c r="A448" s="1" t="s">
        <v>1403</v>
      </c>
      <c r="B448" s="2" t="s">
        <v>75</v>
      </c>
      <c r="C448" s="2" t="s">
        <v>1404</v>
      </c>
      <c r="D448" s="2" t="s">
        <v>1405</v>
      </c>
      <c r="E448" s="2" t="s">
        <v>78</v>
      </c>
      <c r="F448" s="2" t="s">
        <v>166</v>
      </c>
      <c r="G448" s="2" t="s">
        <v>54</v>
      </c>
      <c r="H448" s="2" t="s">
        <v>64</v>
      </c>
      <c r="I448" s="2" t="s">
        <v>80</v>
      </c>
      <c r="J448" s="2">
        <v>12.7</v>
      </c>
      <c r="K448" s="2">
        <v>4</v>
      </c>
      <c r="L448" s="2" t="s">
        <v>27</v>
      </c>
      <c r="M448" s="2">
        <v>2</v>
      </c>
      <c r="N448" s="2" t="s">
        <v>27</v>
      </c>
      <c r="O448" s="2" t="s">
        <v>28</v>
      </c>
      <c r="P448" s="2" t="s">
        <v>1670</v>
      </c>
      <c r="Q448" s="6" t="s">
        <v>101</v>
      </c>
    </row>
    <row r="449" spans="1:17">
      <c r="A449" s="3" t="s">
        <v>1406</v>
      </c>
      <c r="B449" s="4" t="s">
        <v>75</v>
      </c>
      <c r="C449" s="4" t="s">
        <v>1407</v>
      </c>
      <c r="D449" s="4" t="s">
        <v>1408</v>
      </c>
      <c r="E449" s="4" t="s">
        <v>78</v>
      </c>
      <c r="F449" s="4" t="s">
        <v>79</v>
      </c>
      <c r="G449" s="4" t="s">
        <v>54</v>
      </c>
      <c r="H449" s="4" t="s">
        <v>91</v>
      </c>
      <c r="I449" s="4" t="s">
        <v>80</v>
      </c>
      <c r="J449" s="4">
        <v>20.399999999999999</v>
      </c>
      <c r="K449" s="4">
        <v>4</v>
      </c>
      <c r="L449" s="4" t="s">
        <v>27</v>
      </c>
      <c r="M449" s="4">
        <v>1</v>
      </c>
      <c r="N449" s="4" t="s">
        <v>26</v>
      </c>
      <c r="O449" s="4" t="s">
        <v>28</v>
      </c>
      <c r="P449" s="4" t="s">
        <v>57</v>
      </c>
      <c r="Q449" s="5" t="s">
        <v>39</v>
      </c>
    </row>
    <row r="450" spans="1:17">
      <c r="A450" s="1" t="s">
        <v>1409</v>
      </c>
      <c r="B450" s="2" t="s">
        <v>66</v>
      </c>
      <c r="C450" s="2" t="s">
        <v>1410</v>
      </c>
      <c r="D450" s="2" t="s">
        <v>1411</v>
      </c>
      <c r="E450" s="2" t="s">
        <v>35</v>
      </c>
      <c r="F450" s="2" t="s">
        <v>53</v>
      </c>
      <c r="G450" s="2" t="s">
        <v>46</v>
      </c>
      <c r="H450" s="2" t="s">
        <v>70</v>
      </c>
      <c r="I450" s="2" t="s">
        <v>56</v>
      </c>
      <c r="J450" s="2">
        <v>8.6</v>
      </c>
      <c r="K450" s="2">
        <v>8</v>
      </c>
      <c r="L450" s="2" t="s">
        <v>27</v>
      </c>
      <c r="M450" s="2">
        <v>1</v>
      </c>
      <c r="N450" s="2" t="s">
        <v>27</v>
      </c>
      <c r="O450" s="2" t="s">
        <v>28</v>
      </c>
      <c r="P450" s="2" t="s">
        <v>57</v>
      </c>
      <c r="Q450" s="6" t="s">
        <v>30</v>
      </c>
    </row>
    <row r="451" spans="1:17">
      <c r="A451" s="3" t="s">
        <v>1412</v>
      </c>
      <c r="B451" s="4" t="s">
        <v>121</v>
      </c>
      <c r="C451" s="4" t="s">
        <v>1413</v>
      </c>
      <c r="D451" s="4" t="s">
        <v>1019</v>
      </c>
      <c r="E451" s="4" t="s">
        <v>21</v>
      </c>
      <c r="F451" s="4" t="s">
        <v>69</v>
      </c>
      <c r="G451" s="4" t="s">
        <v>46</v>
      </c>
      <c r="H451" s="4" t="s">
        <v>47</v>
      </c>
      <c r="I451" s="4" t="s">
        <v>25</v>
      </c>
      <c r="J451" s="4">
        <v>8.1999999999999993</v>
      </c>
      <c r="K451" s="4">
        <v>8</v>
      </c>
      <c r="L451" s="4" t="s">
        <v>27</v>
      </c>
      <c r="M451" s="4">
        <v>1</v>
      </c>
      <c r="N451" s="4" t="s">
        <v>27</v>
      </c>
      <c r="O451" s="4" t="s">
        <v>28</v>
      </c>
      <c r="P451" s="4" t="s">
        <v>57</v>
      </c>
      <c r="Q451" s="5" t="s">
        <v>101</v>
      </c>
    </row>
    <row r="452" spans="1:17">
      <c r="A452" s="1" t="s">
        <v>1414</v>
      </c>
      <c r="B452" s="2" t="s">
        <v>50</v>
      </c>
      <c r="C452" s="2" t="s">
        <v>1415</v>
      </c>
      <c r="D452" s="2" t="s">
        <v>1416</v>
      </c>
      <c r="E452" s="2" t="s">
        <v>35</v>
      </c>
      <c r="F452" s="2" t="s">
        <v>127</v>
      </c>
      <c r="G452" s="2" t="s">
        <v>23</v>
      </c>
      <c r="H452" s="2" t="s">
        <v>37</v>
      </c>
      <c r="I452" s="2" t="s">
        <v>56</v>
      </c>
      <c r="J452" s="2">
        <v>6.3</v>
      </c>
      <c r="K452" s="2">
        <v>24</v>
      </c>
      <c r="L452" s="2" t="s">
        <v>26</v>
      </c>
      <c r="M452" s="2">
        <v>5</v>
      </c>
      <c r="N452" s="2" t="s">
        <v>27</v>
      </c>
      <c r="O452" s="2" t="s">
        <v>28</v>
      </c>
      <c r="P452" s="2" t="s">
        <v>29</v>
      </c>
      <c r="Q452" s="6" t="s">
        <v>30</v>
      </c>
    </row>
    <row r="453" spans="1:17">
      <c r="A453" s="3" t="s">
        <v>1417</v>
      </c>
      <c r="B453" s="4" t="s">
        <v>50</v>
      </c>
      <c r="C453" s="4" t="s">
        <v>1418</v>
      </c>
      <c r="D453" s="4" t="s">
        <v>1419</v>
      </c>
      <c r="E453" s="4" t="s">
        <v>78</v>
      </c>
      <c r="F453" s="4" t="s">
        <v>191</v>
      </c>
      <c r="G453" s="4" t="s">
        <v>46</v>
      </c>
      <c r="H453" s="4" t="s">
        <v>24</v>
      </c>
      <c r="I453" s="4" t="s">
        <v>38</v>
      </c>
      <c r="J453" s="4">
        <v>20.100000000000001</v>
      </c>
      <c r="K453" s="4">
        <v>8</v>
      </c>
      <c r="L453" s="4" t="s">
        <v>27</v>
      </c>
      <c r="M453" s="4">
        <v>3</v>
      </c>
      <c r="N453" s="4" t="s">
        <v>27</v>
      </c>
      <c r="O453" s="4" t="s">
        <v>28</v>
      </c>
      <c r="P453" s="4" t="s">
        <v>1670</v>
      </c>
      <c r="Q453" s="5" t="s">
        <v>101</v>
      </c>
    </row>
    <row r="454" spans="1:17">
      <c r="A454" s="1" t="s">
        <v>1420</v>
      </c>
      <c r="B454" s="2" t="s">
        <v>50</v>
      </c>
      <c r="C454" s="2" t="s">
        <v>1421</v>
      </c>
      <c r="D454" s="2" t="s">
        <v>1422</v>
      </c>
      <c r="E454" s="2" t="s">
        <v>78</v>
      </c>
      <c r="F454" s="2" t="s">
        <v>79</v>
      </c>
      <c r="G454" s="2" t="s">
        <v>46</v>
      </c>
      <c r="H454" s="2" t="s">
        <v>64</v>
      </c>
      <c r="I454" s="2" t="s">
        <v>80</v>
      </c>
      <c r="J454" s="2">
        <v>7.1</v>
      </c>
      <c r="K454" s="2">
        <v>8</v>
      </c>
      <c r="L454" s="2" t="s">
        <v>26</v>
      </c>
      <c r="M454" s="2">
        <v>5</v>
      </c>
      <c r="N454" s="2" t="s">
        <v>27</v>
      </c>
      <c r="O454" s="2" t="s">
        <v>28</v>
      </c>
      <c r="P454" s="2" t="s">
        <v>29</v>
      </c>
      <c r="Q454" s="6" t="s">
        <v>101</v>
      </c>
    </row>
    <row r="455" spans="1:17">
      <c r="A455" s="3" t="s">
        <v>1423</v>
      </c>
      <c r="B455" s="4" t="s">
        <v>32</v>
      </c>
      <c r="C455" s="4" t="s">
        <v>1424</v>
      </c>
      <c r="D455" s="4" t="s">
        <v>1425</v>
      </c>
      <c r="E455" s="4" t="s">
        <v>78</v>
      </c>
      <c r="F455" s="4" t="s">
        <v>191</v>
      </c>
      <c r="G455" s="4" t="s">
        <v>46</v>
      </c>
      <c r="H455" s="4" t="s">
        <v>55</v>
      </c>
      <c r="I455" s="4" t="s">
        <v>38</v>
      </c>
      <c r="J455" s="4">
        <v>12.6</v>
      </c>
      <c r="K455" s="4">
        <v>8</v>
      </c>
      <c r="L455" s="4" t="s">
        <v>27</v>
      </c>
      <c r="M455" s="4">
        <v>1</v>
      </c>
      <c r="N455" s="4" t="s">
        <v>27</v>
      </c>
      <c r="O455" s="4" t="s">
        <v>28</v>
      </c>
      <c r="P455" s="4" t="s">
        <v>1670</v>
      </c>
      <c r="Q455" s="5" t="s">
        <v>101</v>
      </c>
    </row>
    <row r="456" spans="1:17">
      <c r="A456" s="1" t="s">
        <v>1426</v>
      </c>
      <c r="B456" s="2" t="s">
        <v>135</v>
      </c>
      <c r="C456" s="2" t="s">
        <v>1427</v>
      </c>
      <c r="D456" s="2" t="s">
        <v>1428</v>
      </c>
      <c r="E456" s="2" t="s">
        <v>21</v>
      </c>
      <c r="F456" s="2" t="s">
        <v>69</v>
      </c>
      <c r="G456" s="2" t="s">
        <v>46</v>
      </c>
      <c r="H456" s="2" t="s">
        <v>91</v>
      </c>
      <c r="I456" s="2" t="s">
        <v>25</v>
      </c>
      <c r="J456" s="2">
        <v>14.1</v>
      </c>
      <c r="K456" s="2">
        <v>8</v>
      </c>
      <c r="L456" s="2" t="s">
        <v>27</v>
      </c>
      <c r="M456" s="2">
        <v>1</v>
      </c>
      <c r="N456" s="2" t="s">
        <v>27</v>
      </c>
      <c r="O456" s="2" t="s">
        <v>28</v>
      </c>
      <c r="P456" s="2" t="s">
        <v>1670</v>
      </c>
      <c r="Q456" s="6" t="s">
        <v>30</v>
      </c>
    </row>
    <row r="457" spans="1:17">
      <c r="A457" s="3" t="s">
        <v>1429</v>
      </c>
      <c r="B457" s="4" t="s">
        <v>135</v>
      </c>
      <c r="C457" s="4" t="s">
        <v>1430</v>
      </c>
      <c r="D457" s="4" t="s">
        <v>1431</v>
      </c>
      <c r="E457" s="4" t="s">
        <v>35</v>
      </c>
      <c r="F457" s="4" t="s">
        <v>53</v>
      </c>
      <c r="G457" s="4" t="s">
        <v>23</v>
      </c>
      <c r="H457" s="4" t="s">
        <v>47</v>
      </c>
      <c r="I457" s="4" t="s">
        <v>56</v>
      </c>
      <c r="J457" s="4">
        <v>7.3</v>
      </c>
      <c r="K457" s="4">
        <v>24</v>
      </c>
      <c r="L457" s="4" t="s">
        <v>26</v>
      </c>
      <c r="M457" s="4">
        <v>4</v>
      </c>
      <c r="N457" s="4" t="s">
        <v>27</v>
      </c>
      <c r="O457" s="4" t="s">
        <v>28</v>
      </c>
      <c r="P457" s="4" t="s">
        <v>29</v>
      </c>
      <c r="Q457" s="5" t="s">
        <v>58</v>
      </c>
    </row>
    <row r="458" spans="1:17">
      <c r="A458" s="1" t="s">
        <v>1432</v>
      </c>
      <c r="B458" s="2" t="s">
        <v>60</v>
      </c>
      <c r="C458" s="2" t="s">
        <v>1433</v>
      </c>
      <c r="D458" s="2" t="s">
        <v>1434</v>
      </c>
      <c r="E458" s="2" t="s">
        <v>78</v>
      </c>
      <c r="F458" s="2" t="s">
        <v>191</v>
      </c>
      <c r="G458" s="2" t="s">
        <v>54</v>
      </c>
      <c r="H458" s="2" t="s">
        <v>138</v>
      </c>
      <c r="I458" s="2" t="s">
        <v>38</v>
      </c>
      <c r="J458" s="2">
        <v>19.3</v>
      </c>
      <c r="K458" s="2">
        <v>4</v>
      </c>
      <c r="L458" s="2" t="s">
        <v>27</v>
      </c>
      <c r="M458" s="2">
        <v>3</v>
      </c>
      <c r="N458" s="2" t="s">
        <v>27</v>
      </c>
      <c r="O458" s="2" t="s">
        <v>28</v>
      </c>
      <c r="P458" s="2" t="s">
        <v>57</v>
      </c>
      <c r="Q458" s="6" t="s">
        <v>39</v>
      </c>
    </row>
    <row r="459" spans="1:17">
      <c r="A459" s="3" t="s">
        <v>1435</v>
      </c>
      <c r="B459" s="4" t="s">
        <v>60</v>
      </c>
      <c r="C459" s="4" t="s">
        <v>1436</v>
      </c>
      <c r="D459" s="4" t="s">
        <v>1437</v>
      </c>
      <c r="E459" s="4" t="s">
        <v>21</v>
      </c>
      <c r="F459" s="4" t="s">
        <v>63</v>
      </c>
      <c r="G459" s="4" t="s">
        <v>23</v>
      </c>
      <c r="H459" s="4" t="s">
        <v>47</v>
      </c>
      <c r="I459" s="4" t="s">
        <v>25</v>
      </c>
      <c r="J459" s="4">
        <v>9.9</v>
      </c>
      <c r="K459" s="4">
        <v>24</v>
      </c>
      <c r="L459" s="4" t="s">
        <v>27</v>
      </c>
      <c r="M459" s="4">
        <v>3</v>
      </c>
      <c r="N459" s="4" t="s">
        <v>26</v>
      </c>
      <c r="O459" s="4" t="s">
        <v>28</v>
      </c>
      <c r="P459" s="4" t="s">
        <v>1670</v>
      </c>
      <c r="Q459" s="5" t="s">
        <v>39</v>
      </c>
    </row>
    <row r="460" spans="1:17">
      <c r="A460" s="1" t="s">
        <v>1438</v>
      </c>
      <c r="B460" s="2" t="s">
        <v>50</v>
      </c>
      <c r="C460" s="2" t="s">
        <v>1439</v>
      </c>
      <c r="D460" s="2" t="s">
        <v>1440</v>
      </c>
      <c r="E460" s="2" t="s">
        <v>21</v>
      </c>
      <c r="F460" s="2" t="s">
        <v>22</v>
      </c>
      <c r="G460" s="2" t="s">
        <v>54</v>
      </c>
      <c r="H460" s="2" t="s">
        <v>55</v>
      </c>
      <c r="I460" s="2" t="s">
        <v>25</v>
      </c>
      <c r="J460" s="2">
        <v>9.5</v>
      </c>
      <c r="K460" s="2">
        <v>4</v>
      </c>
      <c r="L460" s="2" t="s">
        <v>27</v>
      </c>
      <c r="M460" s="2">
        <v>2</v>
      </c>
      <c r="N460" s="2" t="s">
        <v>26</v>
      </c>
      <c r="O460" s="2" t="s">
        <v>28</v>
      </c>
      <c r="P460" s="2" t="s">
        <v>1670</v>
      </c>
      <c r="Q460" s="6" t="s">
        <v>39</v>
      </c>
    </row>
    <row r="461" spans="1:17">
      <c r="A461" s="3" t="s">
        <v>1441</v>
      </c>
      <c r="B461" s="4" t="s">
        <v>135</v>
      </c>
      <c r="C461" s="4" t="s">
        <v>1442</v>
      </c>
      <c r="D461" s="4" t="s">
        <v>1443</v>
      </c>
      <c r="E461" s="4" t="s">
        <v>35</v>
      </c>
      <c r="F461" s="4" t="s">
        <v>127</v>
      </c>
      <c r="G461" s="4" t="s">
        <v>54</v>
      </c>
      <c r="H461" s="4" t="s">
        <v>70</v>
      </c>
      <c r="I461" s="4" t="s">
        <v>56</v>
      </c>
      <c r="J461" s="4">
        <v>4.9000000000000004</v>
      </c>
      <c r="K461" s="4">
        <v>4</v>
      </c>
      <c r="L461" s="4" t="s">
        <v>27</v>
      </c>
      <c r="M461" s="4">
        <v>2</v>
      </c>
      <c r="N461" s="4" t="s">
        <v>26</v>
      </c>
      <c r="O461" s="4" t="s">
        <v>28</v>
      </c>
      <c r="P461" s="4" t="s">
        <v>57</v>
      </c>
      <c r="Q461" s="5" t="s">
        <v>58</v>
      </c>
    </row>
    <row r="462" spans="1:17">
      <c r="A462" s="1" t="s">
        <v>1444</v>
      </c>
      <c r="B462" s="2" t="s">
        <v>135</v>
      </c>
      <c r="C462" s="2" t="s">
        <v>1445</v>
      </c>
      <c r="D462" s="2" t="s">
        <v>1446</v>
      </c>
      <c r="E462" s="2" t="s">
        <v>21</v>
      </c>
      <c r="F462" s="2" t="s">
        <v>63</v>
      </c>
      <c r="G462" s="2" t="s">
        <v>23</v>
      </c>
      <c r="H462" s="2" t="s">
        <v>234</v>
      </c>
      <c r="I462" s="2" t="s">
        <v>25</v>
      </c>
      <c r="J462" s="2">
        <v>15</v>
      </c>
      <c r="K462" s="2">
        <v>24</v>
      </c>
      <c r="L462" s="2" t="s">
        <v>26</v>
      </c>
      <c r="M462" s="2">
        <v>4</v>
      </c>
      <c r="N462" s="2" t="s">
        <v>27</v>
      </c>
      <c r="O462" s="2" t="s">
        <v>28</v>
      </c>
      <c r="P462" s="2" t="s">
        <v>29</v>
      </c>
      <c r="Q462" s="6" t="s">
        <v>58</v>
      </c>
    </row>
    <row r="463" spans="1:17">
      <c r="A463" s="3" t="s">
        <v>1447</v>
      </c>
      <c r="B463" s="4" t="s">
        <v>75</v>
      </c>
      <c r="C463" s="4" t="s">
        <v>1448</v>
      </c>
      <c r="D463" s="4" t="s">
        <v>1449</v>
      </c>
      <c r="E463" s="4" t="s">
        <v>21</v>
      </c>
      <c r="F463" s="4" t="s">
        <v>63</v>
      </c>
      <c r="G463" s="4" t="s">
        <v>46</v>
      </c>
      <c r="H463" s="4" t="s">
        <v>37</v>
      </c>
      <c r="I463" s="4" t="s">
        <v>25</v>
      </c>
      <c r="J463" s="4">
        <v>7.4</v>
      </c>
      <c r="K463" s="4">
        <v>8</v>
      </c>
      <c r="L463" s="4" t="s">
        <v>26</v>
      </c>
      <c r="M463" s="4">
        <v>4</v>
      </c>
      <c r="N463" s="4" t="s">
        <v>27</v>
      </c>
      <c r="O463" s="4" t="s">
        <v>28</v>
      </c>
      <c r="P463" s="4" t="s">
        <v>29</v>
      </c>
      <c r="Q463" s="5" t="s">
        <v>101</v>
      </c>
    </row>
    <row r="464" spans="1:17">
      <c r="A464" s="1" t="s">
        <v>1450</v>
      </c>
      <c r="B464" s="2" t="s">
        <v>41</v>
      </c>
      <c r="C464" s="2" t="s">
        <v>1451</v>
      </c>
      <c r="D464" s="2" t="s">
        <v>1452</v>
      </c>
      <c r="E464" s="2" t="s">
        <v>35</v>
      </c>
      <c r="F464" s="2" t="s">
        <v>53</v>
      </c>
      <c r="G464" s="2" t="s">
        <v>46</v>
      </c>
      <c r="H464" s="2" t="s">
        <v>55</v>
      </c>
      <c r="I464" s="2" t="s">
        <v>56</v>
      </c>
      <c r="J464" s="2">
        <v>11.7</v>
      </c>
      <c r="K464" s="2">
        <v>8</v>
      </c>
      <c r="L464" s="2" t="s">
        <v>27</v>
      </c>
      <c r="M464" s="2">
        <v>3</v>
      </c>
      <c r="N464" s="2" t="s">
        <v>26</v>
      </c>
      <c r="O464" s="2" t="s">
        <v>28</v>
      </c>
      <c r="P464" s="2" t="s">
        <v>1670</v>
      </c>
      <c r="Q464" s="6" t="s">
        <v>101</v>
      </c>
    </row>
    <row r="465" spans="1:17">
      <c r="A465" s="3" t="s">
        <v>1453</v>
      </c>
      <c r="B465" s="4" t="s">
        <v>32</v>
      </c>
      <c r="C465" s="4" t="s">
        <v>1454</v>
      </c>
      <c r="D465" s="4" t="s">
        <v>1455</v>
      </c>
      <c r="E465" s="4" t="s">
        <v>44</v>
      </c>
      <c r="F465" s="4" t="s">
        <v>45</v>
      </c>
      <c r="G465" s="4" t="s">
        <v>23</v>
      </c>
      <c r="H465" s="4" t="s">
        <v>37</v>
      </c>
      <c r="I465" s="4" t="s">
        <v>48</v>
      </c>
      <c r="J465" s="4">
        <v>2</v>
      </c>
      <c r="K465" s="4">
        <v>24</v>
      </c>
      <c r="L465" s="4" t="s">
        <v>26</v>
      </c>
      <c r="M465" s="4">
        <v>5</v>
      </c>
      <c r="N465" s="4" t="s">
        <v>27</v>
      </c>
      <c r="O465" s="4" t="s">
        <v>28</v>
      </c>
      <c r="P465" s="4" t="s">
        <v>29</v>
      </c>
      <c r="Q465" s="5" t="s">
        <v>101</v>
      </c>
    </row>
    <row r="466" spans="1:17">
      <c r="A466" s="1" t="s">
        <v>1456</v>
      </c>
      <c r="B466" s="2" t="s">
        <v>32</v>
      </c>
      <c r="C466" s="2" t="s">
        <v>1457</v>
      </c>
      <c r="D466" s="2" t="s">
        <v>1458</v>
      </c>
      <c r="E466" s="2" t="s">
        <v>84</v>
      </c>
      <c r="F466" s="2" t="s">
        <v>116</v>
      </c>
      <c r="G466" s="2" t="s">
        <v>46</v>
      </c>
      <c r="H466" s="2" t="s">
        <v>138</v>
      </c>
      <c r="I466" s="2" t="s">
        <v>87</v>
      </c>
      <c r="J466" s="2">
        <v>8.6999999999999993</v>
      </c>
      <c r="K466" s="2">
        <v>8</v>
      </c>
      <c r="L466" s="2" t="s">
        <v>27</v>
      </c>
      <c r="M466" s="2">
        <v>2</v>
      </c>
      <c r="N466" s="2" t="s">
        <v>26</v>
      </c>
      <c r="O466" s="2" t="s">
        <v>28</v>
      </c>
      <c r="P466" s="2" t="s">
        <v>57</v>
      </c>
      <c r="Q466" s="6" t="s">
        <v>58</v>
      </c>
    </row>
    <row r="467" spans="1:17">
      <c r="A467" s="3" t="s">
        <v>1459</v>
      </c>
      <c r="B467" s="4" t="s">
        <v>75</v>
      </c>
      <c r="C467" s="4" t="s">
        <v>1460</v>
      </c>
      <c r="D467" s="4" t="s">
        <v>1461</v>
      </c>
      <c r="E467" s="4" t="s">
        <v>35</v>
      </c>
      <c r="F467" s="4" t="s">
        <v>127</v>
      </c>
      <c r="G467" s="4" t="s">
        <v>23</v>
      </c>
      <c r="H467" s="4" t="s">
        <v>24</v>
      </c>
      <c r="I467" s="4" t="s">
        <v>56</v>
      </c>
      <c r="J467" s="4">
        <v>15.6</v>
      </c>
      <c r="K467" s="4">
        <v>24</v>
      </c>
      <c r="L467" s="4" t="s">
        <v>27</v>
      </c>
      <c r="M467" s="4">
        <v>2</v>
      </c>
      <c r="N467" s="4" t="s">
        <v>27</v>
      </c>
      <c r="O467" s="4" t="s">
        <v>28</v>
      </c>
      <c r="P467" s="4" t="s">
        <v>57</v>
      </c>
      <c r="Q467" s="5" t="s">
        <v>39</v>
      </c>
    </row>
    <row r="468" spans="1:17">
      <c r="A468" s="1" t="s">
        <v>1462</v>
      </c>
      <c r="B468" s="2" t="s">
        <v>135</v>
      </c>
      <c r="C468" s="2" t="s">
        <v>1463</v>
      </c>
      <c r="D468" s="2" t="s">
        <v>1464</v>
      </c>
      <c r="E468" s="2" t="s">
        <v>21</v>
      </c>
      <c r="F468" s="2" t="s">
        <v>63</v>
      </c>
      <c r="G468" s="2" t="s">
        <v>23</v>
      </c>
      <c r="H468" s="2" t="s">
        <v>70</v>
      </c>
      <c r="I468" s="2" t="s">
        <v>25</v>
      </c>
      <c r="J468" s="2">
        <v>11.2</v>
      </c>
      <c r="K468" s="2">
        <v>24</v>
      </c>
      <c r="L468" s="2" t="s">
        <v>26</v>
      </c>
      <c r="M468" s="2">
        <v>5</v>
      </c>
      <c r="N468" s="2" t="s">
        <v>27</v>
      </c>
      <c r="O468" s="2" t="s">
        <v>28</v>
      </c>
      <c r="P468" s="2" t="s">
        <v>29</v>
      </c>
      <c r="Q468" s="6" t="s">
        <v>58</v>
      </c>
    </row>
    <row r="469" spans="1:17">
      <c r="A469" s="3" t="s">
        <v>1465</v>
      </c>
      <c r="B469" s="4" t="s">
        <v>32</v>
      </c>
      <c r="C469" s="4" t="s">
        <v>1466</v>
      </c>
      <c r="D469" s="4" t="s">
        <v>1467</v>
      </c>
      <c r="E469" s="4" t="s">
        <v>21</v>
      </c>
      <c r="F469" s="4" t="s">
        <v>69</v>
      </c>
      <c r="G469" s="4" t="s">
        <v>23</v>
      </c>
      <c r="H469" s="4" t="s">
        <v>91</v>
      </c>
      <c r="I469" s="4" t="s">
        <v>25</v>
      </c>
      <c r="J469" s="4">
        <v>8.1999999999999993</v>
      </c>
      <c r="K469" s="4">
        <v>24</v>
      </c>
      <c r="L469" s="4" t="s">
        <v>26</v>
      </c>
      <c r="M469" s="4">
        <v>5</v>
      </c>
      <c r="N469" s="4" t="s">
        <v>27</v>
      </c>
      <c r="O469" s="4" t="s">
        <v>28</v>
      </c>
      <c r="P469" s="4" t="s">
        <v>29</v>
      </c>
      <c r="Q469" s="5" t="s">
        <v>101</v>
      </c>
    </row>
    <row r="470" spans="1:17">
      <c r="A470" s="1" t="s">
        <v>1468</v>
      </c>
      <c r="B470" s="2" t="s">
        <v>75</v>
      </c>
      <c r="C470" s="2" t="s">
        <v>1469</v>
      </c>
      <c r="D470" s="2" t="s">
        <v>1470</v>
      </c>
      <c r="E470" s="2" t="s">
        <v>21</v>
      </c>
      <c r="F470" s="2" t="s">
        <v>22</v>
      </c>
      <c r="G470" s="2" t="s">
        <v>46</v>
      </c>
      <c r="H470" s="2" t="s">
        <v>86</v>
      </c>
      <c r="I470" s="2" t="s">
        <v>25</v>
      </c>
      <c r="J470" s="2">
        <v>12.1</v>
      </c>
      <c r="K470" s="2">
        <v>8</v>
      </c>
      <c r="L470" s="2" t="s">
        <v>27</v>
      </c>
      <c r="M470" s="2">
        <v>3</v>
      </c>
      <c r="N470" s="2" t="s">
        <v>27</v>
      </c>
      <c r="O470" s="2" t="s">
        <v>28</v>
      </c>
      <c r="P470" s="2" t="s">
        <v>1670</v>
      </c>
      <c r="Q470" s="6" t="s">
        <v>58</v>
      </c>
    </row>
    <row r="471" spans="1:17">
      <c r="A471" s="3" t="s">
        <v>1471</v>
      </c>
      <c r="B471" s="4" t="s">
        <v>121</v>
      </c>
      <c r="C471" s="4" t="s">
        <v>1472</v>
      </c>
      <c r="D471" s="4" t="s">
        <v>1473</v>
      </c>
      <c r="E471" s="4" t="s">
        <v>78</v>
      </c>
      <c r="F471" s="4" t="s">
        <v>166</v>
      </c>
      <c r="G471" s="4" t="s">
        <v>23</v>
      </c>
      <c r="H471" s="4" t="s">
        <v>47</v>
      </c>
      <c r="I471" s="4" t="s">
        <v>80</v>
      </c>
      <c r="J471" s="4">
        <v>14.8</v>
      </c>
      <c r="K471" s="4">
        <v>24</v>
      </c>
      <c r="L471" s="4" t="s">
        <v>26</v>
      </c>
      <c r="M471" s="4">
        <v>4</v>
      </c>
      <c r="N471" s="4" t="s">
        <v>27</v>
      </c>
      <c r="O471" s="4" t="s">
        <v>28</v>
      </c>
      <c r="P471" s="4" t="s">
        <v>29</v>
      </c>
      <c r="Q471" s="5" t="s">
        <v>101</v>
      </c>
    </row>
    <row r="472" spans="1:17">
      <c r="A472" s="1" t="s">
        <v>1474</v>
      </c>
      <c r="B472" s="2" t="s">
        <v>32</v>
      </c>
      <c r="C472" s="2" t="s">
        <v>1475</v>
      </c>
      <c r="D472" s="2" t="s">
        <v>1476</v>
      </c>
      <c r="E472" s="2" t="s">
        <v>84</v>
      </c>
      <c r="F472" s="2" t="s">
        <v>116</v>
      </c>
      <c r="G472" s="2" t="s">
        <v>23</v>
      </c>
      <c r="H472" s="2" t="s">
        <v>55</v>
      </c>
      <c r="I472" s="2" t="s">
        <v>87</v>
      </c>
      <c r="J472" s="2">
        <v>7.3</v>
      </c>
      <c r="K472" s="2">
        <v>24</v>
      </c>
      <c r="L472" s="2" t="s">
        <v>26</v>
      </c>
      <c r="M472" s="2">
        <v>4</v>
      </c>
      <c r="N472" s="2" t="s">
        <v>27</v>
      </c>
      <c r="O472" s="2" t="s">
        <v>28</v>
      </c>
      <c r="P472" s="2" t="s">
        <v>29</v>
      </c>
      <c r="Q472" s="6" t="s">
        <v>30</v>
      </c>
    </row>
    <row r="473" spans="1:17">
      <c r="A473" s="3" t="s">
        <v>1477</v>
      </c>
      <c r="B473" s="4" t="s">
        <v>75</v>
      </c>
      <c r="C473" s="4" t="s">
        <v>1478</v>
      </c>
      <c r="D473" s="4" t="s">
        <v>1479</v>
      </c>
      <c r="E473" s="4" t="s">
        <v>78</v>
      </c>
      <c r="F473" s="4" t="s">
        <v>166</v>
      </c>
      <c r="G473" s="4" t="s">
        <v>46</v>
      </c>
      <c r="H473" s="4" t="s">
        <v>234</v>
      </c>
      <c r="I473" s="4" t="s">
        <v>80</v>
      </c>
      <c r="J473" s="4">
        <v>14</v>
      </c>
      <c r="K473" s="4">
        <v>8</v>
      </c>
      <c r="L473" s="4" t="s">
        <v>27</v>
      </c>
      <c r="M473" s="4">
        <v>3</v>
      </c>
      <c r="N473" s="4" t="s">
        <v>27</v>
      </c>
      <c r="O473" s="4" t="s">
        <v>28</v>
      </c>
      <c r="P473" s="4" t="s">
        <v>57</v>
      </c>
      <c r="Q473" s="5" t="s">
        <v>39</v>
      </c>
    </row>
    <row r="474" spans="1:17">
      <c r="A474" s="1" t="s">
        <v>1480</v>
      </c>
      <c r="B474" s="2" t="s">
        <v>121</v>
      </c>
      <c r="C474" s="2" t="s">
        <v>1481</v>
      </c>
      <c r="D474" s="2" t="s">
        <v>1482</v>
      </c>
      <c r="E474" s="2" t="s">
        <v>35</v>
      </c>
      <c r="F474" s="2" t="s">
        <v>127</v>
      </c>
      <c r="G474" s="2" t="s">
        <v>46</v>
      </c>
      <c r="H474" s="2" t="s">
        <v>91</v>
      </c>
      <c r="I474" s="2" t="s">
        <v>56</v>
      </c>
      <c r="J474" s="2">
        <v>9.6</v>
      </c>
      <c r="K474" s="2">
        <v>8</v>
      </c>
      <c r="L474" s="2" t="s">
        <v>27</v>
      </c>
      <c r="M474" s="2">
        <v>1</v>
      </c>
      <c r="N474" s="2" t="s">
        <v>27</v>
      </c>
      <c r="O474" s="2" t="s">
        <v>28</v>
      </c>
      <c r="P474" s="2" t="s">
        <v>1670</v>
      </c>
      <c r="Q474" s="6" t="s">
        <v>39</v>
      </c>
    </row>
    <row r="475" spans="1:17">
      <c r="A475" s="3" t="s">
        <v>1483</v>
      </c>
      <c r="B475" s="4" t="s">
        <v>18</v>
      </c>
      <c r="C475" s="4" t="s">
        <v>1484</v>
      </c>
      <c r="D475" s="4" t="s">
        <v>1485</v>
      </c>
      <c r="E475" s="4" t="s">
        <v>21</v>
      </c>
      <c r="F475" s="4" t="s">
        <v>69</v>
      </c>
      <c r="G475" s="4" t="s">
        <v>46</v>
      </c>
      <c r="H475" s="4" t="s">
        <v>24</v>
      </c>
      <c r="I475" s="4" t="s">
        <v>25</v>
      </c>
      <c r="J475" s="4">
        <v>20.8</v>
      </c>
      <c r="K475" s="4">
        <v>8</v>
      </c>
      <c r="L475" s="4" t="s">
        <v>27</v>
      </c>
      <c r="M475" s="4">
        <v>1</v>
      </c>
      <c r="N475" s="4" t="s">
        <v>26</v>
      </c>
      <c r="O475" s="4" t="s">
        <v>28</v>
      </c>
      <c r="P475" s="4" t="s">
        <v>1670</v>
      </c>
      <c r="Q475" s="5" t="s">
        <v>101</v>
      </c>
    </row>
    <row r="476" spans="1:17">
      <c r="A476" s="1" t="s">
        <v>1486</v>
      </c>
      <c r="B476" s="2" t="s">
        <v>18</v>
      </c>
      <c r="C476" s="2" t="s">
        <v>1487</v>
      </c>
      <c r="D476" s="2" t="s">
        <v>1488</v>
      </c>
      <c r="E476" s="2" t="s">
        <v>78</v>
      </c>
      <c r="F476" s="2" t="s">
        <v>166</v>
      </c>
      <c r="G476" s="2" t="s">
        <v>54</v>
      </c>
      <c r="H476" s="2" t="s">
        <v>55</v>
      </c>
      <c r="I476" s="2" t="s">
        <v>80</v>
      </c>
      <c r="J476" s="2">
        <v>10.1</v>
      </c>
      <c r="K476" s="2">
        <v>4</v>
      </c>
      <c r="L476" s="2" t="s">
        <v>27</v>
      </c>
      <c r="M476" s="2">
        <v>3</v>
      </c>
      <c r="N476" s="2" t="s">
        <v>27</v>
      </c>
      <c r="O476" s="2" t="s">
        <v>28</v>
      </c>
      <c r="P476" s="2" t="s">
        <v>1670</v>
      </c>
      <c r="Q476" s="6" t="s">
        <v>101</v>
      </c>
    </row>
    <row r="477" spans="1:17">
      <c r="A477" s="3" t="s">
        <v>1489</v>
      </c>
      <c r="B477" s="4" t="s">
        <v>32</v>
      </c>
      <c r="C477" s="4" t="s">
        <v>1490</v>
      </c>
      <c r="D477" s="4" t="s">
        <v>1491</v>
      </c>
      <c r="E477" s="4" t="s">
        <v>78</v>
      </c>
      <c r="F477" s="4" t="s">
        <v>79</v>
      </c>
      <c r="G477" s="4" t="s">
        <v>23</v>
      </c>
      <c r="H477" s="4" t="s">
        <v>70</v>
      </c>
      <c r="I477" s="4" t="s">
        <v>80</v>
      </c>
      <c r="J477" s="4">
        <v>13.8</v>
      </c>
      <c r="K477" s="4">
        <v>24</v>
      </c>
      <c r="L477" s="4" t="s">
        <v>26</v>
      </c>
      <c r="M477" s="4">
        <v>4</v>
      </c>
      <c r="N477" s="4" t="s">
        <v>27</v>
      </c>
      <c r="O477" s="4" t="s">
        <v>28</v>
      </c>
      <c r="P477" s="4" t="s">
        <v>29</v>
      </c>
      <c r="Q477" s="5" t="s">
        <v>58</v>
      </c>
    </row>
    <row r="478" spans="1:17">
      <c r="A478" s="1" t="s">
        <v>1492</v>
      </c>
      <c r="B478" s="2" t="s">
        <v>121</v>
      </c>
      <c r="C478" s="2" t="s">
        <v>1493</v>
      </c>
      <c r="D478" s="2" t="s">
        <v>1494</v>
      </c>
      <c r="E478" s="2" t="s">
        <v>78</v>
      </c>
      <c r="F478" s="2" t="s">
        <v>166</v>
      </c>
      <c r="G478" s="2" t="s">
        <v>46</v>
      </c>
      <c r="H478" s="2" t="s">
        <v>91</v>
      </c>
      <c r="I478" s="2" t="s">
        <v>80</v>
      </c>
      <c r="J478" s="2">
        <v>22.2</v>
      </c>
      <c r="K478" s="2">
        <v>8</v>
      </c>
      <c r="L478" s="2" t="s">
        <v>27</v>
      </c>
      <c r="M478" s="2">
        <v>2</v>
      </c>
      <c r="N478" s="2" t="s">
        <v>27</v>
      </c>
      <c r="O478" s="2" t="s">
        <v>28</v>
      </c>
      <c r="P478" s="2" t="s">
        <v>1670</v>
      </c>
      <c r="Q478" s="6" t="s">
        <v>30</v>
      </c>
    </row>
    <row r="479" spans="1:17">
      <c r="A479" s="3" t="s">
        <v>1495</v>
      </c>
      <c r="B479" s="4" t="s">
        <v>106</v>
      </c>
      <c r="C479" s="4" t="s">
        <v>1496</v>
      </c>
      <c r="D479" s="4" t="s">
        <v>1497</v>
      </c>
      <c r="E479" s="4" t="s">
        <v>35</v>
      </c>
      <c r="F479" s="4" t="s">
        <v>53</v>
      </c>
      <c r="G479" s="4" t="s">
        <v>46</v>
      </c>
      <c r="H479" s="4" t="s">
        <v>37</v>
      </c>
      <c r="I479" s="4" t="s">
        <v>56</v>
      </c>
      <c r="J479" s="4">
        <v>10.8</v>
      </c>
      <c r="K479" s="4">
        <v>8</v>
      </c>
      <c r="L479" s="4" t="s">
        <v>27</v>
      </c>
      <c r="M479" s="4">
        <v>3</v>
      </c>
      <c r="N479" s="4" t="s">
        <v>27</v>
      </c>
      <c r="O479" s="4" t="s">
        <v>28</v>
      </c>
      <c r="P479" s="4" t="s">
        <v>57</v>
      </c>
      <c r="Q479" s="5" t="s">
        <v>39</v>
      </c>
    </row>
    <row r="480" spans="1:17">
      <c r="A480" s="1" t="s">
        <v>1498</v>
      </c>
      <c r="B480" s="2" t="s">
        <v>18</v>
      </c>
      <c r="C480" s="2" t="s">
        <v>1499</v>
      </c>
      <c r="D480" s="2" t="s">
        <v>489</v>
      </c>
      <c r="E480" s="2" t="s">
        <v>44</v>
      </c>
      <c r="F480" s="2" t="s">
        <v>45</v>
      </c>
      <c r="G480" s="2" t="s">
        <v>54</v>
      </c>
      <c r="H480" s="2" t="s">
        <v>91</v>
      </c>
      <c r="I480" s="2" t="s">
        <v>48</v>
      </c>
      <c r="J480" s="2">
        <v>3</v>
      </c>
      <c r="K480" s="2">
        <v>4</v>
      </c>
      <c r="L480" s="2" t="s">
        <v>26</v>
      </c>
      <c r="M480" s="2">
        <v>5</v>
      </c>
      <c r="N480" s="2" t="s">
        <v>27</v>
      </c>
      <c r="O480" s="2" t="s">
        <v>28</v>
      </c>
      <c r="P480" s="2" t="s">
        <v>29</v>
      </c>
      <c r="Q480" s="6" t="s">
        <v>101</v>
      </c>
    </row>
    <row r="481" spans="1:17">
      <c r="A481" s="3" t="s">
        <v>1500</v>
      </c>
      <c r="B481" s="4" t="s">
        <v>75</v>
      </c>
      <c r="C481" s="4" t="s">
        <v>1501</v>
      </c>
      <c r="D481" s="4" t="s">
        <v>1502</v>
      </c>
      <c r="E481" s="4" t="s">
        <v>78</v>
      </c>
      <c r="F481" s="4" t="s">
        <v>166</v>
      </c>
      <c r="G481" s="4" t="s">
        <v>23</v>
      </c>
      <c r="H481" s="4" t="s">
        <v>47</v>
      </c>
      <c r="I481" s="4" t="s">
        <v>80</v>
      </c>
      <c r="J481" s="4">
        <v>8.1</v>
      </c>
      <c r="K481" s="4">
        <v>24</v>
      </c>
      <c r="L481" s="4" t="s">
        <v>26</v>
      </c>
      <c r="M481" s="4">
        <v>4</v>
      </c>
      <c r="N481" s="4" t="s">
        <v>27</v>
      </c>
      <c r="O481" s="4" t="s">
        <v>28</v>
      </c>
      <c r="P481" s="4" t="s">
        <v>29</v>
      </c>
      <c r="Q481" s="5" t="s">
        <v>39</v>
      </c>
    </row>
    <row r="482" spans="1:17">
      <c r="A482" s="1" t="s">
        <v>1503</v>
      </c>
      <c r="B482" s="2" t="s">
        <v>18</v>
      </c>
      <c r="C482" s="2" t="s">
        <v>1504</v>
      </c>
      <c r="D482" s="2" t="s">
        <v>1505</v>
      </c>
      <c r="E482" s="2" t="s">
        <v>21</v>
      </c>
      <c r="F482" s="2" t="s">
        <v>69</v>
      </c>
      <c r="G482" s="2" t="s">
        <v>46</v>
      </c>
      <c r="H482" s="2" t="s">
        <v>138</v>
      </c>
      <c r="I482" s="2" t="s">
        <v>25</v>
      </c>
      <c r="J482" s="2">
        <v>13.2</v>
      </c>
      <c r="K482" s="2">
        <v>8</v>
      </c>
      <c r="L482" s="2" t="s">
        <v>27</v>
      </c>
      <c r="M482" s="2">
        <v>3</v>
      </c>
      <c r="N482" s="2" t="s">
        <v>26</v>
      </c>
      <c r="O482" s="2" t="s">
        <v>28</v>
      </c>
      <c r="P482" s="2" t="s">
        <v>1670</v>
      </c>
      <c r="Q482" s="6" t="s">
        <v>39</v>
      </c>
    </row>
    <row r="483" spans="1:17">
      <c r="A483" s="3" t="s">
        <v>1506</v>
      </c>
      <c r="B483" s="4" t="s">
        <v>32</v>
      </c>
      <c r="C483" s="4" t="s">
        <v>1507</v>
      </c>
      <c r="D483" s="4" t="s">
        <v>1508</v>
      </c>
      <c r="E483" s="4" t="s">
        <v>21</v>
      </c>
      <c r="F483" s="4" t="s">
        <v>69</v>
      </c>
      <c r="G483" s="4" t="s">
        <v>54</v>
      </c>
      <c r="H483" s="4" t="s">
        <v>70</v>
      </c>
      <c r="I483" s="4" t="s">
        <v>25</v>
      </c>
      <c r="J483" s="4">
        <v>7.1</v>
      </c>
      <c r="K483" s="4">
        <v>4</v>
      </c>
      <c r="L483" s="4" t="s">
        <v>27</v>
      </c>
      <c r="M483" s="4">
        <v>3</v>
      </c>
      <c r="N483" s="4" t="s">
        <v>26</v>
      </c>
      <c r="O483" s="4" t="s">
        <v>28</v>
      </c>
      <c r="P483" s="4" t="s">
        <v>1670</v>
      </c>
      <c r="Q483" s="5" t="s">
        <v>101</v>
      </c>
    </row>
    <row r="484" spans="1:17">
      <c r="A484" s="1" t="s">
        <v>1509</v>
      </c>
      <c r="B484" s="2" t="s">
        <v>32</v>
      </c>
      <c r="C484" s="2" t="s">
        <v>1510</v>
      </c>
      <c r="D484" s="2" t="s">
        <v>1511</v>
      </c>
      <c r="E484" s="2" t="s">
        <v>78</v>
      </c>
      <c r="F484" s="2" t="s">
        <v>166</v>
      </c>
      <c r="G484" s="2" t="s">
        <v>54</v>
      </c>
      <c r="H484" s="2" t="s">
        <v>47</v>
      </c>
      <c r="I484" s="2" t="s">
        <v>80</v>
      </c>
      <c r="J484" s="2">
        <v>9.4</v>
      </c>
      <c r="K484" s="2">
        <v>4</v>
      </c>
      <c r="L484" s="2" t="s">
        <v>27</v>
      </c>
      <c r="M484" s="2">
        <v>3</v>
      </c>
      <c r="N484" s="2" t="s">
        <v>26</v>
      </c>
      <c r="O484" s="2" t="s">
        <v>28</v>
      </c>
      <c r="P484" s="2" t="s">
        <v>57</v>
      </c>
      <c r="Q484" s="6" t="s">
        <v>101</v>
      </c>
    </row>
    <row r="485" spans="1:17">
      <c r="A485" s="3" t="s">
        <v>1512</v>
      </c>
      <c r="B485" s="4" t="s">
        <v>32</v>
      </c>
      <c r="C485" s="4" t="s">
        <v>1513</v>
      </c>
      <c r="D485" s="4" t="s">
        <v>1514</v>
      </c>
      <c r="E485" s="4" t="s">
        <v>78</v>
      </c>
      <c r="F485" s="4" t="s">
        <v>166</v>
      </c>
      <c r="G485" s="4" t="s">
        <v>46</v>
      </c>
      <c r="H485" s="4" t="s">
        <v>47</v>
      </c>
      <c r="I485" s="4" t="s">
        <v>80</v>
      </c>
      <c r="J485" s="4">
        <v>9.8000000000000007</v>
      </c>
      <c r="K485" s="4">
        <v>8</v>
      </c>
      <c r="L485" s="4" t="s">
        <v>27</v>
      </c>
      <c r="M485" s="4">
        <v>3</v>
      </c>
      <c r="N485" s="4" t="s">
        <v>26</v>
      </c>
      <c r="O485" s="4" t="s">
        <v>28</v>
      </c>
      <c r="P485" s="4" t="s">
        <v>57</v>
      </c>
      <c r="Q485" s="5" t="s">
        <v>39</v>
      </c>
    </row>
    <row r="486" spans="1:17">
      <c r="A486" s="1" t="s">
        <v>1515</v>
      </c>
      <c r="B486" s="2" t="s">
        <v>135</v>
      </c>
      <c r="C486" s="2" t="s">
        <v>1516</v>
      </c>
      <c r="D486" s="2" t="s">
        <v>1517</v>
      </c>
      <c r="E486" s="2" t="s">
        <v>78</v>
      </c>
      <c r="F486" s="2" t="s">
        <v>166</v>
      </c>
      <c r="G486" s="2" t="s">
        <v>23</v>
      </c>
      <c r="H486" s="2" t="s">
        <v>86</v>
      </c>
      <c r="I486" s="2" t="s">
        <v>80</v>
      </c>
      <c r="J486" s="2">
        <v>15.4</v>
      </c>
      <c r="K486" s="2">
        <v>24</v>
      </c>
      <c r="L486" s="2" t="s">
        <v>26</v>
      </c>
      <c r="M486" s="2">
        <v>4</v>
      </c>
      <c r="N486" s="2" t="s">
        <v>27</v>
      </c>
      <c r="O486" s="2" t="s">
        <v>28</v>
      </c>
      <c r="P486" s="2" t="s">
        <v>29</v>
      </c>
      <c r="Q486" s="6" t="s">
        <v>58</v>
      </c>
    </row>
    <row r="487" spans="1:17">
      <c r="A487" s="3" t="s">
        <v>1518</v>
      </c>
      <c r="B487" s="4" t="s">
        <v>121</v>
      </c>
      <c r="C487" s="4" t="s">
        <v>1519</v>
      </c>
      <c r="D487" s="4" t="s">
        <v>1520</v>
      </c>
      <c r="E487" s="4" t="s">
        <v>78</v>
      </c>
      <c r="F487" s="4" t="s">
        <v>166</v>
      </c>
      <c r="G487" s="4" t="s">
        <v>23</v>
      </c>
      <c r="H487" s="4" t="s">
        <v>86</v>
      </c>
      <c r="I487" s="4" t="s">
        <v>80</v>
      </c>
      <c r="J487" s="4">
        <v>10.6</v>
      </c>
      <c r="K487" s="4">
        <v>24</v>
      </c>
      <c r="L487" s="4" t="s">
        <v>26</v>
      </c>
      <c r="M487" s="4">
        <v>4</v>
      </c>
      <c r="N487" s="4" t="s">
        <v>27</v>
      </c>
      <c r="O487" s="4" t="s">
        <v>28</v>
      </c>
      <c r="P487" s="4" t="s">
        <v>29</v>
      </c>
      <c r="Q487" s="5" t="s">
        <v>101</v>
      </c>
    </row>
    <row r="488" spans="1:17">
      <c r="A488" s="1" t="s">
        <v>1521</v>
      </c>
      <c r="B488" s="2" t="s">
        <v>18</v>
      </c>
      <c r="C488" s="2" t="s">
        <v>1522</v>
      </c>
      <c r="D488" s="2" t="s">
        <v>1523</v>
      </c>
      <c r="E488" s="2" t="s">
        <v>84</v>
      </c>
      <c r="F488" s="2" t="s">
        <v>85</v>
      </c>
      <c r="G488" s="2" t="s">
        <v>46</v>
      </c>
      <c r="H488" s="2" t="s">
        <v>64</v>
      </c>
      <c r="I488" s="2" t="s">
        <v>87</v>
      </c>
      <c r="J488" s="2">
        <v>3.2</v>
      </c>
      <c r="K488" s="2">
        <v>8</v>
      </c>
      <c r="L488" s="2" t="s">
        <v>26</v>
      </c>
      <c r="M488" s="2">
        <v>4</v>
      </c>
      <c r="N488" s="2" t="s">
        <v>27</v>
      </c>
      <c r="O488" s="2" t="s">
        <v>28</v>
      </c>
      <c r="P488" s="2" t="s">
        <v>29</v>
      </c>
      <c r="Q488" s="6" t="s">
        <v>101</v>
      </c>
    </row>
    <row r="489" spans="1:17">
      <c r="A489" s="3" t="s">
        <v>1524</v>
      </c>
      <c r="B489" s="4" t="s">
        <v>41</v>
      </c>
      <c r="C489" s="4" t="s">
        <v>1525</v>
      </c>
      <c r="D489" s="4" t="s">
        <v>1526</v>
      </c>
      <c r="E489" s="4" t="s">
        <v>78</v>
      </c>
      <c r="F489" s="4" t="s">
        <v>191</v>
      </c>
      <c r="G489" s="4" t="s">
        <v>46</v>
      </c>
      <c r="H489" s="4" t="s">
        <v>138</v>
      </c>
      <c r="I489" s="4" t="s">
        <v>38</v>
      </c>
      <c r="J489" s="4">
        <v>8.6999999999999993</v>
      </c>
      <c r="K489" s="4">
        <v>8</v>
      </c>
      <c r="L489" s="4" t="s">
        <v>27</v>
      </c>
      <c r="M489" s="4">
        <v>1</v>
      </c>
      <c r="N489" s="4" t="s">
        <v>27</v>
      </c>
      <c r="O489" s="4" t="s">
        <v>28</v>
      </c>
      <c r="P489" s="4" t="s">
        <v>1670</v>
      </c>
      <c r="Q489" s="5" t="s">
        <v>39</v>
      </c>
    </row>
    <row r="490" spans="1:17">
      <c r="A490" s="1" t="s">
        <v>1527</v>
      </c>
      <c r="B490" s="2" t="s">
        <v>66</v>
      </c>
      <c r="C490" s="2" t="s">
        <v>1528</v>
      </c>
      <c r="D490" s="2" t="s">
        <v>1529</v>
      </c>
      <c r="E490" s="2" t="s">
        <v>21</v>
      </c>
      <c r="F490" s="2" t="s">
        <v>63</v>
      </c>
      <c r="G490" s="2" t="s">
        <v>46</v>
      </c>
      <c r="H490" s="2" t="s">
        <v>47</v>
      </c>
      <c r="I490" s="2" t="s">
        <v>25</v>
      </c>
      <c r="J490" s="2">
        <v>10.4</v>
      </c>
      <c r="K490" s="2">
        <v>8</v>
      </c>
      <c r="L490" s="2" t="s">
        <v>27</v>
      </c>
      <c r="M490" s="2">
        <v>3</v>
      </c>
      <c r="N490" s="2" t="s">
        <v>27</v>
      </c>
      <c r="O490" s="2" t="s">
        <v>28</v>
      </c>
      <c r="P490" s="2" t="s">
        <v>1670</v>
      </c>
      <c r="Q490" s="6" t="s">
        <v>101</v>
      </c>
    </row>
    <row r="491" spans="1:17">
      <c r="A491" s="3" t="s">
        <v>1530</v>
      </c>
      <c r="B491" s="4" t="s">
        <v>121</v>
      </c>
      <c r="C491" s="4" t="s">
        <v>1531</v>
      </c>
      <c r="D491" s="4" t="s">
        <v>1532</v>
      </c>
      <c r="E491" s="4" t="s">
        <v>35</v>
      </c>
      <c r="F491" s="4" t="s">
        <v>36</v>
      </c>
      <c r="G491" s="4" t="s">
        <v>46</v>
      </c>
      <c r="H491" s="4" t="s">
        <v>138</v>
      </c>
      <c r="I491" s="4" t="s">
        <v>38</v>
      </c>
      <c r="J491" s="4">
        <v>9.5</v>
      </c>
      <c r="K491" s="4">
        <v>8</v>
      </c>
      <c r="L491" s="4" t="s">
        <v>27</v>
      </c>
      <c r="M491" s="4">
        <v>3</v>
      </c>
      <c r="N491" s="4" t="s">
        <v>27</v>
      </c>
      <c r="O491" s="4" t="s">
        <v>28</v>
      </c>
      <c r="P491" s="4" t="s">
        <v>57</v>
      </c>
      <c r="Q491" s="5" t="s">
        <v>30</v>
      </c>
    </row>
    <row r="492" spans="1:17">
      <c r="A492" s="1" t="s">
        <v>1533</v>
      </c>
      <c r="B492" s="2" t="s">
        <v>32</v>
      </c>
      <c r="C492" s="2" t="s">
        <v>1534</v>
      </c>
      <c r="D492" s="2" t="s">
        <v>1535</v>
      </c>
      <c r="E492" s="2" t="s">
        <v>21</v>
      </c>
      <c r="F492" s="2" t="s">
        <v>63</v>
      </c>
      <c r="G492" s="2" t="s">
        <v>46</v>
      </c>
      <c r="H492" s="2" t="s">
        <v>24</v>
      </c>
      <c r="I492" s="2" t="s">
        <v>25</v>
      </c>
      <c r="J492" s="2">
        <v>13.7</v>
      </c>
      <c r="K492" s="2">
        <v>8</v>
      </c>
      <c r="L492" s="2" t="s">
        <v>27</v>
      </c>
      <c r="M492" s="2">
        <v>1</v>
      </c>
      <c r="N492" s="2" t="s">
        <v>26</v>
      </c>
      <c r="O492" s="2" t="s">
        <v>28</v>
      </c>
      <c r="P492" s="2" t="s">
        <v>57</v>
      </c>
      <c r="Q492" s="6" t="s">
        <v>101</v>
      </c>
    </row>
    <row r="493" spans="1:17">
      <c r="A493" s="3" t="s">
        <v>1536</v>
      </c>
      <c r="B493" s="4" t="s">
        <v>32</v>
      </c>
      <c r="C493" s="4" t="s">
        <v>1537</v>
      </c>
      <c r="D493" s="4" t="s">
        <v>1538</v>
      </c>
      <c r="E493" s="4" t="s">
        <v>35</v>
      </c>
      <c r="F493" s="4" t="s">
        <v>127</v>
      </c>
      <c r="G493" s="4" t="s">
        <v>23</v>
      </c>
      <c r="H493" s="4" t="s">
        <v>138</v>
      </c>
      <c r="I493" s="4" t="s">
        <v>56</v>
      </c>
      <c r="J493" s="4">
        <v>5.7</v>
      </c>
      <c r="K493" s="4">
        <v>24</v>
      </c>
      <c r="L493" s="4" t="s">
        <v>26</v>
      </c>
      <c r="M493" s="4">
        <v>4</v>
      </c>
      <c r="N493" s="4" t="s">
        <v>27</v>
      </c>
      <c r="O493" s="4" t="s">
        <v>28</v>
      </c>
      <c r="P493" s="4" t="s">
        <v>29</v>
      </c>
      <c r="Q493" s="5" t="s">
        <v>39</v>
      </c>
    </row>
    <row r="494" spans="1:17">
      <c r="A494" s="1" t="s">
        <v>1539</v>
      </c>
      <c r="B494" s="2" t="s">
        <v>18</v>
      </c>
      <c r="C494" s="2" t="s">
        <v>1540</v>
      </c>
      <c r="D494" s="2" t="s">
        <v>1541</v>
      </c>
      <c r="E494" s="2" t="s">
        <v>21</v>
      </c>
      <c r="F494" s="2" t="s">
        <v>22</v>
      </c>
      <c r="G494" s="2" t="s">
        <v>46</v>
      </c>
      <c r="H494" s="2" t="s">
        <v>70</v>
      </c>
      <c r="I494" s="2" t="s">
        <v>25</v>
      </c>
      <c r="J494" s="2">
        <v>15.7</v>
      </c>
      <c r="K494" s="2">
        <v>8</v>
      </c>
      <c r="L494" s="2" t="s">
        <v>27</v>
      </c>
      <c r="M494" s="2">
        <v>1</v>
      </c>
      <c r="N494" s="2" t="s">
        <v>27</v>
      </c>
      <c r="O494" s="2" t="s">
        <v>28</v>
      </c>
      <c r="P494" s="2" t="s">
        <v>1670</v>
      </c>
      <c r="Q494" s="6" t="s">
        <v>58</v>
      </c>
    </row>
    <row r="495" spans="1:17">
      <c r="A495" s="3" t="s">
        <v>1542</v>
      </c>
      <c r="B495" s="4" t="s">
        <v>32</v>
      </c>
      <c r="C495" s="4" t="s">
        <v>1543</v>
      </c>
      <c r="D495" s="4" t="s">
        <v>1544</v>
      </c>
      <c r="E495" s="4" t="s">
        <v>35</v>
      </c>
      <c r="F495" s="4" t="s">
        <v>53</v>
      </c>
      <c r="G495" s="4" t="s">
        <v>46</v>
      </c>
      <c r="H495" s="4" t="s">
        <v>37</v>
      </c>
      <c r="I495" s="4" t="s">
        <v>56</v>
      </c>
      <c r="J495" s="4">
        <v>7.8</v>
      </c>
      <c r="K495" s="4">
        <v>8</v>
      </c>
      <c r="L495" s="4" t="s">
        <v>26</v>
      </c>
      <c r="M495" s="4">
        <v>4</v>
      </c>
      <c r="N495" s="4" t="s">
        <v>27</v>
      </c>
      <c r="O495" s="4" t="s">
        <v>28</v>
      </c>
      <c r="P495" s="4" t="s">
        <v>29</v>
      </c>
      <c r="Q495" s="5" t="s">
        <v>39</v>
      </c>
    </row>
    <row r="496" spans="1:17">
      <c r="A496" s="1" t="s">
        <v>1545</v>
      </c>
      <c r="B496" s="2" t="s">
        <v>60</v>
      </c>
      <c r="C496" s="2" t="s">
        <v>1546</v>
      </c>
      <c r="D496" s="2" t="s">
        <v>1547</v>
      </c>
      <c r="E496" s="2" t="s">
        <v>35</v>
      </c>
      <c r="F496" s="2" t="s">
        <v>127</v>
      </c>
      <c r="G496" s="2" t="s">
        <v>54</v>
      </c>
      <c r="H496" s="2" t="s">
        <v>64</v>
      </c>
      <c r="I496" s="2" t="s">
        <v>56</v>
      </c>
      <c r="J496" s="2">
        <v>8.3000000000000007</v>
      </c>
      <c r="K496" s="2">
        <v>4</v>
      </c>
      <c r="L496" s="2" t="s">
        <v>27</v>
      </c>
      <c r="M496" s="2">
        <v>2</v>
      </c>
      <c r="N496" s="2" t="s">
        <v>26</v>
      </c>
      <c r="O496" s="2" t="s">
        <v>28</v>
      </c>
      <c r="P496" s="2" t="s">
        <v>1670</v>
      </c>
      <c r="Q496" s="6" t="s">
        <v>39</v>
      </c>
    </row>
    <row r="497" spans="1:17">
      <c r="A497" s="3" t="s">
        <v>1548</v>
      </c>
      <c r="B497" s="4" t="s">
        <v>106</v>
      </c>
      <c r="C497" s="4" t="s">
        <v>1549</v>
      </c>
      <c r="D497" s="4" t="s">
        <v>1550</v>
      </c>
      <c r="E497" s="4" t="s">
        <v>21</v>
      </c>
      <c r="F497" s="4" t="s">
        <v>69</v>
      </c>
      <c r="G497" s="4" t="s">
        <v>54</v>
      </c>
      <c r="H497" s="4" t="s">
        <v>55</v>
      </c>
      <c r="I497" s="4" t="s">
        <v>25</v>
      </c>
      <c r="J497" s="4">
        <v>6.7</v>
      </c>
      <c r="K497" s="4">
        <v>4</v>
      </c>
      <c r="L497" s="4" t="s">
        <v>27</v>
      </c>
      <c r="M497" s="4">
        <v>3</v>
      </c>
      <c r="N497" s="4" t="s">
        <v>26</v>
      </c>
      <c r="O497" s="4" t="s">
        <v>28</v>
      </c>
      <c r="P497" s="4" t="s">
        <v>1670</v>
      </c>
      <c r="Q497" s="5" t="s">
        <v>39</v>
      </c>
    </row>
    <row r="498" spans="1:17">
      <c r="A498" s="1" t="s">
        <v>1551</v>
      </c>
      <c r="B498" s="2" t="s">
        <v>50</v>
      </c>
      <c r="C498" s="2" t="s">
        <v>1552</v>
      </c>
      <c r="D498" s="2" t="s">
        <v>1553</v>
      </c>
      <c r="E498" s="2" t="s">
        <v>78</v>
      </c>
      <c r="F498" s="2" t="s">
        <v>191</v>
      </c>
      <c r="G498" s="2" t="s">
        <v>54</v>
      </c>
      <c r="H498" s="2" t="s">
        <v>64</v>
      </c>
      <c r="I498" s="2" t="s">
        <v>38</v>
      </c>
      <c r="J498" s="2">
        <v>8.1</v>
      </c>
      <c r="K498" s="2">
        <v>4</v>
      </c>
      <c r="L498" s="2" t="s">
        <v>27</v>
      </c>
      <c r="M498" s="2">
        <v>2</v>
      </c>
      <c r="N498" s="2" t="s">
        <v>26</v>
      </c>
      <c r="O498" s="2" t="s">
        <v>28</v>
      </c>
      <c r="P498" s="2" t="s">
        <v>57</v>
      </c>
      <c r="Q498" s="6" t="s">
        <v>39</v>
      </c>
    </row>
    <row r="499" spans="1:17">
      <c r="A499" s="3" t="s">
        <v>1554</v>
      </c>
      <c r="B499" s="4" t="s">
        <v>66</v>
      </c>
      <c r="C499" s="4" t="s">
        <v>1555</v>
      </c>
      <c r="D499" s="4" t="s">
        <v>1556</v>
      </c>
      <c r="E499" s="4" t="s">
        <v>35</v>
      </c>
      <c r="F499" s="4" t="s">
        <v>53</v>
      </c>
      <c r="G499" s="4" t="s">
        <v>46</v>
      </c>
      <c r="H499" s="4" t="s">
        <v>234</v>
      </c>
      <c r="I499" s="4" t="s">
        <v>56</v>
      </c>
      <c r="J499" s="4">
        <v>8.4</v>
      </c>
      <c r="K499" s="4">
        <v>8</v>
      </c>
      <c r="L499" s="4" t="s">
        <v>27</v>
      </c>
      <c r="M499" s="4">
        <v>3</v>
      </c>
      <c r="N499" s="4" t="s">
        <v>27</v>
      </c>
      <c r="O499" s="4" t="s">
        <v>28</v>
      </c>
      <c r="P499" s="4" t="s">
        <v>1670</v>
      </c>
      <c r="Q499" s="5" t="s">
        <v>39</v>
      </c>
    </row>
    <row r="500" spans="1:17">
      <c r="A500" s="1" t="s">
        <v>1557</v>
      </c>
      <c r="B500" s="2" t="s">
        <v>50</v>
      </c>
      <c r="C500" s="2" t="s">
        <v>1558</v>
      </c>
      <c r="D500" s="2" t="s">
        <v>1559</v>
      </c>
      <c r="E500" s="2" t="s">
        <v>78</v>
      </c>
      <c r="F500" s="2" t="s">
        <v>79</v>
      </c>
      <c r="G500" s="2" t="s">
        <v>54</v>
      </c>
      <c r="H500" s="2" t="s">
        <v>86</v>
      </c>
      <c r="I500" s="2" t="s">
        <v>80</v>
      </c>
      <c r="J500" s="2">
        <v>9.5</v>
      </c>
      <c r="K500" s="2">
        <v>4</v>
      </c>
      <c r="L500" s="2" t="s">
        <v>27</v>
      </c>
      <c r="M500" s="2">
        <v>3</v>
      </c>
      <c r="N500" s="2" t="s">
        <v>27</v>
      </c>
      <c r="O500" s="2" t="s">
        <v>28</v>
      </c>
      <c r="P500" s="2" t="s">
        <v>57</v>
      </c>
      <c r="Q500" s="6" t="s">
        <v>39</v>
      </c>
    </row>
    <row r="501" spans="1:17">
      <c r="A501" s="8" t="s">
        <v>1560</v>
      </c>
      <c r="B501" s="9" t="s">
        <v>32</v>
      </c>
      <c r="C501" s="9" t="s">
        <v>1561</v>
      </c>
      <c r="D501" s="9" t="s">
        <v>1562</v>
      </c>
      <c r="E501" s="9" t="s">
        <v>35</v>
      </c>
      <c r="F501" s="9" t="s">
        <v>127</v>
      </c>
      <c r="G501" s="9" t="s">
        <v>23</v>
      </c>
      <c r="H501" s="9" t="s">
        <v>91</v>
      </c>
      <c r="I501" s="9" t="s">
        <v>56</v>
      </c>
      <c r="J501" s="9">
        <v>7.4</v>
      </c>
      <c r="K501" s="9">
        <v>24</v>
      </c>
      <c r="L501" s="9" t="s">
        <v>26</v>
      </c>
      <c r="M501" s="9">
        <v>4</v>
      </c>
      <c r="N501" s="9" t="s">
        <v>27</v>
      </c>
      <c r="O501" s="9" t="s">
        <v>28</v>
      </c>
      <c r="P501" s="9" t="s">
        <v>29</v>
      </c>
      <c r="Q501" s="10" t="s">
        <v>39</v>
      </c>
    </row>
  </sheetData>
  <conditionalFormatting sqref="A2:A501">
    <cfRule type="duplicateValues" dxfId="2"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1"/>
  <sheetViews>
    <sheetView topLeftCell="A5" zoomScale="90" zoomScaleNormal="90" workbookViewId="0">
      <selection activeCell="Z18" sqref="Z18"/>
    </sheetView>
  </sheetViews>
  <sheetFormatPr defaultRowHeight="15"/>
  <cols>
    <col min="1" max="1" width="10.85546875" bestFit="1" customWidth="1"/>
    <col min="2" max="2" width="12.5703125" customWidth="1"/>
    <col min="3" max="3" width="14.42578125" style="31" customWidth="1"/>
    <col min="4" max="4" width="13.42578125" customWidth="1"/>
    <col min="5" max="5" width="21.5703125" bestFit="1" customWidth="1"/>
    <col min="6" max="6" width="18.85546875" bestFit="1" customWidth="1"/>
    <col min="7" max="7" width="9" customWidth="1"/>
    <col min="9" max="9" width="14.42578125" bestFit="1" customWidth="1"/>
    <col min="10" max="11" width="9.85546875" customWidth="1"/>
    <col min="12" max="12" width="7.42578125" bestFit="1" customWidth="1"/>
    <col min="13" max="13" width="10.140625" customWidth="1"/>
    <col min="14" max="14" width="9.42578125" customWidth="1"/>
    <col min="15" max="15" width="7.42578125" customWidth="1"/>
    <col min="16" max="16" width="10.85546875" customWidth="1"/>
  </cols>
  <sheetData>
    <row r="1" spans="1:23" s="7" customFormat="1" ht="45">
      <c r="A1" s="7" t="s">
        <v>0</v>
      </c>
      <c r="B1" s="7" t="s">
        <v>1</v>
      </c>
      <c r="C1" s="30"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1586</v>
      </c>
      <c r="S1" s="7" t="s">
        <v>1564</v>
      </c>
      <c r="T1" s="7" t="s">
        <v>1668</v>
      </c>
      <c r="U1" s="7" t="s">
        <v>1593</v>
      </c>
      <c r="V1" s="7" t="s">
        <v>2450</v>
      </c>
      <c r="W1" s="7" t="s">
        <v>2449</v>
      </c>
    </row>
    <row r="2" spans="1:23">
      <c r="A2" t="s">
        <v>17</v>
      </c>
      <c r="B2" t="s">
        <v>18</v>
      </c>
      <c r="C2" s="31" t="s">
        <v>19</v>
      </c>
      <c r="D2" s="32" t="s">
        <v>20</v>
      </c>
      <c r="E2" t="s">
        <v>21</v>
      </c>
      <c r="F2" t="s">
        <v>22</v>
      </c>
      <c r="G2" t="s">
        <v>23</v>
      </c>
      <c r="H2" t="s">
        <v>24</v>
      </c>
      <c r="I2" t="s">
        <v>25</v>
      </c>
      <c r="J2">
        <v>15.2</v>
      </c>
      <c r="K2">
        <v>24</v>
      </c>
      <c r="L2" t="s">
        <v>26</v>
      </c>
      <c r="M2">
        <v>4</v>
      </c>
      <c r="N2" t="s">
        <v>27</v>
      </c>
      <c r="O2" t="s">
        <v>28</v>
      </c>
      <c r="P2" t="s">
        <v>29</v>
      </c>
      <c r="Q2" t="s">
        <v>30</v>
      </c>
      <c r="R2" t="str">
        <f>IF(Table1[[#This Row],[Resolution_Time_Hrs]]&gt;Table1[[#This Row],[SLA_Target_Hrs]],"No", "Yes")</f>
        <v>Yes</v>
      </c>
      <c r="S2" t="str">
        <f>IF(Table1[[#This Row],[Calculated_SLA]]=Table1[[#This Row],[SLA_Met]],"Match","Mismatch")</f>
        <v>Match</v>
      </c>
      <c r="T2">
        <f>IF(Table1[[#This Row],[Calculated_SLA]]="Yes",1,0)</f>
        <v>1</v>
      </c>
      <c r="U2" t="str">
        <f>IF(COUNTIFS(Reference_data!A:A,Table1[[#This Row],[Category]],Reference_data!B:B,Table1[[#This Row],[Sub_Category]])&gt;0,"Valid","Invalid")</f>
        <v>Valid</v>
      </c>
      <c r="V2" s="2" t="str">
        <f>_xlfn.XLOOKUP([1]!Table1[[#This Row],[Sub_Category]],[1]Reference_data!B:B,[1]Reference_data!A:A)</f>
        <v>Connectivity &amp; Software</v>
      </c>
      <c r="W2" t="str">
        <f>IF([1]!Table1[[#This Row],[Category]]=[1]!Table1[[#This Row],[Expected_Category ]],"Valid", "invalid")</f>
        <v>Valid</v>
      </c>
    </row>
    <row r="3" spans="1:23">
      <c r="A3" t="s">
        <v>31</v>
      </c>
      <c r="B3" t="s">
        <v>32</v>
      </c>
      <c r="C3" s="31" t="s">
        <v>33</v>
      </c>
      <c r="D3" s="32" t="s">
        <v>34</v>
      </c>
      <c r="E3" t="s">
        <v>35</v>
      </c>
      <c r="F3" t="s">
        <v>36</v>
      </c>
      <c r="G3" t="s">
        <v>23</v>
      </c>
      <c r="H3" t="s">
        <v>37</v>
      </c>
      <c r="I3" t="s">
        <v>38</v>
      </c>
      <c r="J3">
        <v>5</v>
      </c>
      <c r="K3">
        <v>24</v>
      </c>
      <c r="L3" t="s">
        <v>27</v>
      </c>
      <c r="M3">
        <v>3</v>
      </c>
      <c r="N3" t="s">
        <v>26</v>
      </c>
      <c r="O3" t="s">
        <v>28</v>
      </c>
      <c r="P3" t="s">
        <v>1670</v>
      </c>
      <c r="Q3" t="s">
        <v>39</v>
      </c>
      <c r="R3" t="str">
        <f>IF(Table1[[#This Row],[Resolution_Time_Hrs]]&gt;Table1[[#This Row],[SLA_Target_Hrs]],"No", "Yes")</f>
        <v>Yes</v>
      </c>
      <c r="S3" t="str">
        <f>IF(Table1[[#This Row],[Calculated_SLA]]=Table1[[#This Row],[SLA_Met]],"Match","Mismatch")</f>
        <v>Mismatch</v>
      </c>
      <c r="T3">
        <f>IF(Table1[[#This Row],[Calculated_SLA]]="Yes",1,0)</f>
        <v>1</v>
      </c>
      <c r="U3" t="str">
        <f>IF(COUNTIFS(Reference_data!A:A,Table1[[#This Row],[Category]],Reference_data!B:B,Table1[[#This Row],[Sub_Category]])&gt;0,"Valid","Invalid")</f>
        <v>Valid</v>
      </c>
      <c r="V3" t="str">
        <f>_xlfn.XLOOKUP([1]!Table1[[#This Row],[Sub_Category]],[1]Reference_data!B:B,[1]Reference_data!A:A)</f>
        <v>Print Quality</v>
      </c>
      <c r="W3" t="str">
        <f>IF([1]!Table1[[#This Row],[Category]]=[1]!Table1[[#This Row],[Expected_Category ]],"Valid", "invalid")</f>
        <v>Valid</v>
      </c>
    </row>
    <row r="4" spans="1:23">
      <c r="A4" t="s">
        <v>40</v>
      </c>
      <c r="B4" t="s">
        <v>41</v>
      </c>
      <c r="C4" s="31" t="s">
        <v>42</v>
      </c>
      <c r="D4" s="32" t="s">
        <v>43</v>
      </c>
      <c r="E4" t="s">
        <v>44</v>
      </c>
      <c r="F4" t="s">
        <v>45</v>
      </c>
      <c r="G4" t="s">
        <v>46</v>
      </c>
      <c r="H4" t="s">
        <v>47</v>
      </c>
      <c r="I4" t="s">
        <v>48</v>
      </c>
      <c r="J4">
        <v>3.3</v>
      </c>
      <c r="K4">
        <v>8</v>
      </c>
      <c r="L4" t="s">
        <v>26</v>
      </c>
      <c r="M4">
        <v>4</v>
      </c>
      <c r="N4" t="s">
        <v>27</v>
      </c>
      <c r="O4" t="s">
        <v>28</v>
      </c>
      <c r="P4" t="s">
        <v>29</v>
      </c>
      <c r="Q4" t="s">
        <v>30</v>
      </c>
      <c r="R4" t="str">
        <f>IF(Table1[[#This Row],[Resolution_Time_Hrs]]&gt;Table1[[#This Row],[SLA_Target_Hrs]],"No", "Yes")</f>
        <v>Yes</v>
      </c>
      <c r="S4" t="str">
        <f>IF(Table1[[#This Row],[Calculated_SLA]]=Table1[[#This Row],[SLA_Met]],"Match","Mismatch")</f>
        <v>Match</v>
      </c>
      <c r="T4">
        <f>IF(Table1[[#This Row],[Calculated_SLA]]="Yes",1,0)</f>
        <v>1</v>
      </c>
      <c r="U4" t="str">
        <f>IF(COUNTIFS(Reference_data!A:A,Table1[[#This Row],[Category]],Reference_data!B:B,Table1[[#This Row],[Sub_Category]])&gt;0,"Valid","Invalid")</f>
        <v>Valid</v>
      </c>
      <c r="V4" t="str">
        <f>_xlfn.XLOOKUP([1]!Table1[[#This Row],[Sub_Category]],[1]Reference_data!B:B,[1]Reference_data!A:A)</f>
        <v>Contract &amp; Billing</v>
      </c>
      <c r="W4" t="str">
        <f>IF([1]!Table1[[#This Row],[Category]]=[1]!Table1[[#This Row],[Expected_Category ]],"Valid", "invalid")</f>
        <v>Valid</v>
      </c>
    </row>
    <row r="5" spans="1:23">
      <c r="A5" t="s">
        <v>49</v>
      </c>
      <c r="B5" t="s">
        <v>50</v>
      </c>
      <c r="C5" s="31" t="s">
        <v>51</v>
      </c>
      <c r="D5" s="32" t="s">
        <v>52</v>
      </c>
      <c r="E5" t="s">
        <v>35</v>
      </c>
      <c r="F5" t="s">
        <v>53</v>
      </c>
      <c r="G5" t="s">
        <v>54</v>
      </c>
      <c r="H5" t="s">
        <v>55</v>
      </c>
      <c r="I5" t="s">
        <v>56</v>
      </c>
      <c r="J5">
        <v>6.9</v>
      </c>
      <c r="K5">
        <v>4</v>
      </c>
      <c r="L5" t="s">
        <v>27</v>
      </c>
      <c r="M5">
        <v>1</v>
      </c>
      <c r="N5" t="s">
        <v>27</v>
      </c>
      <c r="O5" t="s">
        <v>28</v>
      </c>
      <c r="P5" t="s">
        <v>57</v>
      </c>
      <c r="Q5" t="s">
        <v>58</v>
      </c>
      <c r="R5" t="str">
        <f>IF(Table1[[#This Row],[Resolution_Time_Hrs]]&gt;Table1[[#This Row],[SLA_Target_Hrs]],"No", "Yes")</f>
        <v>No</v>
      </c>
      <c r="S5" t="str">
        <f>IF(Table1[[#This Row],[Calculated_SLA]]=Table1[[#This Row],[SLA_Met]],"Match","Mismatch")</f>
        <v>Match</v>
      </c>
      <c r="T5">
        <f>IF(Table1[[#This Row],[Calculated_SLA]]="Yes",1,0)</f>
        <v>0</v>
      </c>
      <c r="U5" t="str">
        <f>IF(COUNTIFS(Reference_data!A:A,Table1[[#This Row],[Category]],Reference_data!B:B,Table1[[#This Row],[Sub_Category]])&gt;0,"Valid","Invalid")</f>
        <v>Valid</v>
      </c>
      <c r="V5" t="str">
        <f>_xlfn.XLOOKUP([1]!Table1[[#This Row],[Sub_Category]],[1]Reference_data!B:B,[1]Reference_data!A:A)</f>
        <v>Print Quality</v>
      </c>
      <c r="W5" t="str">
        <f>IF([1]!Table1[[#This Row],[Category]]=[1]!Table1[[#This Row],[Expected_Category ]],"Valid", "invalid")</f>
        <v>Valid</v>
      </c>
    </row>
    <row r="6" spans="1:23">
      <c r="A6" t="s">
        <v>59</v>
      </c>
      <c r="B6" t="s">
        <v>60</v>
      </c>
      <c r="C6" s="31" t="s">
        <v>61</v>
      </c>
      <c r="D6" s="32" t="s">
        <v>62</v>
      </c>
      <c r="E6" t="s">
        <v>21</v>
      </c>
      <c r="F6" t="s">
        <v>63</v>
      </c>
      <c r="G6" t="s">
        <v>46</v>
      </c>
      <c r="H6" t="s">
        <v>64</v>
      </c>
      <c r="I6" t="s">
        <v>25</v>
      </c>
      <c r="J6">
        <v>10.1</v>
      </c>
      <c r="K6">
        <v>8</v>
      </c>
      <c r="L6" t="s">
        <v>27</v>
      </c>
      <c r="M6">
        <v>1</v>
      </c>
      <c r="N6" t="s">
        <v>27</v>
      </c>
      <c r="O6" t="s">
        <v>28</v>
      </c>
      <c r="P6" t="s">
        <v>1670</v>
      </c>
      <c r="Q6" t="s">
        <v>58</v>
      </c>
      <c r="R6" t="str">
        <f>IF(Table1[[#This Row],[Resolution_Time_Hrs]]&gt;Table1[[#This Row],[SLA_Target_Hrs]],"No", "Yes")</f>
        <v>No</v>
      </c>
      <c r="S6" t="str">
        <f>IF(Table1[[#This Row],[Calculated_SLA]]=Table1[[#This Row],[SLA_Met]],"Match","Mismatch")</f>
        <v>Match</v>
      </c>
      <c r="T6">
        <f>IF(Table1[[#This Row],[Calculated_SLA]]="Yes",1,0)</f>
        <v>0</v>
      </c>
      <c r="U6" t="str">
        <f>IF(COUNTIFS(Reference_data!A:A,Table1[[#This Row],[Category]],Reference_data!B:B,Table1[[#This Row],[Sub_Category]])&gt;0,"Valid","Invalid")</f>
        <v>Valid</v>
      </c>
      <c r="V6" t="str">
        <f>_xlfn.XLOOKUP([1]!Table1[[#This Row],[Sub_Category]],[1]Reference_data!B:B,[1]Reference_data!A:A)</f>
        <v>Connectivity &amp; Software</v>
      </c>
      <c r="W6" t="str">
        <f>IF([1]!Table1[[#This Row],[Category]]=[1]!Table1[[#This Row],[Expected_Category ]],"Valid", "invalid")</f>
        <v>Valid</v>
      </c>
    </row>
    <row r="7" spans="1:23">
      <c r="A7" t="s">
        <v>65</v>
      </c>
      <c r="B7" t="s">
        <v>66</v>
      </c>
      <c r="C7" s="31" t="s">
        <v>67</v>
      </c>
      <c r="D7" s="32" t="s">
        <v>68</v>
      </c>
      <c r="E7" t="s">
        <v>21</v>
      </c>
      <c r="F7" t="s">
        <v>69</v>
      </c>
      <c r="G7" t="s">
        <v>46</v>
      </c>
      <c r="H7" t="s">
        <v>70</v>
      </c>
      <c r="I7" t="s">
        <v>25</v>
      </c>
      <c r="J7">
        <v>12</v>
      </c>
      <c r="K7">
        <v>8</v>
      </c>
      <c r="L7" t="s">
        <v>27</v>
      </c>
      <c r="M7">
        <v>3</v>
      </c>
      <c r="N7" t="s">
        <v>27</v>
      </c>
      <c r="O7" t="s">
        <v>28</v>
      </c>
      <c r="P7" t="s">
        <v>57</v>
      </c>
      <c r="Q7" t="s">
        <v>39</v>
      </c>
      <c r="R7" t="str">
        <f>IF(Table1[[#This Row],[Resolution_Time_Hrs]]&gt;Table1[[#This Row],[SLA_Target_Hrs]],"No", "Yes")</f>
        <v>No</v>
      </c>
      <c r="S7" t="str">
        <f>IF(Table1[[#This Row],[Calculated_SLA]]=Table1[[#This Row],[SLA_Met]],"Match","Mismatch")</f>
        <v>Match</v>
      </c>
      <c r="T7">
        <f>IF(Table1[[#This Row],[Calculated_SLA]]="Yes",1,0)</f>
        <v>0</v>
      </c>
      <c r="U7" t="str">
        <f>IF(COUNTIFS(Reference_data!A:A,Table1[[#This Row],[Category]],Reference_data!B:B,Table1[[#This Row],[Sub_Category]])&gt;0,"Valid","Invalid")</f>
        <v>Valid</v>
      </c>
      <c r="V7" t="str">
        <f>_xlfn.XLOOKUP([1]!Table1[[#This Row],[Sub_Category]],[1]Reference_data!B:B,[1]Reference_data!A:A)</f>
        <v>Connectivity &amp; Software</v>
      </c>
      <c r="W7" t="str">
        <f>IF([1]!Table1[[#This Row],[Category]]=[1]!Table1[[#This Row],[Expected_Category ]],"Valid", "invalid")</f>
        <v>Valid</v>
      </c>
    </row>
    <row r="8" spans="1:23">
      <c r="A8" t="s">
        <v>71</v>
      </c>
      <c r="B8" t="s">
        <v>32</v>
      </c>
      <c r="C8" s="31" t="s">
        <v>72</v>
      </c>
      <c r="D8" s="32" t="s">
        <v>73</v>
      </c>
      <c r="E8" t="s">
        <v>21</v>
      </c>
      <c r="F8" t="s">
        <v>69</v>
      </c>
      <c r="G8" t="s">
        <v>46</v>
      </c>
      <c r="H8" t="s">
        <v>47</v>
      </c>
      <c r="I8" t="s">
        <v>25</v>
      </c>
      <c r="J8">
        <v>4.9000000000000004</v>
      </c>
      <c r="K8">
        <v>8</v>
      </c>
      <c r="L8" t="s">
        <v>26</v>
      </c>
      <c r="M8">
        <v>4</v>
      </c>
      <c r="N8" t="s">
        <v>27</v>
      </c>
      <c r="O8" t="s">
        <v>28</v>
      </c>
      <c r="P8" t="s">
        <v>29</v>
      </c>
      <c r="Q8" t="s">
        <v>39</v>
      </c>
      <c r="R8" t="str">
        <f>IF(Table1[[#This Row],[Resolution_Time_Hrs]]&gt;Table1[[#This Row],[SLA_Target_Hrs]],"No", "Yes")</f>
        <v>Yes</v>
      </c>
      <c r="S8" t="str">
        <f>IF(Table1[[#This Row],[Calculated_SLA]]=Table1[[#This Row],[SLA_Met]],"Match","Mismatch")</f>
        <v>Match</v>
      </c>
      <c r="T8">
        <f>IF(Table1[[#This Row],[Calculated_SLA]]="Yes",1,0)</f>
        <v>1</v>
      </c>
      <c r="U8" t="str">
        <f>IF(COUNTIFS(Reference_data!A:A,Table1[[#This Row],[Category]],Reference_data!B:B,Table1[[#This Row],[Sub_Category]])&gt;0,"Valid","Invalid")</f>
        <v>Valid</v>
      </c>
      <c r="V8" t="str">
        <f>_xlfn.XLOOKUP([1]!Table1[[#This Row],[Sub_Category]],[1]Reference_data!B:B,[1]Reference_data!A:A)</f>
        <v>Connectivity &amp; Software</v>
      </c>
      <c r="W8" t="str">
        <f>IF([1]!Table1[[#This Row],[Category]]=[1]!Table1[[#This Row],[Expected_Category ]],"Valid", "invalid")</f>
        <v>Valid</v>
      </c>
    </row>
    <row r="9" spans="1:23">
      <c r="A9" t="s">
        <v>74</v>
      </c>
      <c r="B9" t="s">
        <v>75</v>
      </c>
      <c r="C9" s="31" t="s">
        <v>76</v>
      </c>
      <c r="D9" s="32" t="s">
        <v>77</v>
      </c>
      <c r="E9" t="s">
        <v>78</v>
      </c>
      <c r="F9" t="s">
        <v>79</v>
      </c>
      <c r="G9" t="s">
        <v>46</v>
      </c>
      <c r="H9" t="s">
        <v>70</v>
      </c>
      <c r="I9" t="s">
        <v>80</v>
      </c>
      <c r="J9">
        <v>13.5</v>
      </c>
      <c r="K9">
        <v>8</v>
      </c>
      <c r="L9" t="s">
        <v>27</v>
      </c>
      <c r="M9">
        <v>1</v>
      </c>
      <c r="N9" t="s">
        <v>27</v>
      </c>
      <c r="O9" t="s">
        <v>28</v>
      </c>
      <c r="P9" t="s">
        <v>1670</v>
      </c>
      <c r="Q9" t="s">
        <v>39</v>
      </c>
      <c r="R9" t="str">
        <f>IF(Table1[[#This Row],[Resolution_Time_Hrs]]&gt;Table1[[#This Row],[SLA_Target_Hrs]],"No", "Yes")</f>
        <v>No</v>
      </c>
      <c r="S9" t="str">
        <f>IF(Table1[[#This Row],[Calculated_SLA]]=Table1[[#This Row],[SLA_Met]],"Match","Mismatch")</f>
        <v>Match</v>
      </c>
      <c r="T9">
        <f>IF(Table1[[#This Row],[Calculated_SLA]]="Yes",1,0)</f>
        <v>0</v>
      </c>
      <c r="U9" t="str">
        <f>IF(COUNTIFS(Reference_data!A:A,Table1[[#This Row],[Category]],Reference_data!B:B,Table1[[#This Row],[Sub_Category]])&gt;0,"Valid","Invalid")</f>
        <v>Valid</v>
      </c>
      <c r="V9" t="str">
        <f>_xlfn.XLOOKUP([1]!Table1[[#This Row],[Sub_Category]],[1]Reference_data!B:B,[1]Reference_data!A:A)</f>
        <v>Hardware &amp; Mechanical</v>
      </c>
      <c r="W9" t="str">
        <f>IF([1]!Table1[[#This Row],[Category]]=[1]!Table1[[#This Row],[Expected_Category ]],"Valid", "invalid")</f>
        <v>Valid</v>
      </c>
    </row>
    <row r="10" spans="1:23">
      <c r="A10" t="s">
        <v>81</v>
      </c>
      <c r="B10" t="s">
        <v>32</v>
      </c>
      <c r="C10" s="31" t="s">
        <v>82</v>
      </c>
      <c r="D10" s="32" t="s">
        <v>83</v>
      </c>
      <c r="E10" t="s">
        <v>84</v>
      </c>
      <c r="F10" t="s">
        <v>85</v>
      </c>
      <c r="G10" t="s">
        <v>46</v>
      </c>
      <c r="H10" t="s">
        <v>86</v>
      </c>
      <c r="I10" t="s">
        <v>87</v>
      </c>
      <c r="J10">
        <v>9.5</v>
      </c>
      <c r="K10">
        <v>8</v>
      </c>
      <c r="L10" t="s">
        <v>27</v>
      </c>
      <c r="M10">
        <v>3</v>
      </c>
      <c r="N10" t="s">
        <v>27</v>
      </c>
      <c r="O10" t="s">
        <v>28</v>
      </c>
      <c r="P10" t="s">
        <v>1670</v>
      </c>
      <c r="Q10" t="s">
        <v>39</v>
      </c>
      <c r="R10" t="str">
        <f>IF(Table1[[#This Row],[Resolution_Time_Hrs]]&gt;Table1[[#This Row],[SLA_Target_Hrs]],"No", "Yes")</f>
        <v>No</v>
      </c>
      <c r="S10" t="str">
        <f>IF(Table1[[#This Row],[Calculated_SLA]]=Table1[[#This Row],[SLA_Met]],"Match","Mismatch")</f>
        <v>Match</v>
      </c>
      <c r="T10">
        <f>IF(Table1[[#This Row],[Calculated_SLA]]="Yes",1,0)</f>
        <v>0</v>
      </c>
      <c r="U10" t="str">
        <f>IF(COUNTIFS(Reference_data!A:A,Table1[[#This Row],[Category]],Reference_data!B:B,Table1[[#This Row],[Sub_Category]])&gt;0,"Valid","Invalid")</f>
        <v>Valid</v>
      </c>
      <c r="V10" t="str">
        <f>_xlfn.XLOOKUP([1]!Table1[[#This Row],[Sub_Category]],[1]Reference_data!B:B,[1]Reference_data!A:A)</f>
        <v>Supplies &amp; Logistics</v>
      </c>
      <c r="W10" t="str">
        <f>IF([1]!Table1[[#This Row],[Category]]=[1]!Table1[[#This Row],[Expected_Category ]],"Valid", "invalid")</f>
        <v>Valid</v>
      </c>
    </row>
    <row r="11" spans="1:23">
      <c r="A11" t="s">
        <v>88</v>
      </c>
      <c r="B11" t="s">
        <v>32</v>
      </c>
      <c r="C11" s="31" t="s">
        <v>89</v>
      </c>
      <c r="D11" s="32" t="s">
        <v>90</v>
      </c>
      <c r="E11" t="s">
        <v>21</v>
      </c>
      <c r="F11" t="s">
        <v>22</v>
      </c>
      <c r="G11" t="s">
        <v>54</v>
      </c>
      <c r="H11" t="s">
        <v>91</v>
      </c>
      <c r="I11" t="s">
        <v>25</v>
      </c>
      <c r="J11">
        <v>14.8</v>
      </c>
      <c r="K11">
        <v>4</v>
      </c>
      <c r="L11" t="s">
        <v>27</v>
      </c>
      <c r="M11">
        <v>2</v>
      </c>
      <c r="N11" t="s">
        <v>27</v>
      </c>
      <c r="O11" t="s">
        <v>28</v>
      </c>
      <c r="P11" t="s">
        <v>57</v>
      </c>
      <c r="Q11" t="s">
        <v>58</v>
      </c>
      <c r="R11" t="str">
        <f>IF(Table1[[#This Row],[Resolution_Time_Hrs]]&gt;Table1[[#This Row],[SLA_Target_Hrs]],"No", "Yes")</f>
        <v>No</v>
      </c>
      <c r="S11" t="str">
        <f>IF(Table1[[#This Row],[Calculated_SLA]]=Table1[[#This Row],[SLA_Met]],"Match","Mismatch")</f>
        <v>Match</v>
      </c>
      <c r="T11">
        <f>IF(Table1[[#This Row],[Calculated_SLA]]="Yes",1,0)</f>
        <v>0</v>
      </c>
      <c r="U11" t="str">
        <f>IF(COUNTIFS(Reference_data!A:A,Table1[[#This Row],[Category]],Reference_data!B:B,Table1[[#This Row],[Sub_Category]])&gt;0,"Valid","Invalid")</f>
        <v>Valid</v>
      </c>
      <c r="V11" t="str">
        <f>_xlfn.XLOOKUP([1]!Table1[[#This Row],[Sub_Category]],[1]Reference_data!B:B,[1]Reference_data!A:A)</f>
        <v>Connectivity &amp; Software</v>
      </c>
      <c r="W11" t="str">
        <f>IF([1]!Table1[[#This Row],[Category]]=[1]!Table1[[#This Row],[Expected_Category ]],"Valid", "invalid")</f>
        <v>Valid</v>
      </c>
    </row>
    <row r="12" spans="1:23">
      <c r="A12" t="s">
        <v>92</v>
      </c>
      <c r="B12" t="s">
        <v>50</v>
      </c>
      <c r="C12" s="31" t="s">
        <v>93</v>
      </c>
      <c r="D12" s="32" t="s">
        <v>94</v>
      </c>
      <c r="E12" t="s">
        <v>78</v>
      </c>
      <c r="F12" t="s">
        <v>79</v>
      </c>
      <c r="G12" t="s">
        <v>23</v>
      </c>
      <c r="H12" t="s">
        <v>86</v>
      </c>
      <c r="I12" t="s">
        <v>80</v>
      </c>
      <c r="J12">
        <v>14.5</v>
      </c>
      <c r="K12">
        <v>24</v>
      </c>
      <c r="L12" t="s">
        <v>26</v>
      </c>
      <c r="M12">
        <v>4</v>
      </c>
      <c r="N12" t="s">
        <v>27</v>
      </c>
      <c r="O12" t="s">
        <v>28</v>
      </c>
      <c r="P12" t="s">
        <v>29</v>
      </c>
      <c r="Q12" t="s">
        <v>39</v>
      </c>
      <c r="R12" t="str">
        <f>IF(Table1[[#This Row],[Resolution_Time_Hrs]]&gt;Table1[[#This Row],[SLA_Target_Hrs]],"No", "Yes")</f>
        <v>Yes</v>
      </c>
      <c r="S12" t="str">
        <f>IF(Table1[[#This Row],[Calculated_SLA]]=Table1[[#This Row],[SLA_Met]],"Match","Mismatch")</f>
        <v>Match</v>
      </c>
      <c r="T12">
        <f>IF(Table1[[#This Row],[Calculated_SLA]]="Yes",1,0)</f>
        <v>1</v>
      </c>
      <c r="U12" t="str">
        <f>IF(COUNTIFS(Reference_data!A:A,Table1[[#This Row],[Category]],Reference_data!B:B,Table1[[#This Row],[Sub_Category]])&gt;0,"Valid","Invalid")</f>
        <v>Valid</v>
      </c>
      <c r="V12" t="str">
        <f>_xlfn.XLOOKUP([1]!Table1[[#This Row],[Sub_Category]],[1]Reference_data!B:B,[1]Reference_data!A:A)</f>
        <v>Hardware &amp; Mechanical</v>
      </c>
      <c r="W12" t="str">
        <f>IF([1]!Table1[[#This Row],[Category]]=[1]!Table1[[#This Row],[Expected_Category ]],"Valid", "invalid")</f>
        <v>Valid</v>
      </c>
    </row>
    <row r="13" spans="1:23">
      <c r="A13" t="s">
        <v>95</v>
      </c>
      <c r="B13" t="s">
        <v>32</v>
      </c>
      <c r="C13" s="31" t="s">
        <v>96</v>
      </c>
      <c r="D13" s="32" t="s">
        <v>97</v>
      </c>
      <c r="E13" t="s">
        <v>21</v>
      </c>
      <c r="F13" t="s">
        <v>22</v>
      </c>
      <c r="G13" t="s">
        <v>46</v>
      </c>
      <c r="H13" t="s">
        <v>55</v>
      </c>
      <c r="I13" t="s">
        <v>25</v>
      </c>
      <c r="J13">
        <v>12.8</v>
      </c>
      <c r="K13">
        <v>8</v>
      </c>
      <c r="L13" t="s">
        <v>27</v>
      </c>
      <c r="M13">
        <v>2</v>
      </c>
      <c r="N13" t="s">
        <v>27</v>
      </c>
      <c r="O13" t="s">
        <v>28</v>
      </c>
      <c r="P13" t="s">
        <v>57</v>
      </c>
      <c r="Q13" t="s">
        <v>39</v>
      </c>
      <c r="R13" t="str">
        <f>IF(Table1[[#This Row],[Resolution_Time_Hrs]]&gt;Table1[[#This Row],[SLA_Target_Hrs]],"No", "Yes")</f>
        <v>No</v>
      </c>
      <c r="S13" t="str">
        <f>IF(Table1[[#This Row],[Calculated_SLA]]=Table1[[#This Row],[SLA_Met]],"Match","Mismatch")</f>
        <v>Match</v>
      </c>
      <c r="T13">
        <f>IF(Table1[[#This Row],[Calculated_SLA]]="Yes",1,0)</f>
        <v>0</v>
      </c>
      <c r="U13" t="str">
        <f>IF(COUNTIFS(Reference_data!A:A,Table1[[#This Row],[Category]],Reference_data!B:B,Table1[[#This Row],[Sub_Category]])&gt;0,"Valid","Invalid")</f>
        <v>Valid</v>
      </c>
      <c r="V13" t="str">
        <f>_xlfn.XLOOKUP([1]!Table1[[#This Row],[Sub_Category]],[1]Reference_data!B:B,[1]Reference_data!A:A)</f>
        <v>Connectivity &amp; Software</v>
      </c>
      <c r="W13" t="str">
        <f>IF([1]!Table1[[#This Row],[Category]]=[1]!Table1[[#This Row],[Expected_Category ]],"Valid", "invalid")</f>
        <v>Valid</v>
      </c>
    </row>
    <row r="14" spans="1:23">
      <c r="A14" t="s">
        <v>98</v>
      </c>
      <c r="B14" t="s">
        <v>50</v>
      </c>
      <c r="C14" s="31" t="s">
        <v>99</v>
      </c>
      <c r="D14" s="32" t="s">
        <v>100</v>
      </c>
      <c r="E14" t="s">
        <v>21</v>
      </c>
      <c r="F14" t="s">
        <v>63</v>
      </c>
      <c r="G14" t="s">
        <v>46</v>
      </c>
      <c r="H14" t="s">
        <v>55</v>
      </c>
      <c r="I14" t="s">
        <v>25</v>
      </c>
      <c r="J14">
        <v>12.8</v>
      </c>
      <c r="K14">
        <v>8</v>
      </c>
      <c r="L14" t="s">
        <v>27</v>
      </c>
      <c r="M14">
        <v>2</v>
      </c>
      <c r="N14" t="s">
        <v>26</v>
      </c>
      <c r="O14" t="s">
        <v>28</v>
      </c>
      <c r="P14" t="s">
        <v>1670</v>
      </c>
      <c r="Q14" t="s">
        <v>101</v>
      </c>
      <c r="R14" t="str">
        <f>IF(Table1[[#This Row],[Resolution_Time_Hrs]]&gt;Table1[[#This Row],[SLA_Target_Hrs]],"No", "Yes")</f>
        <v>No</v>
      </c>
      <c r="S14" t="str">
        <f>IF(Table1[[#This Row],[Calculated_SLA]]=Table1[[#This Row],[SLA_Met]],"Match","Mismatch")</f>
        <v>Match</v>
      </c>
      <c r="T14">
        <f>IF(Table1[[#This Row],[Calculated_SLA]]="Yes",1,0)</f>
        <v>0</v>
      </c>
      <c r="U14" t="str">
        <f>IF(COUNTIFS(Reference_data!A:A,Table1[[#This Row],[Category]],Reference_data!B:B,Table1[[#This Row],[Sub_Category]])&gt;0,"Valid","Invalid")</f>
        <v>Valid</v>
      </c>
      <c r="V14" t="str">
        <f>_xlfn.XLOOKUP([1]!Table1[[#This Row],[Sub_Category]],[1]Reference_data!B:B,[1]Reference_data!A:A)</f>
        <v>Connectivity &amp; Software</v>
      </c>
      <c r="W14" t="str">
        <f>IF([1]!Table1[[#This Row],[Category]]=[1]!Table1[[#This Row],[Expected_Category ]],"Valid", "invalid")</f>
        <v>Valid</v>
      </c>
    </row>
    <row r="15" spans="1:23">
      <c r="A15" t="s">
        <v>102</v>
      </c>
      <c r="B15" t="s">
        <v>66</v>
      </c>
      <c r="C15" s="31" t="s">
        <v>103</v>
      </c>
      <c r="D15" s="32" t="s">
        <v>104</v>
      </c>
      <c r="E15" t="s">
        <v>35</v>
      </c>
      <c r="F15" t="s">
        <v>36</v>
      </c>
      <c r="G15" t="s">
        <v>46</v>
      </c>
      <c r="H15" t="s">
        <v>24</v>
      </c>
      <c r="I15" t="s">
        <v>38</v>
      </c>
      <c r="J15">
        <v>9</v>
      </c>
      <c r="K15">
        <v>8</v>
      </c>
      <c r="L15" t="s">
        <v>27</v>
      </c>
      <c r="M15">
        <v>3</v>
      </c>
      <c r="N15" t="s">
        <v>26</v>
      </c>
      <c r="O15" t="s">
        <v>28</v>
      </c>
      <c r="P15" t="s">
        <v>1670</v>
      </c>
      <c r="Q15" t="s">
        <v>30</v>
      </c>
      <c r="R15" t="str">
        <f>IF(Table1[[#This Row],[Resolution_Time_Hrs]]&gt;Table1[[#This Row],[SLA_Target_Hrs]],"No", "Yes")</f>
        <v>No</v>
      </c>
      <c r="S15" t="str">
        <f>IF(Table1[[#This Row],[Calculated_SLA]]=Table1[[#This Row],[SLA_Met]],"Match","Mismatch")</f>
        <v>Match</v>
      </c>
      <c r="T15">
        <f>IF(Table1[[#This Row],[Calculated_SLA]]="Yes",1,0)</f>
        <v>0</v>
      </c>
      <c r="U15" t="str">
        <f>IF(COUNTIFS(Reference_data!A:A,Table1[[#This Row],[Category]],Reference_data!B:B,Table1[[#This Row],[Sub_Category]])&gt;0,"Valid","Invalid")</f>
        <v>Valid</v>
      </c>
      <c r="V15" t="str">
        <f>_xlfn.XLOOKUP([1]!Table1[[#This Row],[Sub_Category]],[1]Reference_data!B:B,[1]Reference_data!A:A)</f>
        <v>Print Quality</v>
      </c>
      <c r="W15" t="str">
        <f>IF([1]!Table1[[#This Row],[Category]]=[1]!Table1[[#This Row],[Expected_Category ]],"Valid", "invalid")</f>
        <v>Valid</v>
      </c>
    </row>
    <row r="16" spans="1:23">
      <c r="A16" t="s">
        <v>105</v>
      </c>
      <c r="B16" t="s">
        <v>106</v>
      </c>
      <c r="C16" s="31" t="s">
        <v>107</v>
      </c>
      <c r="D16" s="32" t="s">
        <v>108</v>
      </c>
      <c r="E16" t="s">
        <v>44</v>
      </c>
      <c r="F16" t="s">
        <v>109</v>
      </c>
      <c r="G16" t="s">
        <v>23</v>
      </c>
      <c r="H16" t="s">
        <v>55</v>
      </c>
      <c r="I16" t="s">
        <v>48</v>
      </c>
      <c r="J16">
        <v>4.4000000000000004</v>
      </c>
      <c r="K16">
        <v>24</v>
      </c>
      <c r="L16" t="s">
        <v>26</v>
      </c>
      <c r="M16">
        <v>5</v>
      </c>
      <c r="N16" t="s">
        <v>27</v>
      </c>
      <c r="O16" t="s">
        <v>28</v>
      </c>
      <c r="P16" t="s">
        <v>29</v>
      </c>
      <c r="Q16" t="s">
        <v>101</v>
      </c>
      <c r="R16" t="str">
        <f>IF(Table1[[#This Row],[Resolution_Time_Hrs]]&gt;Table1[[#This Row],[SLA_Target_Hrs]],"No", "Yes")</f>
        <v>Yes</v>
      </c>
      <c r="S16" t="str">
        <f>IF(Table1[[#This Row],[Calculated_SLA]]=Table1[[#This Row],[SLA_Met]],"Match","Mismatch")</f>
        <v>Match</v>
      </c>
      <c r="T16">
        <f>IF(Table1[[#This Row],[Calculated_SLA]]="Yes",1,0)</f>
        <v>1</v>
      </c>
      <c r="U16" t="str">
        <f>IF(COUNTIFS(Reference_data!A:A,Table1[[#This Row],[Category]],Reference_data!B:B,Table1[[#This Row],[Sub_Category]])&gt;0,"Valid","Invalid")</f>
        <v>Valid</v>
      </c>
      <c r="V16" t="str">
        <f>_xlfn.XLOOKUP([1]!Table1[[#This Row],[Sub_Category]],[1]Reference_data!B:B,[1]Reference_data!A:A)</f>
        <v>Contract &amp; Billing</v>
      </c>
      <c r="W16" t="str">
        <f>IF([1]!Table1[[#This Row],[Category]]=[1]!Table1[[#This Row],[Expected_Category ]],"Valid", "invalid")</f>
        <v>Valid</v>
      </c>
    </row>
    <row r="17" spans="1:23">
      <c r="A17" t="s">
        <v>110</v>
      </c>
      <c r="B17" t="s">
        <v>75</v>
      </c>
      <c r="C17" s="31" t="s">
        <v>111</v>
      </c>
      <c r="D17" s="32" t="s">
        <v>112</v>
      </c>
      <c r="E17" t="s">
        <v>21</v>
      </c>
      <c r="F17" t="s">
        <v>69</v>
      </c>
      <c r="G17" t="s">
        <v>23</v>
      </c>
      <c r="H17" t="s">
        <v>24</v>
      </c>
      <c r="I17" t="s">
        <v>25</v>
      </c>
      <c r="J17">
        <v>9.1</v>
      </c>
      <c r="K17">
        <v>24</v>
      </c>
      <c r="L17" t="s">
        <v>26</v>
      </c>
      <c r="M17">
        <v>5</v>
      </c>
      <c r="N17" t="s">
        <v>27</v>
      </c>
      <c r="O17" t="s">
        <v>28</v>
      </c>
      <c r="P17" t="s">
        <v>29</v>
      </c>
      <c r="Q17" t="s">
        <v>30</v>
      </c>
      <c r="R17" t="str">
        <f>IF(Table1[[#This Row],[Resolution_Time_Hrs]]&gt;Table1[[#This Row],[SLA_Target_Hrs]],"No", "Yes")</f>
        <v>Yes</v>
      </c>
      <c r="S17" t="str">
        <f>IF(Table1[[#This Row],[Calculated_SLA]]=Table1[[#This Row],[SLA_Met]],"Match","Mismatch")</f>
        <v>Match</v>
      </c>
      <c r="T17">
        <f>IF(Table1[[#This Row],[Calculated_SLA]]="Yes",1,0)</f>
        <v>1</v>
      </c>
      <c r="U17" t="str">
        <f>IF(COUNTIFS(Reference_data!A:A,Table1[[#This Row],[Category]],Reference_data!B:B,Table1[[#This Row],[Sub_Category]])&gt;0,"Valid","Invalid")</f>
        <v>Valid</v>
      </c>
      <c r="V17" t="str">
        <f>_xlfn.XLOOKUP([1]!Table1[[#This Row],[Sub_Category]],[1]Reference_data!B:B,[1]Reference_data!A:A)</f>
        <v>Connectivity &amp; Software</v>
      </c>
      <c r="W17" t="str">
        <f>IF([1]!Table1[[#This Row],[Category]]=[1]!Table1[[#This Row],[Expected_Category ]],"Valid", "invalid")</f>
        <v>Valid</v>
      </c>
    </row>
    <row r="18" spans="1:23">
      <c r="A18" t="s">
        <v>113</v>
      </c>
      <c r="B18" t="s">
        <v>50</v>
      </c>
      <c r="C18" s="31" t="s">
        <v>114</v>
      </c>
      <c r="D18" s="32" t="s">
        <v>115</v>
      </c>
      <c r="E18" t="s">
        <v>84</v>
      </c>
      <c r="F18" t="s">
        <v>116</v>
      </c>
      <c r="G18" t="s">
        <v>46</v>
      </c>
      <c r="H18" t="s">
        <v>70</v>
      </c>
      <c r="I18" t="s">
        <v>87</v>
      </c>
      <c r="J18">
        <v>5.2</v>
      </c>
      <c r="K18">
        <v>8</v>
      </c>
      <c r="L18" t="s">
        <v>26</v>
      </c>
      <c r="M18">
        <v>4</v>
      </c>
      <c r="N18" t="s">
        <v>27</v>
      </c>
      <c r="O18" t="s">
        <v>28</v>
      </c>
      <c r="P18" t="s">
        <v>29</v>
      </c>
      <c r="Q18" t="s">
        <v>58</v>
      </c>
      <c r="R18" t="str">
        <f>IF(Table1[[#This Row],[Resolution_Time_Hrs]]&gt;Table1[[#This Row],[SLA_Target_Hrs]],"No", "Yes")</f>
        <v>Yes</v>
      </c>
      <c r="S18" t="str">
        <f>IF(Table1[[#This Row],[Calculated_SLA]]=Table1[[#This Row],[SLA_Met]],"Match","Mismatch")</f>
        <v>Match</v>
      </c>
      <c r="T18">
        <f>IF(Table1[[#This Row],[Calculated_SLA]]="Yes",1,0)</f>
        <v>1</v>
      </c>
      <c r="U18" t="str">
        <f>IF(COUNTIFS(Reference_data!A:A,Table1[[#This Row],[Category]],Reference_data!B:B,Table1[[#This Row],[Sub_Category]])&gt;0,"Valid","Invalid")</f>
        <v>Valid</v>
      </c>
      <c r="V18" t="str">
        <f>_xlfn.XLOOKUP([1]!Table1[[#This Row],[Sub_Category]],[1]Reference_data!B:B,[1]Reference_data!A:A)</f>
        <v>Supplies &amp; Logistics</v>
      </c>
      <c r="W18" t="str">
        <f>IF([1]!Table1[[#This Row],[Category]]=[1]!Table1[[#This Row],[Expected_Category ]],"Valid", "invalid")</f>
        <v>Valid</v>
      </c>
    </row>
    <row r="19" spans="1:23">
      <c r="A19" t="s">
        <v>117</v>
      </c>
      <c r="B19" t="s">
        <v>50</v>
      </c>
      <c r="C19" s="31" t="s">
        <v>118</v>
      </c>
      <c r="D19" s="32" t="s">
        <v>119</v>
      </c>
      <c r="E19" t="s">
        <v>78</v>
      </c>
      <c r="F19" t="s">
        <v>79</v>
      </c>
      <c r="G19" t="s">
        <v>46</v>
      </c>
      <c r="H19" t="s">
        <v>64</v>
      </c>
      <c r="I19" t="s">
        <v>80</v>
      </c>
      <c r="J19">
        <v>9.1999999999999993</v>
      </c>
      <c r="K19">
        <v>8</v>
      </c>
      <c r="L19" t="s">
        <v>27</v>
      </c>
      <c r="N19" t="s">
        <v>26</v>
      </c>
      <c r="O19" t="s">
        <v>28</v>
      </c>
      <c r="P19" t="s">
        <v>57</v>
      </c>
      <c r="Q19" t="s">
        <v>39</v>
      </c>
      <c r="R19" t="str">
        <f>IF(Table1[[#This Row],[Resolution_Time_Hrs]]&gt;Table1[[#This Row],[SLA_Target_Hrs]],"No", "Yes")</f>
        <v>No</v>
      </c>
      <c r="S19" t="str">
        <f>IF(Table1[[#This Row],[Calculated_SLA]]=Table1[[#This Row],[SLA_Met]],"Match","Mismatch")</f>
        <v>Match</v>
      </c>
      <c r="T19">
        <f>IF(Table1[[#This Row],[Calculated_SLA]]="Yes",1,0)</f>
        <v>0</v>
      </c>
      <c r="U19" t="str">
        <f>IF(COUNTIFS(Reference_data!A:A,Table1[[#This Row],[Category]],Reference_data!B:B,Table1[[#This Row],[Sub_Category]])&gt;0,"Valid","Invalid")</f>
        <v>Valid</v>
      </c>
      <c r="V19" t="str">
        <f>_xlfn.XLOOKUP([1]!Table1[[#This Row],[Sub_Category]],[1]Reference_data!B:B,[1]Reference_data!A:A)</f>
        <v>Hardware &amp; Mechanical</v>
      </c>
      <c r="W19" t="str">
        <f>IF([1]!Table1[[#This Row],[Category]]=[1]!Table1[[#This Row],[Expected_Category ]],"Valid", "invalid")</f>
        <v>Valid</v>
      </c>
    </row>
    <row r="20" spans="1:23">
      <c r="A20" t="s">
        <v>120</v>
      </c>
      <c r="B20" t="s">
        <v>121</v>
      </c>
      <c r="C20" s="31" t="s">
        <v>122</v>
      </c>
      <c r="D20" s="32" t="s">
        <v>123</v>
      </c>
      <c r="E20" t="s">
        <v>21</v>
      </c>
      <c r="F20" t="s">
        <v>63</v>
      </c>
      <c r="G20" t="s">
        <v>46</v>
      </c>
      <c r="H20" t="s">
        <v>55</v>
      </c>
      <c r="I20" t="s">
        <v>25</v>
      </c>
      <c r="J20">
        <v>6.6</v>
      </c>
      <c r="K20">
        <v>8</v>
      </c>
      <c r="L20" t="s">
        <v>26</v>
      </c>
      <c r="M20">
        <v>4</v>
      </c>
      <c r="N20" t="s">
        <v>27</v>
      </c>
      <c r="O20" t="s">
        <v>28</v>
      </c>
      <c r="P20" t="s">
        <v>29</v>
      </c>
      <c r="Q20" t="s">
        <v>101</v>
      </c>
      <c r="R20" t="str">
        <f>IF(Table1[[#This Row],[Resolution_Time_Hrs]]&gt;Table1[[#This Row],[SLA_Target_Hrs]],"No", "Yes")</f>
        <v>Yes</v>
      </c>
      <c r="S20" t="str">
        <f>IF(Table1[[#This Row],[Calculated_SLA]]=Table1[[#This Row],[SLA_Met]],"Match","Mismatch")</f>
        <v>Match</v>
      </c>
      <c r="T20">
        <f>IF(Table1[[#This Row],[Calculated_SLA]]="Yes",1,0)</f>
        <v>1</v>
      </c>
      <c r="U20" t="str">
        <f>IF(COUNTIFS(Reference_data!A:A,Table1[[#This Row],[Category]],Reference_data!B:B,Table1[[#This Row],[Sub_Category]])&gt;0,"Valid","Invalid")</f>
        <v>Valid</v>
      </c>
      <c r="V20" t="str">
        <f>_xlfn.XLOOKUP([1]!Table1[[#This Row],[Sub_Category]],[1]Reference_data!B:B,[1]Reference_data!A:A)</f>
        <v>Connectivity &amp; Software</v>
      </c>
      <c r="W20" t="str">
        <f>IF([1]!Table1[[#This Row],[Category]]=[1]!Table1[[#This Row],[Expected_Category ]],"Valid", "invalid")</f>
        <v>Valid</v>
      </c>
    </row>
    <row r="21" spans="1:23">
      <c r="A21" t="s">
        <v>124</v>
      </c>
      <c r="B21" t="s">
        <v>50</v>
      </c>
      <c r="C21" s="31" t="s">
        <v>125</v>
      </c>
      <c r="D21" s="32" t="s">
        <v>126</v>
      </c>
      <c r="E21" t="s">
        <v>35</v>
      </c>
      <c r="F21" t="s">
        <v>127</v>
      </c>
      <c r="G21" t="s">
        <v>46</v>
      </c>
      <c r="H21" t="s">
        <v>55</v>
      </c>
      <c r="I21" t="s">
        <v>56</v>
      </c>
      <c r="J21">
        <v>5.0999999999999996</v>
      </c>
      <c r="K21">
        <v>8</v>
      </c>
      <c r="L21" t="s">
        <v>26</v>
      </c>
      <c r="M21">
        <v>4</v>
      </c>
      <c r="N21" t="s">
        <v>27</v>
      </c>
      <c r="O21" t="s">
        <v>28</v>
      </c>
      <c r="P21" t="s">
        <v>29</v>
      </c>
      <c r="Q21" t="s">
        <v>39</v>
      </c>
      <c r="R21" t="str">
        <f>IF(Table1[[#This Row],[Resolution_Time_Hrs]]&gt;Table1[[#This Row],[SLA_Target_Hrs]],"No", "Yes")</f>
        <v>Yes</v>
      </c>
      <c r="S21" t="str">
        <f>IF(Table1[[#This Row],[Calculated_SLA]]=Table1[[#This Row],[SLA_Met]],"Match","Mismatch")</f>
        <v>Match</v>
      </c>
      <c r="T21">
        <f>IF(Table1[[#This Row],[Calculated_SLA]]="Yes",1,0)</f>
        <v>1</v>
      </c>
      <c r="U21" t="str">
        <f>IF(COUNTIFS(Reference_data!A:A,Table1[[#This Row],[Category]],Reference_data!B:B,Table1[[#This Row],[Sub_Category]])&gt;0,"Valid","Invalid")</f>
        <v>Valid</v>
      </c>
      <c r="V21" t="str">
        <f>_xlfn.XLOOKUP([1]!Table1[[#This Row],[Sub_Category]],[1]Reference_data!B:B,[1]Reference_data!A:A)</f>
        <v>Print Quality</v>
      </c>
      <c r="W21" t="str">
        <f>IF([1]!Table1[[#This Row],[Category]]=[1]!Table1[[#This Row],[Expected_Category ]],"Valid", "invalid")</f>
        <v>Valid</v>
      </c>
    </row>
    <row r="22" spans="1:23">
      <c r="A22" t="s">
        <v>128</v>
      </c>
      <c r="B22" t="s">
        <v>32</v>
      </c>
      <c r="C22" s="31" t="s">
        <v>129</v>
      </c>
      <c r="D22" s="32" t="s">
        <v>130</v>
      </c>
      <c r="E22" t="s">
        <v>21</v>
      </c>
      <c r="F22" t="s">
        <v>22</v>
      </c>
      <c r="G22" t="s">
        <v>23</v>
      </c>
      <c r="H22" t="s">
        <v>47</v>
      </c>
      <c r="I22" t="s">
        <v>25</v>
      </c>
      <c r="J22">
        <v>9.6</v>
      </c>
      <c r="K22">
        <v>24</v>
      </c>
      <c r="L22" t="s">
        <v>26</v>
      </c>
      <c r="M22">
        <v>4</v>
      </c>
      <c r="N22" t="s">
        <v>27</v>
      </c>
      <c r="O22" t="s">
        <v>28</v>
      </c>
      <c r="P22" t="s">
        <v>29</v>
      </c>
      <c r="Q22" t="s">
        <v>39</v>
      </c>
      <c r="R22" t="str">
        <f>IF(Table1[[#This Row],[Resolution_Time_Hrs]]&gt;Table1[[#This Row],[SLA_Target_Hrs]],"No", "Yes")</f>
        <v>Yes</v>
      </c>
      <c r="S22" t="str">
        <f>IF(Table1[[#This Row],[Calculated_SLA]]=Table1[[#This Row],[SLA_Met]],"Match","Mismatch")</f>
        <v>Match</v>
      </c>
      <c r="T22">
        <f>IF(Table1[[#This Row],[Calculated_SLA]]="Yes",1,0)</f>
        <v>1</v>
      </c>
      <c r="U22" t="str">
        <f>IF(COUNTIFS(Reference_data!A:A,Table1[[#This Row],[Category]],Reference_data!B:B,Table1[[#This Row],[Sub_Category]])&gt;0,"Valid","Invalid")</f>
        <v>Valid</v>
      </c>
      <c r="V22" t="str">
        <f>_xlfn.XLOOKUP([1]!Table1[[#This Row],[Sub_Category]],[1]Reference_data!B:B,[1]Reference_data!A:A)</f>
        <v>Connectivity &amp; Software</v>
      </c>
      <c r="W22" t="str">
        <f>IF([1]!Table1[[#This Row],[Category]]=[1]!Table1[[#This Row],[Expected_Category ]],"Valid", "invalid")</f>
        <v>Valid</v>
      </c>
    </row>
    <row r="23" spans="1:23">
      <c r="A23" t="s">
        <v>131</v>
      </c>
      <c r="B23" t="s">
        <v>121</v>
      </c>
      <c r="C23" s="31" t="s">
        <v>132</v>
      </c>
      <c r="D23" s="32" t="s">
        <v>133</v>
      </c>
      <c r="E23" t="s">
        <v>84</v>
      </c>
      <c r="F23" t="s">
        <v>85</v>
      </c>
      <c r="G23" t="s">
        <v>23</v>
      </c>
      <c r="H23" t="s">
        <v>70</v>
      </c>
      <c r="I23" t="s">
        <v>87</v>
      </c>
      <c r="J23">
        <v>7.4</v>
      </c>
      <c r="K23">
        <v>24</v>
      </c>
      <c r="L23" t="s">
        <v>26</v>
      </c>
      <c r="M23">
        <v>5</v>
      </c>
      <c r="N23" t="s">
        <v>27</v>
      </c>
      <c r="O23" t="s">
        <v>28</v>
      </c>
      <c r="P23" t="s">
        <v>29</v>
      </c>
      <c r="Q23" t="s">
        <v>58</v>
      </c>
      <c r="R23" t="str">
        <f>IF(Table1[[#This Row],[Resolution_Time_Hrs]]&gt;Table1[[#This Row],[SLA_Target_Hrs]],"No", "Yes")</f>
        <v>Yes</v>
      </c>
      <c r="S23" t="str">
        <f>IF(Table1[[#This Row],[Calculated_SLA]]=Table1[[#This Row],[SLA_Met]],"Match","Mismatch")</f>
        <v>Match</v>
      </c>
      <c r="T23">
        <f>IF(Table1[[#This Row],[Calculated_SLA]]="Yes",1,0)</f>
        <v>1</v>
      </c>
      <c r="U23" t="str">
        <f>IF(COUNTIFS(Reference_data!A:A,Table1[[#This Row],[Category]],Reference_data!B:B,Table1[[#This Row],[Sub_Category]])&gt;0,"Valid","Invalid")</f>
        <v>Valid</v>
      </c>
      <c r="V23" t="str">
        <f>_xlfn.XLOOKUP([1]!Table1[[#This Row],[Sub_Category]],[1]Reference_data!B:B,[1]Reference_data!A:A)</f>
        <v>Supplies &amp; Logistics</v>
      </c>
      <c r="W23" t="str">
        <f>IF([1]!Table1[[#This Row],[Category]]=[1]!Table1[[#This Row],[Expected_Category ]],"Valid", "invalid")</f>
        <v>Valid</v>
      </c>
    </row>
    <row r="24" spans="1:23">
      <c r="A24" t="s">
        <v>134</v>
      </c>
      <c r="B24" t="s">
        <v>135</v>
      </c>
      <c r="C24" s="31" t="s">
        <v>136</v>
      </c>
      <c r="D24" s="32" t="s">
        <v>137</v>
      </c>
      <c r="E24" t="s">
        <v>35</v>
      </c>
      <c r="F24" t="s">
        <v>53</v>
      </c>
      <c r="G24" t="s">
        <v>46</v>
      </c>
      <c r="H24" t="s">
        <v>138</v>
      </c>
      <c r="I24" t="s">
        <v>56</v>
      </c>
      <c r="J24">
        <v>9.1</v>
      </c>
      <c r="K24">
        <v>8</v>
      </c>
      <c r="L24" t="s">
        <v>27</v>
      </c>
      <c r="N24" t="s">
        <v>26</v>
      </c>
      <c r="O24" t="s">
        <v>28</v>
      </c>
      <c r="P24" t="s">
        <v>1670</v>
      </c>
      <c r="Q24" t="s">
        <v>101</v>
      </c>
      <c r="R24" t="str">
        <f>IF(Table1[[#This Row],[Resolution_Time_Hrs]]&gt;Table1[[#This Row],[SLA_Target_Hrs]],"No", "Yes")</f>
        <v>No</v>
      </c>
      <c r="S24" t="str">
        <f>IF(Table1[[#This Row],[Calculated_SLA]]=Table1[[#This Row],[SLA_Met]],"Match","Mismatch")</f>
        <v>Match</v>
      </c>
      <c r="T24">
        <f>IF(Table1[[#This Row],[Calculated_SLA]]="Yes",1,0)</f>
        <v>0</v>
      </c>
      <c r="U24" t="str">
        <f>IF(COUNTIFS(Reference_data!A:A,Table1[[#This Row],[Category]],Reference_data!B:B,Table1[[#This Row],[Sub_Category]])&gt;0,"Valid","Invalid")</f>
        <v>Valid</v>
      </c>
      <c r="V24" t="str">
        <f>_xlfn.XLOOKUP([1]!Table1[[#This Row],[Sub_Category]],[1]Reference_data!B:B,[1]Reference_data!A:A)</f>
        <v>Print Quality</v>
      </c>
      <c r="W24" t="str">
        <f>IF([1]!Table1[[#This Row],[Category]]=[1]!Table1[[#This Row],[Expected_Category ]],"Valid", "invalid")</f>
        <v>Valid</v>
      </c>
    </row>
    <row r="25" spans="1:23">
      <c r="A25" t="s">
        <v>139</v>
      </c>
      <c r="B25" t="s">
        <v>121</v>
      </c>
      <c r="C25" s="31" t="s">
        <v>140</v>
      </c>
      <c r="D25" s="32" t="s">
        <v>141</v>
      </c>
      <c r="E25" t="s">
        <v>35</v>
      </c>
      <c r="F25" t="s">
        <v>53</v>
      </c>
      <c r="G25" t="s">
        <v>46</v>
      </c>
      <c r="H25" t="s">
        <v>91</v>
      </c>
      <c r="I25" t="s">
        <v>56</v>
      </c>
      <c r="J25">
        <v>8</v>
      </c>
      <c r="K25">
        <v>8</v>
      </c>
      <c r="L25" t="s">
        <v>26</v>
      </c>
      <c r="M25">
        <v>5</v>
      </c>
      <c r="N25" t="s">
        <v>27</v>
      </c>
      <c r="O25" t="s">
        <v>28</v>
      </c>
      <c r="P25" t="s">
        <v>29</v>
      </c>
      <c r="Q25" t="s">
        <v>30</v>
      </c>
      <c r="R25" t="str">
        <f>IF(Table1[[#This Row],[Resolution_Time_Hrs]]&gt;Table1[[#This Row],[SLA_Target_Hrs]],"No", "Yes")</f>
        <v>Yes</v>
      </c>
      <c r="S25" t="str">
        <f>IF(Table1[[#This Row],[Calculated_SLA]]=Table1[[#This Row],[SLA_Met]],"Match","Mismatch")</f>
        <v>Match</v>
      </c>
      <c r="T25">
        <f>IF(Table1[[#This Row],[Calculated_SLA]]="Yes",1,0)</f>
        <v>1</v>
      </c>
      <c r="U25" t="str">
        <f>IF(COUNTIFS(Reference_data!A:A,Table1[[#This Row],[Category]],Reference_data!B:B,Table1[[#This Row],[Sub_Category]])&gt;0,"Valid","Invalid")</f>
        <v>Valid</v>
      </c>
      <c r="V25" t="str">
        <f>_xlfn.XLOOKUP([1]!Table1[[#This Row],[Sub_Category]],[1]Reference_data!B:B,[1]Reference_data!A:A)</f>
        <v>Print Quality</v>
      </c>
      <c r="W25" t="str">
        <f>IF([1]!Table1[[#This Row],[Category]]=[1]!Table1[[#This Row],[Expected_Category ]],"Valid", "invalid")</f>
        <v>Valid</v>
      </c>
    </row>
    <row r="26" spans="1:23">
      <c r="A26" t="s">
        <v>142</v>
      </c>
      <c r="B26" t="s">
        <v>32</v>
      </c>
      <c r="C26" s="31" t="s">
        <v>143</v>
      </c>
      <c r="D26" s="32" t="s">
        <v>144</v>
      </c>
      <c r="E26" t="s">
        <v>21</v>
      </c>
      <c r="F26" t="s">
        <v>69</v>
      </c>
      <c r="G26" t="s">
        <v>46</v>
      </c>
      <c r="H26" t="s">
        <v>55</v>
      </c>
      <c r="I26" t="s">
        <v>25</v>
      </c>
      <c r="J26">
        <v>14.7</v>
      </c>
      <c r="K26">
        <v>8</v>
      </c>
      <c r="L26" t="s">
        <v>27</v>
      </c>
      <c r="M26">
        <v>1</v>
      </c>
      <c r="N26" t="s">
        <v>26</v>
      </c>
      <c r="O26" t="s">
        <v>28</v>
      </c>
      <c r="P26" t="s">
        <v>1670</v>
      </c>
      <c r="Q26" t="s">
        <v>101</v>
      </c>
      <c r="R26" t="str">
        <f>IF(Table1[[#This Row],[Resolution_Time_Hrs]]&gt;Table1[[#This Row],[SLA_Target_Hrs]],"No", "Yes")</f>
        <v>No</v>
      </c>
      <c r="S26" t="str">
        <f>IF(Table1[[#This Row],[Calculated_SLA]]=Table1[[#This Row],[SLA_Met]],"Match","Mismatch")</f>
        <v>Match</v>
      </c>
      <c r="T26">
        <f>IF(Table1[[#This Row],[Calculated_SLA]]="Yes",1,0)</f>
        <v>0</v>
      </c>
      <c r="U26" t="str">
        <f>IF(COUNTIFS(Reference_data!A:A,Table1[[#This Row],[Category]],Reference_data!B:B,Table1[[#This Row],[Sub_Category]])&gt;0,"Valid","Invalid")</f>
        <v>Valid</v>
      </c>
      <c r="V26" t="str">
        <f>_xlfn.XLOOKUP([1]!Table1[[#This Row],[Sub_Category]],[1]Reference_data!B:B,[1]Reference_data!A:A)</f>
        <v>Connectivity &amp; Software</v>
      </c>
      <c r="W26" t="str">
        <f>IF([1]!Table1[[#This Row],[Category]]=[1]!Table1[[#This Row],[Expected_Category ]],"Valid", "invalid")</f>
        <v>Valid</v>
      </c>
    </row>
    <row r="27" spans="1:23">
      <c r="A27" t="s">
        <v>145</v>
      </c>
      <c r="B27" t="s">
        <v>135</v>
      </c>
      <c r="C27" s="31" t="s">
        <v>146</v>
      </c>
      <c r="D27" s="32" t="s">
        <v>147</v>
      </c>
      <c r="E27" t="s">
        <v>84</v>
      </c>
      <c r="F27" t="s">
        <v>116</v>
      </c>
      <c r="G27" t="s">
        <v>46</v>
      </c>
      <c r="H27" t="s">
        <v>91</v>
      </c>
      <c r="I27" t="s">
        <v>87</v>
      </c>
      <c r="J27">
        <v>9.1999999999999993</v>
      </c>
      <c r="K27">
        <v>8</v>
      </c>
      <c r="L27" t="s">
        <v>27</v>
      </c>
      <c r="M27">
        <v>3</v>
      </c>
      <c r="N27" t="s">
        <v>27</v>
      </c>
      <c r="O27" t="s">
        <v>28</v>
      </c>
      <c r="P27" t="s">
        <v>57</v>
      </c>
      <c r="Q27" t="s">
        <v>101</v>
      </c>
      <c r="R27" t="str">
        <f>IF(Table1[[#This Row],[Resolution_Time_Hrs]]&gt;Table1[[#This Row],[SLA_Target_Hrs]],"No", "Yes")</f>
        <v>No</v>
      </c>
      <c r="S27" t="str">
        <f>IF(Table1[[#This Row],[Calculated_SLA]]=Table1[[#This Row],[SLA_Met]],"Match","Mismatch")</f>
        <v>Match</v>
      </c>
      <c r="T27">
        <f>IF(Table1[[#This Row],[Calculated_SLA]]="Yes",1,0)</f>
        <v>0</v>
      </c>
      <c r="U27" t="str">
        <f>IF(COUNTIFS(Reference_data!A:A,Table1[[#This Row],[Category]],Reference_data!B:B,Table1[[#This Row],[Sub_Category]])&gt;0,"Valid","Invalid")</f>
        <v>Valid</v>
      </c>
      <c r="V27" t="str">
        <f>_xlfn.XLOOKUP([1]!Table1[[#This Row],[Sub_Category]],[1]Reference_data!B:B,[1]Reference_data!A:A)</f>
        <v>Supplies &amp; Logistics</v>
      </c>
      <c r="W27" t="str">
        <f>IF([1]!Table1[[#This Row],[Category]]=[1]!Table1[[#This Row],[Expected_Category ]],"Valid", "invalid")</f>
        <v>Valid</v>
      </c>
    </row>
    <row r="28" spans="1:23">
      <c r="A28" t="s">
        <v>148</v>
      </c>
      <c r="B28" t="s">
        <v>75</v>
      </c>
      <c r="C28" s="31" t="s">
        <v>149</v>
      </c>
      <c r="D28" s="32" t="s">
        <v>150</v>
      </c>
      <c r="E28" t="s">
        <v>35</v>
      </c>
      <c r="F28" t="s">
        <v>53</v>
      </c>
      <c r="G28" t="s">
        <v>23</v>
      </c>
      <c r="H28" t="s">
        <v>64</v>
      </c>
      <c r="I28" t="s">
        <v>56</v>
      </c>
      <c r="J28">
        <v>6.3</v>
      </c>
      <c r="K28">
        <v>24</v>
      </c>
      <c r="L28" t="s">
        <v>26</v>
      </c>
      <c r="M28">
        <v>4</v>
      </c>
      <c r="N28" t="s">
        <v>27</v>
      </c>
      <c r="O28" t="s">
        <v>28</v>
      </c>
      <c r="P28" t="s">
        <v>29</v>
      </c>
      <c r="Q28" t="s">
        <v>101</v>
      </c>
      <c r="R28" t="str">
        <f>IF(Table1[[#This Row],[Resolution_Time_Hrs]]&gt;Table1[[#This Row],[SLA_Target_Hrs]],"No", "Yes")</f>
        <v>Yes</v>
      </c>
      <c r="S28" t="str">
        <f>IF(Table1[[#This Row],[Calculated_SLA]]=Table1[[#This Row],[SLA_Met]],"Match","Mismatch")</f>
        <v>Match</v>
      </c>
      <c r="T28">
        <f>IF(Table1[[#This Row],[Calculated_SLA]]="Yes",1,0)</f>
        <v>1</v>
      </c>
      <c r="U28" t="str">
        <f>IF(COUNTIFS(Reference_data!A:A,Table1[[#This Row],[Category]],Reference_data!B:B,Table1[[#This Row],[Sub_Category]])&gt;0,"Valid","Invalid")</f>
        <v>Valid</v>
      </c>
      <c r="V28" t="str">
        <f>_xlfn.XLOOKUP([1]!Table1[[#This Row],[Sub_Category]],[1]Reference_data!B:B,[1]Reference_data!A:A)</f>
        <v>Print Quality</v>
      </c>
      <c r="W28" t="str">
        <f>IF([1]!Table1[[#This Row],[Category]]=[1]!Table1[[#This Row],[Expected_Category ]],"Valid", "invalid")</f>
        <v>Valid</v>
      </c>
    </row>
    <row r="29" spans="1:23">
      <c r="A29" t="s">
        <v>151</v>
      </c>
      <c r="B29" t="s">
        <v>135</v>
      </c>
      <c r="C29" s="31" t="s">
        <v>152</v>
      </c>
      <c r="D29" s="32" t="s">
        <v>153</v>
      </c>
      <c r="E29" t="s">
        <v>21</v>
      </c>
      <c r="F29" t="s">
        <v>22</v>
      </c>
      <c r="G29" t="s">
        <v>46</v>
      </c>
      <c r="H29" t="s">
        <v>64</v>
      </c>
      <c r="I29" t="s">
        <v>25</v>
      </c>
      <c r="J29">
        <v>9.5</v>
      </c>
      <c r="K29">
        <v>8</v>
      </c>
      <c r="L29" t="s">
        <v>27</v>
      </c>
      <c r="M29">
        <v>3</v>
      </c>
      <c r="N29" t="s">
        <v>26</v>
      </c>
      <c r="O29" t="s">
        <v>28</v>
      </c>
      <c r="P29" t="s">
        <v>1670</v>
      </c>
      <c r="Q29" t="s">
        <v>39</v>
      </c>
      <c r="R29" t="str">
        <f>IF(Table1[[#This Row],[Resolution_Time_Hrs]]&gt;Table1[[#This Row],[SLA_Target_Hrs]],"No", "Yes")</f>
        <v>No</v>
      </c>
      <c r="S29" t="str">
        <f>IF(Table1[[#This Row],[Calculated_SLA]]=Table1[[#This Row],[SLA_Met]],"Match","Mismatch")</f>
        <v>Match</v>
      </c>
      <c r="T29">
        <f>IF(Table1[[#This Row],[Calculated_SLA]]="Yes",1,0)</f>
        <v>0</v>
      </c>
      <c r="U29" t="str">
        <f>IF(COUNTIFS(Reference_data!A:A,Table1[[#This Row],[Category]],Reference_data!B:B,Table1[[#This Row],[Sub_Category]])&gt;0,"Valid","Invalid")</f>
        <v>Valid</v>
      </c>
      <c r="V29" t="str">
        <f>_xlfn.XLOOKUP([1]!Table1[[#This Row],[Sub_Category]],[1]Reference_data!B:B,[1]Reference_data!A:A)</f>
        <v>Connectivity &amp; Software</v>
      </c>
      <c r="W29" t="str">
        <f>IF([1]!Table1[[#This Row],[Category]]=[1]!Table1[[#This Row],[Expected_Category ]],"Valid", "invalid")</f>
        <v>Valid</v>
      </c>
    </row>
    <row r="30" spans="1:23">
      <c r="A30" t="s">
        <v>154</v>
      </c>
      <c r="B30" t="s">
        <v>75</v>
      </c>
      <c r="C30" s="31" t="s">
        <v>155</v>
      </c>
      <c r="D30" s="32" t="s">
        <v>156</v>
      </c>
      <c r="E30" t="s">
        <v>21</v>
      </c>
      <c r="F30" t="s">
        <v>63</v>
      </c>
      <c r="G30" t="s">
        <v>23</v>
      </c>
      <c r="H30" t="s">
        <v>55</v>
      </c>
      <c r="I30" t="s">
        <v>25</v>
      </c>
      <c r="J30">
        <v>12.4</v>
      </c>
      <c r="K30">
        <v>24</v>
      </c>
      <c r="L30" t="s">
        <v>27</v>
      </c>
      <c r="M30">
        <v>3</v>
      </c>
      <c r="N30" t="s">
        <v>26</v>
      </c>
      <c r="O30" t="s">
        <v>28</v>
      </c>
      <c r="P30" t="s">
        <v>57</v>
      </c>
      <c r="Q30" t="s">
        <v>39</v>
      </c>
      <c r="R30" t="str">
        <f>IF(Table1[[#This Row],[Resolution_Time_Hrs]]&gt;Table1[[#This Row],[SLA_Target_Hrs]],"No", "Yes")</f>
        <v>Yes</v>
      </c>
      <c r="S30" t="str">
        <f>IF(Table1[[#This Row],[Calculated_SLA]]=Table1[[#This Row],[SLA_Met]],"Match","Mismatch")</f>
        <v>Mismatch</v>
      </c>
      <c r="T30">
        <f>IF(Table1[[#This Row],[Calculated_SLA]]="Yes",1,0)</f>
        <v>1</v>
      </c>
      <c r="U30" t="str">
        <f>IF(COUNTIFS(Reference_data!A:A,Table1[[#This Row],[Category]],Reference_data!B:B,Table1[[#This Row],[Sub_Category]])&gt;0,"Valid","Invalid")</f>
        <v>Valid</v>
      </c>
      <c r="V30" t="str">
        <f>_xlfn.XLOOKUP([1]!Table1[[#This Row],[Sub_Category]],[1]Reference_data!B:B,[1]Reference_data!A:A)</f>
        <v>Connectivity &amp; Software</v>
      </c>
      <c r="W30" t="str">
        <f>IF([1]!Table1[[#This Row],[Category]]=[1]!Table1[[#This Row],[Expected_Category ]],"Valid", "invalid")</f>
        <v>Valid</v>
      </c>
    </row>
    <row r="31" spans="1:23">
      <c r="A31" t="s">
        <v>157</v>
      </c>
      <c r="B31" t="s">
        <v>41</v>
      </c>
      <c r="C31" s="31" t="s">
        <v>158</v>
      </c>
      <c r="D31" s="32" t="s">
        <v>159</v>
      </c>
      <c r="E31" t="s">
        <v>78</v>
      </c>
      <c r="F31" t="s">
        <v>79</v>
      </c>
      <c r="G31" t="s">
        <v>46</v>
      </c>
      <c r="H31" t="s">
        <v>55</v>
      </c>
      <c r="I31" t="s">
        <v>80</v>
      </c>
      <c r="J31">
        <v>15.5</v>
      </c>
      <c r="K31">
        <v>8</v>
      </c>
      <c r="L31" t="s">
        <v>27</v>
      </c>
      <c r="M31">
        <v>1</v>
      </c>
      <c r="N31" t="s">
        <v>27</v>
      </c>
      <c r="O31" t="s">
        <v>28</v>
      </c>
      <c r="P31" t="s">
        <v>57</v>
      </c>
      <c r="Q31" t="s">
        <v>39</v>
      </c>
      <c r="R31" t="str">
        <f>IF(Table1[[#This Row],[Resolution_Time_Hrs]]&gt;Table1[[#This Row],[SLA_Target_Hrs]],"No", "Yes")</f>
        <v>No</v>
      </c>
      <c r="S31" t="str">
        <f>IF(Table1[[#This Row],[Calculated_SLA]]=Table1[[#This Row],[SLA_Met]],"Match","Mismatch")</f>
        <v>Match</v>
      </c>
      <c r="T31">
        <f>IF(Table1[[#This Row],[Calculated_SLA]]="Yes",1,0)</f>
        <v>0</v>
      </c>
      <c r="U31" t="str">
        <f>IF(COUNTIFS(Reference_data!A:A,Table1[[#This Row],[Category]],Reference_data!B:B,Table1[[#This Row],[Sub_Category]])&gt;0,"Valid","Invalid")</f>
        <v>Valid</v>
      </c>
      <c r="V31" t="str">
        <f>_xlfn.XLOOKUP([1]!Table1[[#This Row],[Sub_Category]],[1]Reference_data!B:B,[1]Reference_data!A:A)</f>
        <v>Hardware &amp; Mechanical</v>
      </c>
      <c r="W31" t="str">
        <f>IF([1]!Table1[[#This Row],[Category]]=[1]!Table1[[#This Row],[Expected_Category ]],"Valid", "invalid")</f>
        <v>Valid</v>
      </c>
    </row>
    <row r="32" spans="1:23">
      <c r="A32" t="s">
        <v>160</v>
      </c>
      <c r="B32" t="s">
        <v>135</v>
      </c>
      <c r="C32" s="31" t="s">
        <v>161</v>
      </c>
      <c r="D32" s="32" t="s">
        <v>162</v>
      </c>
      <c r="E32" t="s">
        <v>35</v>
      </c>
      <c r="F32" t="s">
        <v>127</v>
      </c>
      <c r="G32" t="s">
        <v>46</v>
      </c>
      <c r="H32" t="s">
        <v>91</v>
      </c>
      <c r="I32" t="s">
        <v>56</v>
      </c>
      <c r="J32">
        <v>5.8</v>
      </c>
      <c r="K32">
        <v>8</v>
      </c>
      <c r="L32" t="s">
        <v>26</v>
      </c>
      <c r="M32">
        <v>4</v>
      </c>
      <c r="N32" t="s">
        <v>27</v>
      </c>
      <c r="O32" t="s">
        <v>28</v>
      </c>
      <c r="P32" t="s">
        <v>29</v>
      </c>
      <c r="Q32" t="s">
        <v>58</v>
      </c>
      <c r="R32" t="str">
        <f>IF(Table1[[#This Row],[Resolution_Time_Hrs]]&gt;Table1[[#This Row],[SLA_Target_Hrs]],"No", "Yes")</f>
        <v>Yes</v>
      </c>
      <c r="S32" t="str">
        <f>IF(Table1[[#This Row],[Calculated_SLA]]=Table1[[#This Row],[SLA_Met]],"Match","Mismatch")</f>
        <v>Match</v>
      </c>
      <c r="T32">
        <f>IF(Table1[[#This Row],[Calculated_SLA]]="Yes",1,0)</f>
        <v>1</v>
      </c>
      <c r="U32" t="str">
        <f>IF(COUNTIFS(Reference_data!A:A,Table1[[#This Row],[Category]],Reference_data!B:B,Table1[[#This Row],[Sub_Category]])&gt;0,"Valid","Invalid")</f>
        <v>Valid</v>
      </c>
      <c r="V32" t="str">
        <f>_xlfn.XLOOKUP([1]!Table1[[#This Row],[Sub_Category]],[1]Reference_data!B:B,[1]Reference_data!A:A)</f>
        <v>Print Quality</v>
      </c>
      <c r="W32" t="str">
        <f>IF([1]!Table1[[#This Row],[Category]]=[1]!Table1[[#This Row],[Expected_Category ]],"Valid", "invalid")</f>
        <v>Valid</v>
      </c>
    </row>
    <row r="33" spans="1:23">
      <c r="A33" t="s">
        <v>163</v>
      </c>
      <c r="B33" t="s">
        <v>121</v>
      </c>
      <c r="C33" s="31" t="s">
        <v>164</v>
      </c>
      <c r="D33" s="32" t="s">
        <v>165</v>
      </c>
      <c r="E33" t="s">
        <v>78</v>
      </c>
      <c r="F33" t="s">
        <v>166</v>
      </c>
      <c r="G33" t="s">
        <v>46</v>
      </c>
      <c r="H33" t="s">
        <v>138</v>
      </c>
      <c r="I33" t="s">
        <v>80</v>
      </c>
      <c r="J33">
        <v>18.100000000000001</v>
      </c>
      <c r="K33">
        <v>8</v>
      </c>
      <c r="L33" t="s">
        <v>27</v>
      </c>
      <c r="M33">
        <v>2</v>
      </c>
      <c r="N33" t="s">
        <v>26</v>
      </c>
      <c r="O33" t="s">
        <v>28</v>
      </c>
      <c r="P33" t="s">
        <v>57</v>
      </c>
      <c r="Q33" t="s">
        <v>39</v>
      </c>
      <c r="R33" t="str">
        <f>IF(Table1[[#This Row],[Resolution_Time_Hrs]]&gt;Table1[[#This Row],[SLA_Target_Hrs]],"No", "Yes")</f>
        <v>No</v>
      </c>
      <c r="S33" t="str">
        <f>IF(Table1[[#This Row],[Calculated_SLA]]=Table1[[#This Row],[SLA_Met]],"Match","Mismatch")</f>
        <v>Match</v>
      </c>
      <c r="T33">
        <f>IF(Table1[[#This Row],[Calculated_SLA]]="Yes",1,0)</f>
        <v>0</v>
      </c>
      <c r="U33" t="str">
        <f>IF(COUNTIFS(Reference_data!A:A,Table1[[#This Row],[Category]],Reference_data!B:B,Table1[[#This Row],[Sub_Category]])&gt;0,"Valid","Invalid")</f>
        <v>Valid</v>
      </c>
      <c r="V33" t="str">
        <f>_xlfn.XLOOKUP([1]!Table1[[#This Row],[Sub_Category]],[1]Reference_data!B:B,[1]Reference_data!A:A)</f>
        <v>Hardware &amp; Mechanical</v>
      </c>
      <c r="W33" t="str">
        <f>IF([1]!Table1[[#This Row],[Category]]=[1]!Table1[[#This Row],[Expected_Category ]],"Valid", "invalid")</f>
        <v>Valid</v>
      </c>
    </row>
    <row r="34" spans="1:23">
      <c r="A34" t="s">
        <v>167</v>
      </c>
      <c r="B34" t="s">
        <v>41</v>
      </c>
      <c r="C34" s="31" t="s">
        <v>168</v>
      </c>
      <c r="D34" s="32" t="s">
        <v>169</v>
      </c>
      <c r="E34" t="s">
        <v>21</v>
      </c>
      <c r="F34" t="s">
        <v>63</v>
      </c>
      <c r="G34" t="s">
        <v>23</v>
      </c>
      <c r="H34" t="s">
        <v>86</v>
      </c>
      <c r="I34" t="s">
        <v>25</v>
      </c>
      <c r="J34">
        <v>11.1</v>
      </c>
      <c r="K34">
        <v>24</v>
      </c>
      <c r="L34" t="s">
        <v>26</v>
      </c>
      <c r="M34">
        <v>5</v>
      </c>
      <c r="N34" t="s">
        <v>27</v>
      </c>
      <c r="O34" t="s">
        <v>28</v>
      </c>
      <c r="P34" t="s">
        <v>29</v>
      </c>
      <c r="Q34" t="s">
        <v>39</v>
      </c>
      <c r="R34" t="str">
        <f>IF(Table1[[#This Row],[Resolution_Time_Hrs]]&gt;Table1[[#This Row],[SLA_Target_Hrs]],"No", "Yes")</f>
        <v>Yes</v>
      </c>
      <c r="S34" t="str">
        <f>IF(Table1[[#This Row],[Calculated_SLA]]=Table1[[#This Row],[SLA_Met]],"Match","Mismatch")</f>
        <v>Match</v>
      </c>
      <c r="T34">
        <f>IF(Table1[[#This Row],[Calculated_SLA]]="Yes",1,0)</f>
        <v>1</v>
      </c>
      <c r="U34" t="str">
        <f>IF(COUNTIFS(Reference_data!A:A,Table1[[#This Row],[Category]],Reference_data!B:B,Table1[[#This Row],[Sub_Category]])&gt;0,"Valid","Invalid")</f>
        <v>Valid</v>
      </c>
      <c r="V34" t="str">
        <f>_xlfn.XLOOKUP([1]!Table1[[#This Row],[Sub_Category]],[1]Reference_data!B:B,[1]Reference_data!A:A)</f>
        <v>Connectivity &amp; Software</v>
      </c>
      <c r="W34" t="str">
        <f>IF([1]!Table1[[#This Row],[Category]]=[1]!Table1[[#This Row],[Expected_Category ]],"Valid", "invalid")</f>
        <v>Valid</v>
      </c>
    </row>
    <row r="35" spans="1:23">
      <c r="A35" t="s">
        <v>170</v>
      </c>
      <c r="B35" t="s">
        <v>18</v>
      </c>
      <c r="C35" s="31" t="s">
        <v>171</v>
      </c>
      <c r="D35" s="32" t="s">
        <v>172</v>
      </c>
      <c r="E35" t="s">
        <v>35</v>
      </c>
      <c r="F35" t="s">
        <v>36</v>
      </c>
      <c r="G35" t="s">
        <v>54</v>
      </c>
      <c r="H35" t="s">
        <v>37</v>
      </c>
      <c r="I35" t="s">
        <v>38</v>
      </c>
      <c r="J35">
        <v>6.4</v>
      </c>
      <c r="K35">
        <v>4</v>
      </c>
      <c r="L35" t="s">
        <v>27</v>
      </c>
      <c r="M35">
        <v>3</v>
      </c>
      <c r="N35" t="s">
        <v>27</v>
      </c>
      <c r="O35" t="s">
        <v>28</v>
      </c>
      <c r="P35" t="s">
        <v>57</v>
      </c>
      <c r="Q35" t="s">
        <v>39</v>
      </c>
      <c r="R35" t="str">
        <f>IF(Table1[[#This Row],[Resolution_Time_Hrs]]&gt;Table1[[#This Row],[SLA_Target_Hrs]],"No", "Yes")</f>
        <v>No</v>
      </c>
      <c r="S35" t="str">
        <f>IF(Table1[[#This Row],[Calculated_SLA]]=Table1[[#This Row],[SLA_Met]],"Match","Mismatch")</f>
        <v>Match</v>
      </c>
      <c r="T35">
        <f>IF(Table1[[#This Row],[Calculated_SLA]]="Yes",1,0)</f>
        <v>0</v>
      </c>
      <c r="U35" t="str">
        <f>IF(COUNTIFS(Reference_data!A:A,Table1[[#This Row],[Category]],Reference_data!B:B,Table1[[#This Row],[Sub_Category]])&gt;0,"Valid","Invalid")</f>
        <v>Valid</v>
      </c>
      <c r="V35" t="str">
        <f>_xlfn.XLOOKUP([1]!Table1[[#This Row],[Sub_Category]],[1]Reference_data!B:B,[1]Reference_data!A:A)</f>
        <v>Print Quality</v>
      </c>
      <c r="W35" t="str">
        <f>IF([1]!Table1[[#This Row],[Category]]=[1]!Table1[[#This Row],[Expected_Category ]],"Valid", "invalid")</f>
        <v>Valid</v>
      </c>
    </row>
    <row r="36" spans="1:23">
      <c r="A36" t="s">
        <v>173</v>
      </c>
      <c r="B36" t="s">
        <v>18</v>
      </c>
      <c r="C36" s="31" t="s">
        <v>174</v>
      </c>
      <c r="D36" s="32" t="s">
        <v>175</v>
      </c>
      <c r="E36" t="s">
        <v>78</v>
      </c>
      <c r="F36" t="s">
        <v>166</v>
      </c>
      <c r="G36" t="s">
        <v>23</v>
      </c>
      <c r="H36" t="s">
        <v>55</v>
      </c>
      <c r="I36" t="s">
        <v>80</v>
      </c>
      <c r="J36">
        <v>9.6</v>
      </c>
      <c r="K36">
        <v>24</v>
      </c>
      <c r="L36" t="s">
        <v>26</v>
      </c>
      <c r="M36">
        <v>4</v>
      </c>
      <c r="N36" t="s">
        <v>27</v>
      </c>
      <c r="O36" t="s">
        <v>28</v>
      </c>
      <c r="P36" t="s">
        <v>29</v>
      </c>
      <c r="Q36" t="s">
        <v>101</v>
      </c>
      <c r="R36" t="str">
        <f>IF(Table1[[#This Row],[Resolution_Time_Hrs]]&gt;Table1[[#This Row],[SLA_Target_Hrs]],"No", "Yes")</f>
        <v>Yes</v>
      </c>
      <c r="S36" t="str">
        <f>IF(Table1[[#This Row],[Calculated_SLA]]=Table1[[#This Row],[SLA_Met]],"Match","Mismatch")</f>
        <v>Match</v>
      </c>
      <c r="T36">
        <f>IF(Table1[[#This Row],[Calculated_SLA]]="Yes",1,0)</f>
        <v>1</v>
      </c>
      <c r="U36" t="str">
        <f>IF(COUNTIFS(Reference_data!A:A,Table1[[#This Row],[Category]],Reference_data!B:B,Table1[[#This Row],[Sub_Category]])&gt;0,"Valid","Invalid")</f>
        <v>Valid</v>
      </c>
      <c r="V36" t="str">
        <f>_xlfn.XLOOKUP([1]!Table1[[#This Row],[Sub_Category]],[1]Reference_data!B:B,[1]Reference_data!A:A)</f>
        <v>Hardware &amp; Mechanical</v>
      </c>
      <c r="W36" t="str">
        <f>IF([1]!Table1[[#This Row],[Category]]=[1]!Table1[[#This Row],[Expected_Category ]],"Valid", "invalid")</f>
        <v>Valid</v>
      </c>
    </row>
    <row r="37" spans="1:23">
      <c r="A37" t="s">
        <v>176</v>
      </c>
      <c r="B37" t="s">
        <v>18</v>
      </c>
      <c r="C37" s="31" t="s">
        <v>177</v>
      </c>
      <c r="D37" s="32" t="s">
        <v>178</v>
      </c>
      <c r="E37" t="s">
        <v>21</v>
      </c>
      <c r="F37" t="s">
        <v>22</v>
      </c>
      <c r="G37" t="s">
        <v>23</v>
      </c>
      <c r="H37" t="s">
        <v>37</v>
      </c>
      <c r="I37" t="s">
        <v>25</v>
      </c>
      <c r="J37">
        <v>8.6</v>
      </c>
      <c r="K37">
        <v>24</v>
      </c>
      <c r="L37" t="s">
        <v>26</v>
      </c>
      <c r="M37">
        <v>5</v>
      </c>
      <c r="N37" t="s">
        <v>27</v>
      </c>
      <c r="O37" t="s">
        <v>28</v>
      </c>
      <c r="P37" t="s">
        <v>29</v>
      </c>
      <c r="Q37" t="s">
        <v>58</v>
      </c>
      <c r="R37" t="str">
        <f>IF(Table1[[#This Row],[Resolution_Time_Hrs]]&gt;Table1[[#This Row],[SLA_Target_Hrs]],"No", "Yes")</f>
        <v>Yes</v>
      </c>
      <c r="S37" t="str">
        <f>IF(Table1[[#This Row],[Calculated_SLA]]=Table1[[#This Row],[SLA_Met]],"Match","Mismatch")</f>
        <v>Match</v>
      </c>
      <c r="T37">
        <f>IF(Table1[[#This Row],[Calculated_SLA]]="Yes",1,0)</f>
        <v>1</v>
      </c>
      <c r="U37" t="str">
        <f>IF(COUNTIFS(Reference_data!A:A,Table1[[#This Row],[Category]],Reference_data!B:B,Table1[[#This Row],[Sub_Category]])&gt;0,"Valid","Invalid")</f>
        <v>Valid</v>
      </c>
      <c r="V37" t="str">
        <f>_xlfn.XLOOKUP([1]!Table1[[#This Row],[Sub_Category]],[1]Reference_data!B:B,[1]Reference_data!A:A)</f>
        <v>Connectivity &amp; Software</v>
      </c>
      <c r="W37" t="str">
        <f>IF([1]!Table1[[#This Row],[Category]]=[1]!Table1[[#This Row],[Expected_Category ]],"Valid", "invalid")</f>
        <v>Valid</v>
      </c>
    </row>
    <row r="38" spans="1:23">
      <c r="A38" t="s">
        <v>179</v>
      </c>
      <c r="B38" t="s">
        <v>50</v>
      </c>
      <c r="C38" s="31" t="s">
        <v>180</v>
      </c>
      <c r="D38" s="32" t="s">
        <v>181</v>
      </c>
      <c r="E38" t="s">
        <v>21</v>
      </c>
      <c r="F38" t="s">
        <v>69</v>
      </c>
      <c r="G38" t="s">
        <v>46</v>
      </c>
      <c r="H38" t="s">
        <v>70</v>
      </c>
      <c r="I38" t="s">
        <v>25</v>
      </c>
      <c r="J38">
        <v>8.6</v>
      </c>
      <c r="K38">
        <v>8</v>
      </c>
      <c r="L38" t="s">
        <v>27</v>
      </c>
      <c r="M38">
        <v>3</v>
      </c>
      <c r="N38" t="s">
        <v>26</v>
      </c>
      <c r="O38" t="s">
        <v>28</v>
      </c>
      <c r="P38" t="s">
        <v>57</v>
      </c>
      <c r="Q38" t="s">
        <v>101</v>
      </c>
      <c r="R38" t="str">
        <f>IF(Table1[[#This Row],[Resolution_Time_Hrs]]&gt;Table1[[#This Row],[SLA_Target_Hrs]],"No", "Yes")</f>
        <v>No</v>
      </c>
      <c r="S38" t="str">
        <f>IF(Table1[[#This Row],[Calculated_SLA]]=Table1[[#This Row],[SLA_Met]],"Match","Mismatch")</f>
        <v>Match</v>
      </c>
      <c r="T38">
        <f>IF(Table1[[#This Row],[Calculated_SLA]]="Yes",1,0)</f>
        <v>0</v>
      </c>
      <c r="U38" t="str">
        <f>IF(COUNTIFS(Reference_data!A:A,Table1[[#This Row],[Category]],Reference_data!B:B,Table1[[#This Row],[Sub_Category]])&gt;0,"Valid","Invalid")</f>
        <v>Valid</v>
      </c>
      <c r="V38" t="str">
        <f>_xlfn.XLOOKUP([1]!Table1[[#This Row],[Sub_Category]],[1]Reference_data!B:B,[1]Reference_data!A:A)</f>
        <v>Connectivity &amp; Software</v>
      </c>
      <c r="W38" t="str">
        <f>IF([1]!Table1[[#This Row],[Category]]=[1]!Table1[[#This Row],[Expected_Category ]],"Valid", "invalid")</f>
        <v>Valid</v>
      </c>
    </row>
    <row r="39" spans="1:23">
      <c r="A39" t="s">
        <v>182</v>
      </c>
      <c r="B39" t="s">
        <v>41</v>
      </c>
      <c r="C39" s="31" t="s">
        <v>183</v>
      </c>
      <c r="D39" s="32" t="s">
        <v>184</v>
      </c>
      <c r="E39" t="s">
        <v>35</v>
      </c>
      <c r="F39" t="s">
        <v>127</v>
      </c>
      <c r="G39" t="s">
        <v>46</v>
      </c>
      <c r="H39" t="s">
        <v>47</v>
      </c>
      <c r="I39" t="s">
        <v>56</v>
      </c>
      <c r="J39">
        <v>4.0999999999999996</v>
      </c>
      <c r="K39">
        <v>8</v>
      </c>
      <c r="L39" t="s">
        <v>26</v>
      </c>
      <c r="N39" t="s">
        <v>27</v>
      </c>
      <c r="O39" t="s">
        <v>28</v>
      </c>
      <c r="P39" t="s">
        <v>29</v>
      </c>
      <c r="Q39" t="s">
        <v>30</v>
      </c>
      <c r="R39" t="str">
        <f>IF(Table1[[#This Row],[Resolution_Time_Hrs]]&gt;Table1[[#This Row],[SLA_Target_Hrs]],"No", "Yes")</f>
        <v>Yes</v>
      </c>
      <c r="S39" t="str">
        <f>IF(Table1[[#This Row],[Calculated_SLA]]=Table1[[#This Row],[SLA_Met]],"Match","Mismatch")</f>
        <v>Match</v>
      </c>
      <c r="T39">
        <f>IF(Table1[[#This Row],[Calculated_SLA]]="Yes",1,0)</f>
        <v>1</v>
      </c>
      <c r="U39" t="str">
        <f>IF(COUNTIFS(Reference_data!A:A,Table1[[#This Row],[Category]],Reference_data!B:B,Table1[[#This Row],[Sub_Category]])&gt;0,"Valid","Invalid")</f>
        <v>Valid</v>
      </c>
      <c r="V39" t="str">
        <f>_xlfn.XLOOKUP([1]!Table1[[#This Row],[Sub_Category]],[1]Reference_data!B:B,[1]Reference_data!A:A)</f>
        <v>Print Quality</v>
      </c>
      <c r="W39" t="str">
        <f>IF([1]!Table1[[#This Row],[Category]]=[1]!Table1[[#This Row],[Expected_Category ]],"Valid", "invalid")</f>
        <v>Valid</v>
      </c>
    </row>
    <row r="40" spans="1:23">
      <c r="A40" t="s">
        <v>185</v>
      </c>
      <c r="B40" t="s">
        <v>121</v>
      </c>
      <c r="C40" s="31" t="s">
        <v>186</v>
      </c>
      <c r="D40" s="32" t="s">
        <v>187</v>
      </c>
      <c r="E40" t="s">
        <v>84</v>
      </c>
      <c r="F40" t="s">
        <v>116</v>
      </c>
      <c r="G40" t="s">
        <v>54</v>
      </c>
      <c r="H40" t="s">
        <v>86</v>
      </c>
      <c r="I40" t="s">
        <v>87</v>
      </c>
      <c r="J40">
        <v>8.8000000000000007</v>
      </c>
      <c r="K40">
        <v>4</v>
      </c>
      <c r="L40" t="s">
        <v>27</v>
      </c>
      <c r="M40">
        <v>3</v>
      </c>
      <c r="N40" t="s">
        <v>26</v>
      </c>
      <c r="O40" t="s">
        <v>28</v>
      </c>
      <c r="P40" t="s">
        <v>1670</v>
      </c>
      <c r="Q40" t="s">
        <v>58</v>
      </c>
      <c r="R40" t="str">
        <f>IF(Table1[[#This Row],[Resolution_Time_Hrs]]&gt;Table1[[#This Row],[SLA_Target_Hrs]],"No", "Yes")</f>
        <v>No</v>
      </c>
      <c r="S40" t="str">
        <f>IF(Table1[[#This Row],[Calculated_SLA]]=Table1[[#This Row],[SLA_Met]],"Match","Mismatch")</f>
        <v>Match</v>
      </c>
      <c r="T40">
        <f>IF(Table1[[#This Row],[Calculated_SLA]]="Yes",1,0)</f>
        <v>0</v>
      </c>
      <c r="U40" t="str">
        <f>IF(COUNTIFS(Reference_data!A:A,Table1[[#This Row],[Category]],Reference_data!B:B,Table1[[#This Row],[Sub_Category]])&gt;0,"Valid","Invalid")</f>
        <v>Valid</v>
      </c>
      <c r="V40" t="str">
        <f>_xlfn.XLOOKUP([1]!Table1[[#This Row],[Sub_Category]],[1]Reference_data!B:B,[1]Reference_data!A:A)</f>
        <v>Supplies &amp; Logistics</v>
      </c>
      <c r="W40" t="str">
        <f>IF([1]!Table1[[#This Row],[Category]]=[1]!Table1[[#This Row],[Expected_Category ]],"Valid", "invalid")</f>
        <v>Valid</v>
      </c>
    </row>
    <row r="41" spans="1:23">
      <c r="A41" t="s">
        <v>188</v>
      </c>
      <c r="B41" t="s">
        <v>106</v>
      </c>
      <c r="C41" s="31" t="s">
        <v>189</v>
      </c>
      <c r="D41" s="32" t="s">
        <v>190</v>
      </c>
      <c r="E41" t="s">
        <v>78</v>
      </c>
      <c r="F41" t="s">
        <v>191</v>
      </c>
      <c r="G41" t="s">
        <v>23</v>
      </c>
      <c r="H41" t="s">
        <v>64</v>
      </c>
      <c r="I41" t="s">
        <v>38</v>
      </c>
      <c r="J41">
        <v>8.6</v>
      </c>
      <c r="K41">
        <v>24</v>
      </c>
      <c r="L41" t="s">
        <v>26</v>
      </c>
      <c r="M41">
        <v>4</v>
      </c>
      <c r="N41" t="s">
        <v>27</v>
      </c>
      <c r="O41" t="s">
        <v>28</v>
      </c>
      <c r="P41" t="s">
        <v>29</v>
      </c>
      <c r="Q41" t="s">
        <v>101</v>
      </c>
      <c r="R41" t="str">
        <f>IF(Table1[[#This Row],[Resolution_Time_Hrs]]&gt;Table1[[#This Row],[SLA_Target_Hrs]],"No", "Yes")</f>
        <v>Yes</v>
      </c>
      <c r="S41" t="str">
        <f>IF(Table1[[#This Row],[Calculated_SLA]]=Table1[[#This Row],[SLA_Met]],"Match","Mismatch")</f>
        <v>Match</v>
      </c>
      <c r="T41">
        <f>IF(Table1[[#This Row],[Calculated_SLA]]="Yes",1,0)</f>
        <v>1</v>
      </c>
      <c r="U41" t="str">
        <f>IF(COUNTIFS(Reference_data!A:A,Table1[[#This Row],[Category]],Reference_data!B:B,Table1[[#This Row],[Sub_Category]])&gt;0,"Valid","Invalid")</f>
        <v>Valid</v>
      </c>
      <c r="V41" t="str">
        <f>_xlfn.XLOOKUP([1]!Table1[[#This Row],[Sub_Category]],[1]Reference_data!B:B,[1]Reference_data!A:A)</f>
        <v>Hardware &amp; Mechanical</v>
      </c>
      <c r="W41" t="str">
        <f>IF([1]!Table1[[#This Row],[Category]]=[1]!Table1[[#This Row],[Expected_Category ]],"Valid", "invalid")</f>
        <v>Valid</v>
      </c>
    </row>
    <row r="42" spans="1:23">
      <c r="A42" t="s">
        <v>192</v>
      </c>
      <c r="B42" t="s">
        <v>50</v>
      </c>
      <c r="C42" s="31" t="s">
        <v>193</v>
      </c>
      <c r="D42" s="32" t="s">
        <v>194</v>
      </c>
      <c r="E42" t="s">
        <v>78</v>
      </c>
      <c r="F42" t="s">
        <v>166</v>
      </c>
      <c r="G42" t="s">
        <v>46</v>
      </c>
      <c r="H42" t="s">
        <v>70</v>
      </c>
      <c r="I42" t="s">
        <v>80</v>
      </c>
      <c r="J42">
        <v>9.8000000000000007</v>
      </c>
      <c r="K42">
        <v>8</v>
      </c>
      <c r="L42" t="s">
        <v>27</v>
      </c>
      <c r="M42">
        <v>1</v>
      </c>
      <c r="N42" t="s">
        <v>26</v>
      </c>
      <c r="O42" t="s">
        <v>28</v>
      </c>
      <c r="P42" t="s">
        <v>57</v>
      </c>
      <c r="Q42" t="s">
        <v>58</v>
      </c>
      <c r="R42" t="str">
        <f>IF(Table1[[#This Row],[Resolution_Time_Hrs]]&gt;Table1[[#This Row],[SLA_Target_Hrs]],"No", "Yes")</f>
        <v>No</v>
      </c>
      <c r="S42" t="str">
        <f>IF(Table1[[#This Row],[Calculated_SLA]]=Table1[[#This Row],[SLA_Met]],"Match","Mismatch")</f>
        <v>Match</v>
      </c>
      <c r="T42">
        <f>IF(Table1[[#This Row],[Calculated_SLA]]="Yes",1,0)</f>
        <v>0</v>
      </c>
      <c r="U42" t="str">
        <f>IF(COUNTIFS(Reference_data!A:A,Table1[[#This Row],[Category]],Reference_data!B:B,Table1[[#This Row],[Sub_Category]])&gt;0,"Valid","Invalid")</f>
        <v>Valid</v>
      </c>
      <c r="V42" t="str">
        <f>_xlfn.XLOOKUP([1]!Table1[[#This Row],[Sub_Category]],[1]Reference_data!B:B,[1]Reference_data!A:A)</f>
        <v>Hardware &amp; Mechanical</v>
      </c>
      <c r="W42" t="str">
        <f>IF([1]!Table1[[#This Row],[Category]]=[1]!Table1[[#This Row],[Expected_Category ]],"Valid", "invalid")</f>
        <v>Valid</v>
      </c>
    </row>
    <row r="43" spans="1:23">
      <c r="A43" t="s">
        <v>195</v>
      </c>
      <c r="B43" t="s">
        <v>32</v>
      </c>
      <c r="C43" s="31" t="s">
        <v>196</v>
      </c>
      <c r="D43" s="32" t="s">
        <v>197</v>
      </c>
      <c r="E43" t="s">
        <v>35</v>
      </c>
      <c r="F43" t="s">
        <v>127</v>
      </c>
      <c r="G43" t="s">
        <v>46</v>
      </c>
      <c r="H43" t="s">
        <v>86</v>
      </c>
      <c r="I43" t="s">
        <v>56</v>
      </c>
      <c r="J43">
        <v>12.3</v>
      </c>
      <c r="K43">
        <v>8</v>
      </c>
      <c r="L43" t="s">
        <v>27</v>
      </c>
      <c r="M43">
        <v>1</v>
      </c>
      <c r="N43" t="s">
        <v>26</v>
      </c>
      <c r="O43" t="s">
        <v>28</v>
      </c>
      <c r="P43" t="s">
        <v>57</v>
      </c>
      <c r="Q43" t="s">
        <v>39</v>
      </c>
      <c r="R43" t="str">
        <f>IF(Table1[[#This Row],[Resolution_Time_Hrs]]&gt;Table1[[#This Row],[SLA_Target_Hrs]],"No", "Yes")</f>
        <v>No</v>
      </c>
      <c r="S43" t="str">
        <f>IF(Table1[[#This Row],[Calculated_SLA]]=Table1[[#This Row],[SLA_Met]],"Match","Mismatch")</f>
        <v>Match</v>
      </c>
      <c r="T43">
        <f>IF(Table1[[#This Row],[Calculated_SLA]]="Yes",1,0)</f>
        <v>0</v>
      </c>
      <c r="U43" t="str">
        <f>IF(COUNTIFS(Reference_data!A:A,Table1[[#This Row],[Category]],Reference_data!B:B,Table1[[#This Row],[Sub_Category]])&gt;0,"Valid","Invalid")</f>
        <v>Valid</v>
      </c>
      <c r="V43" t="str">
        <f>_xlfn.XLOOKUP([1]!Table1[[#This Row],[Sub_Category]],[1]Reference_data!B:B,[1]Reference_data!A:A)</f>
        <v>Print Quality</v>
      </c>
      <c r="W43" t="str">
        <f>IF([1]!Table1[[#This Row],[Category]]=[1]!Table1[[#This Row],[Expected_Category ]],"Valid", "invalid")</f>
        <v>Valid</v>
      </c>
    </row>
    <row r="44" spans="1:23">
      <c r="A44" t="s">
        <v>198</v>
      </c>
      <c r="B44" t="s">
        <v>75</v>
      </c>
      <c r="C44" s="31" t="s">
        <v>199</v>
      </c>
      <c r="D44" s="32" t="s">
        <v>200</v>
      </c>
      <c r="E44" t="s">
        <v>21</v>
      </c>
      <c r="F44" t="s">
        <v>69</v>
      </c>
      <c r="G44" t="s">
        <v>46</v>
      </c>
      <c r="H44" t="s">
        <v>91</v>
      </c>
      <c r="I44" t="s">
        <v>25</v>
      </c>
      <c r="J44">
        <v>10.7</v>
      </c>
      <c r="K44">
        <v>8</v>
      </c>
      <c r="L44" t="s">
        <v>27</v>
      </c>
      <c r="M44">
        <v>1</v>
      </c>
      <c r="N44" t="s">
        <v>27</v>
      </c>
      <c r="O44" t="s">
        <v>28</v>
      </c>
      <c r="P44" t="s">
        <v>57</v>
      </c>
      <c r="Q44" t="s">
        <v>39</v>
      </c>
      <c r="R44" t="str">
        <f>IF(Table1[[#This Row],[Resolution_Time_Hrs]]&gt;Table1[[#This Row],[SLA_Target_Hrs]],"No", "Yes")</f>
        <v>No</v>
      </c>
      <c r="S44" t="str">
        <f>IF(Table1[[#This Row],[Calculated_SLA]]=Table1[[#This Row],[SLA_Met]],"Match","Mismatch")</f>
        <v>Match</v>
      </c>
      <c r="T44">
        <f>IF(Table1[[#This Row],[Calculated_SLA]]="Yes",1,0)</f>
        <v>0</v>
      </c>
      <c r="U44" t="str">
        <f>IF(COUNTIFS(Reference_data!A:A,Table1[[#This Row],[Category]],Reference_data!B:B,Table1[[#This Row],[Sub_Category]])&gt;0,"Valid","Invalid")</f>
        <v>Valid</v>
      </c>
      <c r="V44" t="str">
        <f>_xlfn.XLOOKUP([1]!Table1[[#This Row],[Sub_Category]],[1]Reference_data!B:B,[1]Reference_data!A:A)</f>
        <v>Connectivity &amp; Software</v>
      </c>
      <c r="W44" t="str">
        <f>IF([1]!Table1[[#This Row],[Category]]=[1]!Table1[[#This Row],[Expected_Category ]],"Valid", "invalid")</f>
        <v>Valid</v>
      </c>
    </row>
    <row r="45" spans="1:23">
      <c r="A45" t="s">
        <v>201</v>
      </c>
      <c r="B45" t="s">
        <v>75</v>
      </c>
      <c r="C45" s="31" t="s">
        <v>202</v>
      </c>
      <c r="D45" s="32" t="s">
        <v>203</v>
      </c>
      <c r="E45" t="s">
        <v>35</v>
      </c>
      <c r="F45" t="s">
        <v>36</v>
      </c>
      <c r="G45" t="s">
        <v>46</v>
      </c>
      <c r="H45" t="s">
        <v>91</v>
      </c>
      <c r="I45" t="s">
        <v>38</v>
      </c>
      <c r="J45">
        <v>4.9000000000000004</v>
      </c>
      <c r="K45">
        <v>8</v>
      </c>
      <c r="L45" t="s">
        <v>26</v>
      </c>
      <c r="M45">
        <v>4</v>
      </c>
      <c r="N45" t="s">
        <v>27</v>
      </c>
      <c r="O45" t="s">
        <v>28</v>
      </c>
      <c r="P45" t="s">
        <v>29</v>
      </c>
      <c r="Q45" t="s">
        <v>101</v>
      </c>
      <c r="R45" t="str">
        <f>IF(Table1[[#This Row],[Resolution_Time_Hrs]]&gt;Table1[[#This Row],[SLA_Target_Hrs]],"No", "Yes")</f>
        <v>Yes</v>
      </c>
      <c r="S45" t="str">
        <f>IF(Table1[[#This Row],[Calculated_SLA]]=Table1[[#This Row],[SLA_Met]],"Match","Mismatch")</f>
        <v>Match</v>
      </c>
      <c r="T45">
        <f>IF(Table1[[#This Row],[Calculated_SLA]]="Yes",1,0)</f>
        <v>1</v>
      </c>
      <c r="U45" t="str">
        <f>IF(COUNTIFS(Reference_data!A:A,Table1[[#This Row],[Category]],Reference_data!B:B,Table1[[#This Row],[Sub_Category]])&gt;0,"Valid","Invalid")</f>
        <v>Valid</v>
      </c>
      <c r="V45" t="str">
        <f>_xlfn.XLOOKUP([1]!Table1[[#This Row],[Sub_Category]],[1]Reference_data!B:B,[1]Reference_data!A:A)</f>
        <v>Print Quality</v>
      </c>
      <c r="W45" t="str">
        <f>IF([1]!Table1[[#This Row],[Category]]=[1]!Table1[[#This Row],[Expected_Category ]],"Valid", "invalid")</f>
        <v>Valid</v>
      </c>
    </row>
    <row r="46" spans="1:23">
      <c r="A46" t="s">
        <v>204</v>
      </c>
      <c r="B46" t="s">
        <v>18</v>
      </c>
      <c r="C46" s="31" t="s">
        <v>205</v>
      </c>
      <c r="D46" s="32" t="s">
        <v>206</v>
      </c>
      <c r="E46" t="s">
        <v>78</v>
      </c>
      <c r="F46" t="s">
        <v>79</v>
      </c>
      <c r="G46" t="s">
        <v>46</v>
      </c>
      <c r="H46" t="s">
        <v>37</v>
      </c>
      <c r="I46" t="s">
        <v>80</v>
      </c>
      <c r="J46">
        <v>21.1</v>
      </c>
      <c r="K46">
        <v>8</v>
      </c>
      <c r="L46" t="s">
        <v>27</v>
      </c>
      <c r="M46">
        <v>3</v>
      </c>
      <c r="N46" t="s">
        <v>26</v>
      </c>
      <c r="O46" t="s">
        <v>28</v>
      </c>
      <c r="P46" t="s">
        <v>1670</v>
      </c>
      <c r="Q46" t="s">
        <v>30</v>
      </c>
      <c r="R46" t="str">
        <f>IF(Table1[[#This Row],[Resolution_Time_Hrs]]&gt;Table1[[#This Row],[SLA_Target_Hrs]],"No", "Yes")</f>
        <v>No</v>
      </c>
      <c r="S46" t="str">
        <f>IF(Table1[[#This Row],[Calculated_SLA]]=Table1[[#This Row],[SLA_Met]],"Match","Mismatch")</f>
        <v>Match</v>
      </c>
      <c r="T46">
        <f>IF(Table1[[#This Row],[Calculated_SLA]]="Yes",1,0)</f>
        <v>0</v>
      </c>
      <c r="U46" t="str">
        <f>IF(COUNTIFS(Reference_data!A:A,Table1[[#This Row],[Category]],Reference_data!B:B,Table1[[#This Row],[Sub_Category]])&gt;0,"Valid","Invalid")</f>
        <v>Valid</v>
      </c>
      <c r="V46" t="str">
        <f>_xlfn.XLOOKUP([1]!Table1[[#This Row],[Sub_Category]],[1]Reference_data!B:B,[1]Reference_data!A:A)</f>
        <v>Hardware &amp; Mechanical</v>
      </c>
      <c r="W46" t="str">
        <f>IF([1]!Table1[[#This Row],[Category]]=[1]!Table1[[#This Row],[Expected_Category ]],"Valid", "invalid")</f>
        <v>Valid</v>
      </c>
    </row>
    <row r="47" spans="1:23">
      <c r="A47" t="s">
        <v>207</v>
      </c>
      <c r="B47" t="s">
        <v>50</v>
      </c>
      <c r="C47" s="31" t="s">
        <v>208</v>
      </c>
      <c r="D47" s="32" t="s">
        <v>209</v>
      </c>
      <c r="E47" t="s">
        <v>78</v>
      </c>
      <c r="F47" t="s">
        <v>166</v>
      </c>
      <c r="G47" t="s">
        <v>23</v>
      </c>
      <c r="H47" t="s">
        <v>70</v>
      </c>
      <c r="I47" t="s">
        <v>80</v>
      </c>
      <c r="J47">
        <v>21.9</v>
      </c>
      <c r="K47">
        <v>24</v>
      </c>
      <c r="L47" t="s">
        <v>26</v>
      </c>
      <c r="M47">
        <v>4</v>
      </c>
      <c r="N47" t="s">
        <v>27</v>
      </c>
      <c r="O47" t="s">
        <v>28</v>
      </c>
      <c r="P47" t="s">
        <v>29</v>
      </c>
      <c r="Q47" t="s">
        <v>39</v>
      </c>
      <c r="R47" t="str">
        <f>IF(Table1[[#This Row],[Resolution_Time_Hrs]]&gt;Table1[[#This Row],[SLA_Target_Hrs]],"No", "Yes")</f>
        <v>Yes</v>
      </c>
      <c r="S47" t="str">
        <f>IF(Table1[[#This Row],[Calculated_SLA]]=Table1[[#This Row],[SLA_Met]],"Match","Mismatch")</f>
        <v>Match</v>
      </c>
      <c r="T47">
        <f>IF(Table1[[#This Row],[Calculated_SLA]]="Yes",1,0)</f>
        <v>1</v>
      </c>
      <c r="U47" t="str">
        <f>IF(COUNTIFS(Reference_data!A:A,Table1[[#This Row],[Category]],Reference_data!B:B,Table1[[#This Row],[Sub_Category]])&gt;0,"Valid","Invalid")</f>
        <v>Valid</v>
      </c>
      <c r="V47" t="str">
        <f>_xlfn.XLOOKUP([1]!Table1[[#This Row],[Sub_Category]],[1]Reference_data!B:B,[1]Reference_data!A:A)</f>
        <v>Hardware &amp; Mechanical</v>
      </c>
      <c r="W47" t="str">
        <f>IF([1]!Table1[[#This Row],[Category]]=[1]!Table1[[#This Row],[Expected_Category ]],"Valid", "invalid")</f>
        <v>Valid</v>
      </c>
    </row>
    <row r="48" spans="1:23">
      <c r="A48" t="s">
        <v>210</v>
      </c>
      <c r="B48" t="s">
        <v>60</v>
      </c>
      <c r="C48" s="31" t="s">
        <v>211</v>
      </c>
      <c r="D48" s="32" t="s">
        <v>212</v>
      </c>
      <c r="E48" t="s">
        <v>84</v>
      </c>
      <c r="F48" t="s">
        <v>85</v>
      </c>
      <c r="G48" t="s">
        <v>46</v>
      </c>
      <c r="H48" t="s">
        <v>91</v>
      </c>
      <c r="I48" t="s">
        <v>87</v>
      </c>
      <c r="J48">
        <v>5.9</v>
      </c>
      <c r="K48">
        <v>8</v>
      </c>
      <c r="L48" t="s">
        <v>26</v>
      </c>
      <c r="M48">
        <v>4</v>
      </c>
      <c r="N48" t="s">
        <v>27</v>
      </c>
      <c r="O48" t="s">
        <v>28</v>
      </c>
      <c r="P48" t="s">
        <v>29</v>
      </c>
      <c r="Q48" t="s">
        <v>101</v>
      </c>
      <c r="R48" t="str">
        <f>IF(Table1[[#This Row],[Resolution_Time_Hrs]]&gt;Table1[[#This Row],[SLA_Target_Hrs]],"No", "Yes")</f>
        <v>Yes</v>
      </c>
      <c r="S48" t="str">
        <f>IF(Table1[[#This Row],[Calculated_SLA]]=Table1[[#This Row],[SLA_Met]],"Match","Mismatch")</f>
        <v>Match</v>
      </c>
      <c r="T48">
        <f>IF(Table1[[#This Row],[Calculated_SLA]]="Yes",1,0)</f>
        <v>1</v>
      </c>
      <c r="U48" t="str">
        <f>IF(COUNTIFS(Reference_data!A:A,Table1[[#This Row],[Category]],Reference_data!B:B,Table1[[#This Row],[Sub_Category]])&gt;0,"Valid","Invalid")</f>
        <v>Valid</v>
      </c>
      <c r="V48" t="str">
        <f>_xlfn.XLOOKUP([1]!Table1[[#This Row],[Sub_Category]],[1]Reference_data!B:B,[1]Reference_data!A:A)</f>
        <v>Supplies &amp; Logistics</v>
      </c>
      <c r="W48" t="str">
        <f>IF([1]!Table1[[#This Row],[Category]]=[1]!Table1[[#This Row],[Expected_Category ]],"Valid", "invalid")</f>
        <v>Valid</v>
      </c>
    </row>
    <row r="49" spans="1:23">
      <c r="A49" t="s">
        <v>213</v>
      </c>
      <c r="B49" t="s">
        <v>50</v>
      </c>
      <c r="C49" s="31" t="s">
        <v>214</v>
      </c>
      <c r="D49" s="32" t="s">
        <v>215</v>
      </c>
      <c r="E49" t="s">
        <v>78</v>
      </c>
      <c r="F49" t="s">
        <v>79</v>
      </c>
      <c r="G49" t="s">
        <v>23</v>
      </c>
      <c r="H49" t="s">
        <v>138</v>
      </c>
      <c r="I49" t="s">
        <v>80</v>
      </c>
      <c r="J49">
        <v>10.4</v>
      </c>
      <c r="K49">
        <v>24</v>
      </c>
      <c r="L49" t="s">
        <v>26</v>
      </c>
      <c r="M49">
        <v>4</v>
      </c>
      <c r="N49" t="s">
        <v>27</v>
      </c>
      <c r="O49" t="s">
        <v>28</v>
      </c>
      <c r="P49" t="s">
        <v>29</v>
      </c>
      <c r="Q49" t="s">
        <v>30</v>
      </c>
      <c r="R49" t="str">
        <f>IF(Table1[[#This Row],[Resolution_Time_Hrs]]&gt;Table1[[#This Row],[SLA_Target_Hrs]],"No", "Yes")</f>
        <v>Yes</v>
      </c>
      <c r="S49" t="str">
        <f>IF(Table1[[#This Row],[Calculated_SLA]]=Table1[[#This Row],[SLA_Met]],"Match","Mismatch")</f>
        <v>Match</v>
      </c>
      <c r="T49">
        <f>IF(Table1[[#This Row],[Calculated_SLA]]="Yes",1,0)</f>
        <v>1</v>
      </c>
      <c r="U49" t="str">
        <f>IF(COUNTIFS(Reference_data!A:A,Table1[[#This Row],[Category]],Reference_data!B:B,Table1[[#This Row],[Sub_Category]])&gt;0,"Valid","Invalid")</f>
        <v>Valid</v>
      </c>
      <c r="V49" t="str">
        <f>_xlfn.XLOOKUP([1]!Table1[[#This Row],[Sub_Category]],[1]Reference_data!B:B,[1]Reference_data!A:A)</f>
        <v>Hardware &amp; Mechanical</v>
      </c>
      <c r="W49" t="str">
        <f>IF([1]!Table1[[#This Row],[Category]]=[1]!Table1[[#This Row],[Expected_Category ]],"Valid", "invalid")</f>
        <v>Valid</v>
      </c>
    </row>
    <row r="50" spans="1:23">
      <c r="A50" t="s">
        <v>216</v>
      </c>
      <c r="B50" t="s">
        <v>135</v>
      </c>
      <c r="C50" s="31" t="s">
        <v>217</v>
      </c>
      <c r="D50" s="32" t="s">
        <v>218</v>
      </c>
      <c r="E50" t="s">
        <v>21</v>
      </c>
      <c r="F50" t="s">
        <v>69</v>
      </c>
      <c r="G50" t="s">
        <v>54</v>
      </c>
      <c r="H50" t="s">
        <v>37</v>
      </c>
      <c r="I50" t="s">
        <v>25</v>
      </c>
      <c r="J50">
        <v>8.9</v>
      </c>
      <c r="K50">
        <v>4</v>
      </c>
      <c r="L50" t="s">
        <v>27</v>
      </c>
      <c r="M50">
        <v>2</v>
      </c>
      <c r="N50" t="s">
        <v>27</v>
      </c>
      <c r="O50" t="s">
        <v>28</v>
      </c>
      <c r="P50" t="s">
        <v>57</v>
      </c>
      <c r="Q50" t="s">
        <v>101</v>
      </c>
      <c r="R50" t="str">
        <f>IF(Table1[[#This Row],[Resolution_Time_Hrs]]&gt;Table1[[#This Row],[SLA_Target_Hrs]],"No", "Yes")</f>
        <v>No</v>
      </c>
      <c r="S50" t="str">
        <f>IF(Table1[[#This Row],[Calculated_SLA]]=Table1[[#This Row],[SLA_Met]],"Match","Mismatch")</f>
        <v>Match</v>
      </c>
      <c r="T50">
        <f>IF(Table1[[#This Row],[Calculated_SLA]]="Yes",1,0)</f>
        <v>0</v>
      </c>
      <c r="U50" t="str">
        <f>IF(COUNTIFS(Reference_data!A:A,Table1[[#This Row],[Category]],Reference_data!B:B,Table1[[#This Row],[Sub_Category]])&gt;0,"Valid","Invalid")</f>
        <v>Valid</v>
      </c>
      <c r="V50" t="str">
        <f>_xlfn.XLOOKUP([1]!Table1[[#This Row],[Sub_Category]],[1]Reference_data!B:B,[1]Reference_data!A:A)</f>
        <v>Connectivity &amp; Software</v>
      </c>
      <c r="W50" t="str">
        <f>IF([1]!Table1[[#This Row],[Category]]=[1]!Table1[[#This Row],[Expected_Category ]],"Valid", "invalid")</f>
        <v>Valid</v>
      </c>
    </row>
    <row r="51" spans="1:23">
      <c r="A51" t="s">
        <v>219</v>
      </c>
      <c r="B51" t="s">
        <v>135</v>
      </c>
      <c r="C51" s="31" t="s">
        <v>220</v>
      </c>
      <c r="D51" s="32" t="s">
        <v>221</v>
      </c>
      <c r="E51" t="s">
        <v>35</v>
      </c>
      <c r="F51" t="s">
        <v>53</v>
      </c>
      <c r="G51" t="s">
        <v>46</v>
      </c>
      <c r="H51" t="s">
        <v>55</v>
      </c>
      <c r="I51" t="s">
        <v>56</v>
      </c>
      <c r="J51">
        <v>12.6</v>
      </c>
      <c r="K51">
        <v>8</v>
      </c>
      <c r="L51" t="s">
        <v>27</v>
      </c>
      <c r="M51">
        <v>3</v>
      </c>
      <c r="N51" t="s">
        <v>26</v>
      </c>
      <c r="O51" t="s">
        <v>28</v>
      </c>
      <c r="P51" t="s">
        <v>1670</v>
      </c>
      <c r="Q51" t="s">
        <v>30</v>
      </c>
      <c r="R51" t="str">
        <f>IF(Table1[[#This Row],[Resolution_Time_Hrs]]&gt;Table1[[#This Row],[SLA_Target_Hrs]],"No", "Yes")</f>
        <v>No</v>
      </c>
      <c r="S51" t="str">
        <f>IF(Table1[[#This Row],[Calculated_SLA]]=Table1[[#This Row],[SLA_Met]],"Match","Mismatch")</f>
        <v>Match</v>
      </c>
      <c r="T51">
        <f>IF(Table1[[#This Row],[Calculated_SLA]]="Yes",1,0)</f>
        <v>0</v>
      </c>
      <c r="U51" t="str">
        <f>IF(COUNTIFS(Reference_data!A:A,Table1[[#This Row],[Category]],Reference_data!B:B,Table1[[#This Row],[Sub_Category]])&gt;0,"Valid","Invalid")</f>
        <v>Valid</v>
      </c>
      <c r="V51" t="str">
        <f>_xlfn.XLOOKUP([1]!Table1[[#This Row],[Sub_Category]],[1]Reference_data!B:B,[1]Reference_data!A:A)</f>
        <v>Print Quality</v>
      </c>
      <c r="W51" t="str">
        <f>IF([1]!Table1[[#This Row],[Category]]=[1]!Table1[[#This Row],[Expected_Category ]],"Valid", "invalid")</f>
        <v>Valid</v>
      </c>
    </row>
    <row r="52" spans="1:23">
      <c r="A52" t="s">
        <v>222</v>
      </c>
      <c r="B52" t="s">
        <v>60</v>
      </c>
      <c r="C52" s="31" t="s">
        <v>223</v>
      </c>
      <c r="D52" s="32" t="s">
        <v>224</v>
      </c>
      <c r="E52" t="s">
        <v>84</v>
      </c>
      <c r="F52" t="s">
        <v>116</v>
      </c>
      <c r="G52" t="s">
        <v>54</v>
      </c>
      <c r="H52" t="s">
        <v>91</v>
      </c>
      <c r="I52" t="s">
        <v>87</v>
      </c>
      <c r="J52">
        <v>7.6</v>
      </c>
      <c r="K52">
        <v>4</v>
      </c>
      <c r="L52" t="s">
        <v>27</v>
      </c>
      <c r="M52">
        <v>2</v>
      </c>
      <c r="N52" t="s">
        <v>26</v>
      </c>
      <c r="O52" t="s">
        <v>28</v>
      </c>
      <c r="P52" t="s">
        <v>57</v>
      </c>
      <c r="Q52" t="s">
        <v>39</v>
      </c>
      <c r="R52" t="str">
        <f>IF(Table1[[#This Row],[Resolution_Time_Hrs]]&gt;Table1[[#This Row],[SLA_Target_Hrs]],"No", "Yes")</f>
        <v>No</v>
      </c>
      <c r="S52" t="str">
        <f>IF(Table1[[#This Row],[Calculated_SLA]]=Table1[[#This Row],[SLA_Met]],"Match","Mismatch")</f>
        <v>Match</v>
      </c>
      <c r="T52">
        <f>IF(Table1[[#This Row],[Calculated_SLA]]="Yes",1,0)</f>
        <v>0</v>
      </c>
      <c r="U52" t="str">
        <f>IF(COUNTIFS(Reference_data!A:A,Table1[[#This Row],[Category]],Reference_data!B:B,Table1[[#This Row],[Sub_Category]])&gt;0,"Valid","Invalid")</f>
        <v>Valid</v>
      </c>
      <c r="V52" t="str">
        <f>_xlfn.XLOOKUP([1]!Table1[[#This Row],[Sub_Category]],[1]Reference_data!B:B,[1]Reference_data!A:A)</f>
        <v>Supplies &amp; Logistics</v>
      </c>
      <c r="W52" t="str">
        <f>IF([1]!Table1[[#This Row],[Category]]=[1]!Table1[[#This Row],[Expected_Category ]],"Valid", "invalid")</f>
        <v>Valid</v>
      </c>
    </row>
    <row r="53" spans="1:23">
      <c r="A53" t="s">
        <v>225</v>
      </c>
      <c r="B53" t="s">
        <v>41</v>
      </c>
      <c r="C53" s="31" t="s">
        <v>226</v>
      </c>
      <c r="D53" s="32" t="s">
        <v>227</v>
      </c>
      <c r="E53" t="s">
        <v>35</v>
      </c>
      <c r="F53" t="s">
        <v>127</v>
      </c>
      <c r="G53" t="s">
        <v>54</v>
      </c>
      <c r="H53" t="s">
        <v>47</v>
      </c>
      <c r="I53" t="s">
        <v>56</v>
      </c>
      <c r="J53">
        <v>7.4</v>
      </c>
      <c r="K53">
        <v>4</v>
      </c>
      <c r="L53" t="s">
        <v>27</v>
      </c>
      <c r="M53">
        <v>2</v>
      </c>
      <c r="N53" t="s">
        <v>27</v>
      </c>
      <c r="O53" t="s">
        <v>28</v>
      </c>
      <c r="P53" t="s">
        <v>57</v>
      </c>
      <c r="Q53" t="s">
        <v>101</v>
      </c>
      <c r="R53" t="str">
        <f>IF(Table1[[#This Row],[Resolution_Time_Hrs]]&gt;Table1[[#This Row],[SLA_Target_Hrs]],"No", "Yes")</f>
        <v>No</v>
      </c>
      <c r="S53" t="str">
        <f>IF(Table1[[#This Row],[Calculated_SLA]]=Table1[[#This Row],[SLA_Met]],"Match","Mismatch")</f>
        <v>Match</v>
      </c>
      <c r="T53">
        <f>IF(Table1[[#This Row],[Calculated_SLA]]="Yes",1,0)</f>
        <v>0</v>
      </c>
      <c r="U53" t="str">
        <f>IF(COUNTIFS(Reference_data!A:A,Table1[[#This Row],[Category]],Reference_data!B:B,Table1[[#This Row],[Sub_Category]])&gt;0,"Valid","Invalid")</f>
        <v>Valid</v>
      </c>
      <c r="V53" t="str">
        <f>_xlfn.XLOOKUP([1]!Table1[[#This Row],[Sub_Category]],[1]Reference_data!B:B,[1]Reference_data!A:A)</f>
        <v>Print Quality</v>
      </c>
      <c r="W53" t="str">
        <f>IF([1]!Table1[[#This Row],[Category]]=[1]!Table1[[#This Row],[Expected_Category ]],"Valid", "invalid")</f>
        <v>Valid</v>
      </c>
    </row>
    <row r="54" spans="1:23">
      <c r="A54" t="s">
        <v>228</v>
      </c>
      <c r="B54" t="s">
        <v>135</v>
      </c>
      <c r="C54" s="31" t="s">
        <v>229</v>
      </c>
      <c r="D54" s="32" t="s">
        <v>230</v>
      </c>
      <c r="E54" t="s">
        <v>21</v>
      </c>
      <c r="F54" t="s">
        <v>22</v>
      </c>
      <c r="G54" t="s">
        <v>46</v>
      </c>
      <c r="H54" t="s">
        <v>138</v>
      </c>
      <c r="I54" t="s">
        <v>25</v>
      </c>
      <c r="J54">
        <v>11.7</v>
      </c>
      <c r="K54">
        <v>8</v>
      </c>
      <c r="L54" t="s">
        <v>27</v>
      </c>
      <c r="M54">
        <v>2</v>
      </c>
      <c r="N54" t="s">
        <v>26</v>
      </c>
      <c r="O54" t="s">
        <v>28</v>
      </c>
      <c r="P54" t="s">
        <v>57</v>
      </c>
      <c r="Q54" t="s">
        <v>30</v>
      </c>
      <c r="R54" t="str">
        <f>IF(Table1[[#This Row],[Resolution_Time_Hrs]]&gt;Table1[[#This Row],[SLA_Target_Hrs]],"No", "Yes")</f>
        <v>No</v>
      </c>
      <c r="S54" t="str">
        <f>IF(Table1[[#This Row],[Calculated_SLA]]=Table1[[#This Row],[SLA_Met]],"Match","Mismatch")</f>
        <v>Match</v>
      </c>
      <c r="T54">
        <f>IF(Table1[[#This Row],[Calculated_SLA]]="Yes",1,0)</f>
        <v>0</v>
      </c>
      <c r="U54" t="str">
        <f>IF(COUNTIFS(Reference_data!A:A,Table1[[#This Row],[Category]],Reference_data!B:B,Table1[[#This Row],[Sub_Category]])&gt;0,"Valid","Invalid")</f>
        <v>Valid</v>
      </c>
      <c r="V54" t="str">
        <f>_xlfn.XLOOKUP([1]!Table1[[#This Row],[Sub_Category]],[1]Reference_data!B:B,[1]Reference_data!A:A)</f>
        <v>Connectivity &amp; Software</v>
      </c>
      <c r="W54" t="str">
        <f>IF([1]!Table1[[#This Row],[Category]]=[1]!Table1[[#This Row],[Expected_Category ]],"Valid", "invalid")</f>
        <v>Valid</v>
      </c>
    </row>
    <row r="55" spans="1:23">
      <c r="A55" t="s">
        <v>231</v>
      </c>
      <c r="B55" t="s">
        <v>32</v>
      </c>
      <c r="C55" s="31" t="s">
        <v>232</v>
      </c>
      <c r="D55" s="32" t="s">
        <v>233</v>
      </c>
      <c r="E55" t="s">
        <v>21</v>
      </c>
      <c r="F55" t="s">
        <v>69</v>
      </c>
      <c r="G55" t="s">
        <v>54</v>
      </c>
      <c r="H55" t="s">
        <v>234</v>
      </c>
      <c r="I55" t="s">
        <v>25</v>
      </c>
      <c r="J55">
        <v>7.3</v>
      </c>
      <c r="K55">
        <v>4</v>
      </c>
      <c r="L55" t="s">
        <v>27</v>
      </c>
      <c r="M55">
        <v>2</v>
      </c>
      <c r="N55" t="s">
        <v>26</v>
      </c>
      <c r="O55" t="s">
        <v>28</v>
      </c>
      <c r="P55" t="s">
        <v>1670</v>
      </c>
      <c r="Q55" t="s">
        <v>30</v>
      </c>
      <c r="R55" t="str">
        <f>IF(Table1[[#This Row],[Resolution_Time_Hrs]]&gt;Table1[[#This Row],[SLA_Target_Hrs]],"No", "Yes")</f>
        <v>No</v>
      </c>
      <c r="S55" t="str">
        <f>IF(Table1[[#This Row],[Calculated_SLA]]=Table1[[#This Row],[SLA_Met]],"Match","Mismatch")</f>
        <v>Match</v>
      </c>
      <c r="T55">
        <f>IF(Table1[[#This Row],[Calculated_SLA]]="Yes",1,0)</f>
        <v>0</v>
      </c>
      <c r="U55" t="str">
        <f>IF(COUNTIFS(Reference_data!A:A,Table1[[#This Row],[Category]],Reference_data!B:B,Table1[[#This Row],[Sub_Category]])&gt;0,"Valid","Invalid")</f>
        <v>Valid</v>
      </c>
      <c r="V55" t="str">
        <f>_xlfn.XLOOKUP([1]!Table1[[#This Row],[Sub_Category]],[1]Reference_data!B:B,[1]Reference_data!A:A)</f>
        <v>Connectivity &amp; Software</v>
      </c>
      <c r="W55" t="str">
        <f>IF([1]!Table1[[#This Row],[Category]]=[1]!Table1[[#This Row],[Expected_Category ]],"Valid", "invalid")</f>
        <v>Valid</v>
      </c>
    </row>
    <row r="56" spans="1:23">
      <c r="A56" t="s">
        <v>235</v>
      </c>
      <c r="B56" t="s">
        <v>66</v>
      </c>
      <c r="C56" s="31" t="s">
        <v>236</v>
      </c>
      <c r="D56" s="32" t="s">
        <v>237</v>
      </c>
      <c r="E56" t="s">
        <v>78</v>
      </c>
      <c r="F56" t="s">
        <v>79</v>
      </c>
      <c r="G56" t="s">
        <v>46</v>
      </c>
      <c r="H56" t="s">
        <v>86</v>
      </c>
      <c r="I56" t="s">
        <v>80</v>
      </c>
      <c r="J56">
        <v>22.4</v>
      </c>
      <c r="K56">
        <v>8</v>
      </c>
      <c r="L56" t="s">
        <v>27</v>
      </c>
      <c r="M56">
        <v>3</v>
      </c>
      <c r="N56" t="s">
        <v>26</v>
      </c>
      <c r="O56" t="s">
        <v>28</v>
      </c>
      <c r="P56" t="s">
        <v>1670</v>
      </c>
      <c r="Q56" t="s">
        <v>101</v>
      </c>
      <c r="R56" t="str">
        <f>IF(Table1[[#This Row],[Resolution_Time_Hrs]]&gt;Table1[[#This Row],[SLA_Target_Hrs]],"No", "Yes")</f>
        <v>No</v>
      </c>
      <c r="S56" t="str">
        <f>IF(Table1[[#This Row],[Calculated_SLA]]=Table1[[#This Row],[SLA_Met]],"Match","Mismatch")</f>
        <v>Match</v>
      </c>
      <c r="T56">
        <f>IF(Table1[[#This Row],[Calculated_SLA]]="Yes",1,0)</f>
        <v>0</v>
      </c>
      <c r="U56" t="str">
        <f>IF(COUNTIFS(Reference_data!A:A,Table1[[#This Row],[Category]],Reference_data!B:B,Table1[[#This Row],[Sub_Category]])&gt;0,"Valid","Invalid")</f>
        <v>Valid</v>
      </c>
      <c r="V56" t="str">
        <f>_xlfn.XLOOKUP([1]!Table1[[#This Row],[Sub_Category]],[1]Reference_data!B:B,[1]Reference_data!A:A)</f>
        <v>Hardware &amp; Mechanical</v>
      </c>
      <c r="W56" t="str">
        <f>IF([1]!Table1[[#This Row],[Category]]=[1]!Table1[[#This Row],[Expected_Category ]],"Valid", "invalid")</f>
        <v>Valid</v>
      </c>
    </row>
    <row r="57" spans="1:23">
      <c r="A57" t="s">
        <v>238</v>
      </c>
      <c r="B57" t="s">
        <v>135</v>
      </c>
      <c r="C57" s="31" t="s">
        <v>239</v>
      </c>
      <c r="D57" s="32" t="s">
        <v>240</v>
      </c>
      <c r="E57" t="s">
        <v>21</v>
      </c>
      <c r="F57" t="s">
        <v>22</v>
      </c>
      <c r="G57" t="s">
        <v>23</v>
      </c>
      <c r="H57" t="s">
        <v>47</v>
      </c>
      <c r="I57" t="s">
        <v>25</v>
      </c>
      <c r="J57">
        <v>9.1</v>
      </c>
      <c r="K57">
        <v>24</v>
      </c>
      <c r="L57" t="s">
        <v>26</v>
      </c>
      <c r="M57">
        <v>5</v>
      </c>
      <c r="N57" t="s">
        <v>27</v>
      </c>
      <c r="O57" t="s">
        <v>28</v>
      </c>
      <c r="P57" t="s">
        <v>29</v>
      </c>
      <c r="Q57" t="s">
        <v>101</v>
      </c>
      <c r="R57" t="str">
        <f>IF(Table1[[#This Row],[Resolution_Time_Hrs]]&gt;Table1[[#This Row],[SLA_Target_Hrs]],"No", "Yes")</f>
        <v>Yes</v>
      </c>
      <c r="S57" t="str">
        <f>IF(Table1[[#This Row],[Calculated_SLA]]=Table1[[#This Row],[SLA_Met]],"Match","Mismatch")</f>
        <v>Match</v>
      </c>
      <c r="T57">
        <f>IF(Table1[[#This Row],[Calculated_SLA]]="Yes",1,0)</f>
        <v>1</v>
      </c>
      <c r="U57" t="str">
        <f>IF(COUNTIFS(Reference_data!A:A,Table1[[#This Row],[Category]],Reference_data!B:B,Table1[[#This Row],[Sub_Category]])&gt;0,"Valid","Invalid")</f>
        <v>Valid</v>
      </c>
      <c r="V57" t="str">
        <f>_xlfn.XLOOKUP([1]!Table1[[#This Row],[Sub_Category]],[1]Reference_data!B:B,[1]Reference_data!A:A)</f>
        <v>Connectivity &amp; Software</v>
      </c>
      <c r="W57" t="str">
        <f>IF([1]!Table1[[#This Row],[Category]]=[1]!Table1[[#This Row],[Expected_Category ]],"Valid", "invalid")</f>
        <v>Valid</v>
      </c>
    </row>
    <row r="58" spans="1:23">
      <c r="A58" t="s">
        <v>241</v>
      </c>
      <c r="B58" t="s">
        <v>32</v>
      </c>
      <c r="C58" s="31" t="s">
        <v>242</v>
      </c>
      <c r="D58" s="32" t="s">
        <v>243</v>
      </c>
      <c r="E58" t="s">
        <v>21</v>
      </c>
      <c r="F58" t="s">
        <v>22</v>
      </c>
      <c r="G58" t="s">
        <v>46</v>
      </c>
      <c r="H58" t="s">
        <v>55</v>
      </c>
      <c r="I58" t="s">
        <v>25</v>
      </c>
      <c r="J58">
        <v>7.5</v>
      </c>
      <c r="K58">
        <v>8</v>
      </c>
      <c r="L58" t="s">
        <v>26</v>
      </c>
      <c r="M58">
        <v>5</v>
      </c>
      <c r="N58" t="s">
        <v>27</v>
      </c>
      <c r="O58" t="s">
        <v>28</v>
      </c>
      <c r="P58" t="s">
        <v>29</v>
      </c>
      <c r="Q58" t="s">
        <v>58</v>
      </c>
      <c r="R58" t="str">
        <f>IF(Table1[[#This Row],[Resolution_Time_Hrs]]&gt;Table1[[#This Row],[SLA_Target_Hrs]],"No", "Yes")</f>
        <v>Yes</v>
      </c>
      <c r="S58" t="str">
        <f>IF(Table1[[#This Row],[Calculated_SLA]]=Table1[[#This Row],[SLA_Met]],"Match","Mismatch")</f>
        <v>Match</v>
      </c>
      <c r="T58">
        <f>IF(Table1[[#This Row],[Calculated_SLA]]="Yes",1,0)</f>
        <v>1</v>
      </c>
      <c r="U58" t="str">
        <f>IF(COUNTIFS(Reference_data!A:A,Table1[[#This Row],[Category]],Reference_data!B:B,Table1[[#This Row],[Sub_Category]])&gt;0,"Valid","Invalid")</f>
        <v>Valid</v>
      </c>
      <c r="V58" t="str">
        <f>_xlfn.XLOOKUP([1]!Table1[[#This Row],[Sub_Category]],[1]Reference_data!B:B,[1]Reference_data!A:A)</f>
        <v>Connectivity &amp; Software</v>
      </c>
      <c r="W58" t="str">
        <f>IF([1]!Table1[[#This Row],[Category]]=[1]!Table1[[#This Row],[Expected_Category ]],"Valid", "invalid")</f>
        <v>Valid</v>
      </c>
    </row>
    <row r="59" spans="1:23">
      <c r="A59" t="s">
        <v>244</v>
      </c>
      <c r="B59" t="s">
        <v>18</v>
      </c>
      <c r="C59" s="31" t="s">
        <v>245</v>
      </c>
      <c r="D59" s="32" t="s">
        <v>246</v>
      </c>
      <c r="E59" t="s">
        <v>35</v>
      </c>
      <c r="F59" t="s">
        <v>53</v>
      </c>
      <c r="G59" t="s">
        <v>23</v>
      </c>
      <c r="H59" t="s">
        <v>70</v>
      </c>
      <c r="I59" t="s">
        <v>56</v>
      </c>
      <c r="J59">
        <v>7.4</v>
      </c>
      <c r="K59">
        <v>24</v>
      </c>
      <c r="L59" t="s">
        <v>26</v>
      </c>
      <c r="M59">
        <v>4</v>
      </c>
      <c r="N59" t="s">
        <v>27</v>
      </c>
      <c r="O59" t="s">
        <v>28</v>
      </c>
      <c r="P59" t="s">
        <v>29</v>
      </c>
      <c r="Q59" t="s">
        <v>101</v>
      </c>
      <c r="R59" t="str">
        <f>IF(Table1[[#This Row],[Resolution_Time_Hrs]]&gt;Table1[[#This Row],[SLA_Target_Hrs]],"No", "Yes")</f>
        <v>Yes</v>
      </c>
      <c r="S59" t="str">
        <f>IF(Table1[[#This Row],[Calculated_SLA]]=Table1[[#This Row],[SLA_Met]],"Match","Mismatch")</f>
        <v>Match</v>
      </c>
      <c r="T59">
        <f>IF(Table1[[#This Row],[Calculated_SLA]]="Yes",1,0)</f>
        <v>1</v>
      </c>
      <c r="U59" t="str">
        <f>IF(COUNTIFS(Reference_data!A:A,Table1[[#This Row],[Category]],Reference_data!B:B,Table1[[#This Row],[Sub_Category]])&gt;0,"Valid","Invalid")</f>
        <v>Valid</v>
      </c>
      <c r="V59" t="str">
        <f>_xlfn.XLOOKUP([1]!Table1[[#This Row],[Sub_Category]],[1]Reference_data!B:B,[1]Reference_data!A:A)</f>
        <v>Print Quality</v>
      </c>
      <c r="W59" t="str">
        <f>IF([1]!Table1[[#This Row],[Category]]=[1]!Table1[[#This Row],[Expected_Category ]],"Valid", "invalid")</f>
        <v>Valid</v>
      </c>
    </row>
    <row r="60" spans="1:23">
      <c r="A60" t="s">
        <v>247</v>
      </c>
      <c r="B60" t="s">
        <v>50</v>
      </c>
      <c r="C60" s="31" t="s">
        <v>248</v>
      </c>
      <c r="D60" s="32" t="s">
        <v>249</v>
      </c>
      <c r="E60" t="s">
        <v>21</v>
      </c>
      <c r="F60" t="s">
        <v>63</v>
      </c>
      <c r="G60" t="s">
        <v>23</v>
      </c>
      <c r="H60" t="s">
        <v>70</v>
      </c>
      <c r="I60" t="s">
        <v>25</v>
      </c>
      <c r="J60">
        <v>10.1</v>
      </c>
      <c r="K60">
        <v>24</v>
      </c>
      <c r="L60" t="s">
        <v>26</v>
      </c>
      <c r="M60">
        <v>4</v>
      </c>
      <c r="N60" t="s">
        <v>27</v>
      </c>
      <c r="O60" t="s">
        <v>28</v>
      </c>
      <c r="P60" t="s">
        <v>29</v>
      </c>
      <c r="Q60" t="s">
        <v>30</v>
      </c>
      <c r="R60" t="str">
        <f>IF(Table1[[#This Row],[Resolution_Time_Hrs]]&gt;Table1[[#This Row],[SLA_Target_Hrs]],"No", "Yes")</f>
        <v>Yes</v>
      </c>
      <c r="S60" t="str">
        <f>IF(Table1[[#This Row],[Calculated_SLA]]=Table1[[#This Row],[SLA_Met]],"Match","Mismatch")</f>
        <v>Match</v>
      </c>
      <c r="T60">
        <f>IF(Table1[[#This Row],[Calculated_SLA]]="Yes",1,0)</f>
        <v>1</v>
      </c>
      <c r="U60" t="str">
        <f>IF(COUNTIFS(Reference_data!A:A,Table1[[#This Row],[Category]],Reference_data!B:B,Table1[[#This Row],[Sub_Category]])&gt;0,"Valid","Invalid")</f>
        <v>Valid</v>
      </c>
      <c r="V60" t="str">
        <f>_xlfn.XLOOKUP([1]!Table1[[#This Row],[Sub_Category]],[1]Reference_data!B:B,[1]Reference_data!A:A)</f>
        <v>Connectivity &amp; Software</v>
      </c>
      <c r="W60" t="str">
        <f>IF([1]!Table1[[#This Row],[Category]]=[1]!Table1[[#This Row],[Expected_Category ]],"Valid", "invalid")</f>
        <v>Valid</v>
      </c>
    </row>
    <row r="61" spans="1:23">
      <c r="A61" t="s">
        <v>250</v>
      </c>
      <c r="B61" t="s">
        <v>75</v>
      </c>
      <c r="C61" s="31" t="s">
        <v>251</v>
      </c>
      <c r="D61" s="32" t="s">
        <v>252</v>
      </c>
      <c r="E61" t="s">
        <v>78</v>
      </c>
      <c r="F61" t="s">
        <v>79</v>
      </c>
      <c r="G61" t="s">
        <v>46</v>
      </c>
      <c r="H61" t="s">
        <v>24</v>
      </c>
      <c r="I61" t="s">
        <v>80</v>
      </c>
      <c r="J61">
        <v>14.9</v>
      </c>
      <c r="K61">
        <v>8</v>
      </c>
      <c r="L61" t="s">
        <v>27</v>
      </c>
      <c r="M61">
        <v>3</v>
      </c>
      <c r="N61" t="s">
        <v>27</v>
      </c>
      <c r="O61" t="s">
        <v>28</v>
      </c>
      <c r="P61" t="s">
        <v>1670</v>
      </c>
      <c r="Q61" t="s">
        <v>101</v>
      </c>
      <c r="R61" t="str">
        <f>IF(Table1[[#This Row],[Resolution_Time_Hrs]]&gt;Table1[[#This Row],[SLA_Target_Hrs]],"No", "Yes")</f>
        <v>No</v>
      </c>
      <c r="S61" t="str">
        <f>IF(Table1[[#This Row],[Calculated_SLA]]=Table1[[#This Row],[SLA_Met]],"Match","Mismatch")</f>
        <v>Match</v>
      </c>
      <c r="T61">
        <f>IF(Table1[[#This Row],[Calculated_SLA]]="Yes",1,0)</f>
        <v>0</v>
      </c>
      <c r="U61" t="str">
        <f>IF(COUNTIFS(Reference_data!A:A,Table1[[#This Row],[Category]],Reference_data!B:B,Table1[[#This Row],[Sub_Category]])&gt;0,"Valid","Invalid")</f>
        <v>Valid</v>
      </c>
      <c r="V61" t="str">
        <f>_xlfn.XLOOKUP([1]!Table1[[#This Row],[Sub_Category]],[1]Reference_data!B:B,[1]Reference_data!A:A)</f>
        <v>Hardware &amp; Mechanical</v>
      </c>
      <c r="W61" t="str">
        <f>IF([1]!Table1[[#This Row],[Category]]=[1]!Table1[[#This Row],[Expected_Category ]],"Valid", "invalid")</f>
        <v>Valid</v>
      </c>
    </row>
    <row r="62" spans="1:23">
      <c r="A62" t="s">
        <v>253</v>
      </c>
      <c r="B62" t="s">
        <v>41</v>
      </c>
      <c r="C62" s="31" t="s">
        <v>254</v>
      </c>
      <c r="D62" s="32" t="s">
        <v>255</v>
      </c>
      <c r="E62" t="s">
        <v>78</v>
      </c>
      <c r="F62" t="s">
        <v>79</v>
      </c>
      <c r="G62" t="s">
        <v>46</v>
      </c>
      <c r="H62" t="s">
        <v>70</v>
      </c>
      <c r="I62" t="s">
        <v>80</v>
      </c>
      <c r="J62">
        <v>18.2</v>
      </c>
      <c r="K62">
        <v>8</v>
      </c>
      <c r="L62" t="s">
        <v>27</v>
      </c>
      <c r="M62">
        <v>2</v>
      </c>
      <c r="N62" t="s">
        <v>27</v>
      </c>
      <c r="O62" t="s">
        <v>28</v>
      </c>
      <c r="P62" t="s">
        <v>57</v>
      </c>
      <c r="Q62" t="s">
        <v>39</v>
      </c>
      <c r="R62" t="str">
        <f>IF(Table1[[#This Row],[Resolution_Time_Hrs]]&gt;Table1[[#This Row],[SLA_Target_Hrs]],"No", "Yes")</f>
        <v>No</v>
      </c>
      <c r="S62" t="str">
        <f>IF(Table1[[#This Row],[Calculated_SLA]]=Table1[[#This Row],[SLA_Met]],"Match","Mismatch")</f>
        <v>Match</v>
      </c>
      <c r="T62">
        <f>IF(Table1[[#This Row],[Calculated_SLA]]="Yes",1,0)</f>
        <v>0</v>
      </c>
      <c r="U62" t="str">
        <f>IF(COUNTIFS(Reference_data!A:A,Table1[[#This Row],[Category]],Reference_data!B:B,Table1[[#This Row],[Sub_Category]])&gt;0,"Valid","Invalid")</f>
        <v>Valid</v>
      </c>
      <c r="V62" t="str">
        <f>_xlfn.XLOOKUP([1]!Table1[[#This Row],[Sub_Category]],[1]Reference_data!B:B,[1]Reference_data!A:A)</f>
        <v>Hardware &amp; Mechanical</v>
      </c>
      <c r="W62" t="str">
        <f>IF([1]!Table1[[#This Row],[Category]]=[1]!Table1[[#This Row],[Expected_Category ]],"Valid", "invalid")</f>
        <v>Valid</v>
      </c>
    </row>
    <row r="63" spans="1:23">
      <c r="A63" t="s">
        <v>256</v>
      </c>
      <c r="B63" t="s">
        <v>50</v>
      </c>
      <c r="C63" s="31" t="s">
        <v>257</v>
      </c>
      <c r="D63" s="32" t="s">
        <v>258</v>
      </c>
      <c r="E63" t="s">
        <v>44</v>
      </c>
      <c r="F63" t="s">
        <v>109</v>
      </c>
      <c r="G63" t="s">
        <v>46</v>
      </c>
      <c r="H63" t="s">
        <v>234</v>
      </c>
      <c r="I63" t="s">
        <v>48</v>
      </c>
      <c r="J63">
        <v>2.2999999999999998</v>
      </c>
      <c r="K63">
        <v>8</v>
      </c>
      <c r="L63" t="s">
        <v>26</v>
      </c>
      <c r="M63">
        <v>4</v>
      </c>
      <c r="N63" t="s">
        <v>27</v>
      </c>
      <c r="O63" t="s">
        <v>28</v>
      </c>
      <c r="P63" t="s">
        <v>29</v>
      </c>
      <c r="Q63" t="s">
        <v>39</v>
      </c>
      <c r="R63" t="str">
        <f>IF(Table1[[#This Row],[Resolution_Time_Hrs]]&gt;Table1[[#This Row],[SLA_Target_Hrs]],"No", "Yes")</f>
        <v>Yes</v>
      </c>
      <c r="S63" t="str">
        <f>IF(Table1[[#This Row],[Calculated_SLA]]=Table1[[#This Row],[SLA_Met]],"Match","Mismatch")</f>
        <v>Match</v>
      </c>
      <c r="T63">
        <f>IF(Table1[[#This Row],[Calculated_SLA]]="Yes",1,0)</f>
        <v>1</v>
      </c>
      <c r="U63" t="str">
        <f>IF(COUNTIFS(Reference_data!A:A,Table1[[#This Row],[Category]],Reference_data!B:B,Table1[[#This Row],[Sub_Category]])&gt;0,"Valid","Invalid")</f>
        <v>Valid</v>
      </c>
      <c r="V63" t="str">
        <f>_xlfn.XLOOKUP([1]!Table1[[#This Row],[Sub_Category]],[1]Reference_data!B:B,[1]Reference_data!A:A)</f>
        <v>Contract &amp; Billing</v>
      </c>
      <c r="W63" t="str">
        <f>IF([1]!Table1[[#This Row],[Category]]=[1]!Table1[[#This Row],[Expected_Category ]],"Valid", "invalid")</f>
        <v>Valid</v>
      </c>
    </row>
    <row r="64" spans="1:23">
      <c r="A64" t="s">
        <v>259</v>
      </c>
      <c r="B64" t="s">
        <v>121</v>
      </c>
      <c r="C64" s="31" t="s">
        <v>260</v>
      </c>
      <c r="D64" s="32" t="s">
        <v>261</v>
      </c>
      <c r="E64" t="s">
        <v>35</v>
      </c>
      <c r="F64" t="s">
        <v>36</v>
      </c>
      <c r="G64" t="s">
        <v>54</v>
      </c>
      <c r="H64" t="s">
        <v>24</v>
      </c>
      <c r="I64" t="s">
        <v>38</v>
      </c>
      <c r="J64">
        <v>12.3</v>
      </c>
      <c r="K64">
        <v>4</v>
      </c>
      <c r="L64" t="s">
        <v>27</v>
      </c>
      <c r="M64">
        <v>1</v>
      </c>
      <c r="N64" t="s">
        <v>27</v>
      </c>
      <c r="O64" t="s">
        <v>28</v>
      </c>
      <c r="P64" t="s">
        <v>1670</v>
      </c>
      <c r="Q64" t="s">
        <v>39</v>
      </c>
      <c r="R64" t="str">
        <f>IF(Table1[[#This Row],[Resolution_Time_Hrs]]&gt;Table1[[#This Row],[SLA_Target_Hrs]],"No", "Yes")</f>
        <v>No</v>
      </c>
      <c r="S64" t="str">
        <f>IF(Table1[[#This Row],[Calculated_SLA]]=Table1[[#This Row],[SLA_Met]],"Match","Mismatch")</f>
        <v>Match</v>
      </c>
      <c r="T64">
        <f>IF(Table1[[#This Row],[Calculated_SLA]]="Yes",1,0)</f>
        <v>0</v>
      </c>
      <c r="U64" t="str">
        <f>IF(COUNTIFS(Reference_data!A:A,Table1[[#This Row],[Category]],Reference_data!B:B,Table1[[#This Row],[Sub_Category]])&gt;0,"Valid","Invalid")</f>
        <v>Valid</v>
      </c>
      <c r="V64" t="str">
        <f>_xlfn.XLOOKUP([1]!Table1[[#This Row],[Sub_Category]],[1]Reference_data!B:B,[1]Reference_data!A:A)</f>
        <v>Print Quality</v>
      </c>
      <c r="W64" t="str">
        <f>IF([1]!Table1[[#This Row],[Category]]=[1]!Table1[[#This Row],[Expected_Category ]],"Valid", "invalid")</f>
        <v>Valid</v>
      </c>
    </row>
    <row r="65" spans="1:23">
      <c r="A65" t="s">
        <v>262</v>
      </c>
      <c r="B65" t="s">
        <v>106</v>
      </c>
      <c r="C65" s="31" t="s">
        <v>263</v>
      </c>
      <c r="D65" s="32" t="s">
        <v>264</v>
      </c>
      <c r="E65" t="s">
        <v>78</v>
      </c>
      <c r="F65" t="s">
        <v>79</v>
      </c>
      <c r="G65" t="s">
        <v>46</v>
      </c>
      <c r="H65" t="s">
        <v>64</v>
      </c>
      <c r="I65" t="s">
        <v>80</v>
      </c>
      <c r="J65">
        <v>12.5</v>
      </c>
      <c r="K65">
        <v>8</v>
      </c>
      <c r="L65" t="s">
        <v>27</v>
      </c>
      <c r="M65">
        <v>3</v>
      </c>
      <c r="N65" t="s">
        <v>27</v>
      </c>
      <c r="O65" t="s">
        <v>28</v>
      </c>
      <c r="P65" t="s">
        <v>1670</v>
      </c>
      <c r="Q65" t="s">
        <v>30</v>
      </c>
      <c r="R65" t="str">
        <f>IF(Table1[[#This Row],[Resolution_Time_Hrs]]&gt;Table1[[#This Row],[SLA_Target_Hrs]],"No", "Yes")</f>
        <v>No</v>
      </c>
      <c r="S65" t="str">
        <f>IF(Table1[[#This Row],[Calculated_SLA]]=Table1[[#This Row],[SLA_Met]],"Match","Mismatch")</f>
        <v>Match</v>
      </c>
      <c r="T65">
        <f>IF(Table1[[#This Row],[Calculated_SLA]]="Yes",1,0)</f>
        <v>0</v>
      </c>
      <c r="U65" t="str">
        <f>IF(COUNTIFS(Reference_data!A:A,Table1[[#This Row],[Category]],Reference_data!B:B,Table1[[#This Row],[Sub_Category]])&gt;0,"Valid","Invalid")</f>
        <v>Valid</v>
      </c>
      <c r="V65" t="str">
        <f>_xlfn.XLOOKUP([1]!Table1[[#This Row],[Sub_Category]],[1]Reference_data!B:B,[1]Reference_data!A:A)</f>
        <v>Hardware &amp; Mechanical</v>
      </c>
      <c r="W65" t="str">
        <f>IF([1]!Table1[[#This Row],[Category]]=[1]!Table1[[#This Row],[Expected_Category ]],"Valid", "invalid")</f>
        <v>Valid</v>
      </c>
    </row>
    <row r="66" spans="1:23">
      <c r="A66" t="s">
        <v>265</v>
      </c>
      <c r="B66" t="s">
        <v>50</v>
      </c>
      <c r="C66" s="31" t="s">
        <v>266</v>
      </c>
      <c r="D66" s="32" t="s">
        <v>267</v>
      </c>
      <c r="E66" t="s">
        <v>84</v>
      </c>
      <c r="F66" t="s">
        <v>85</v>
      </c>
      <c r="G66" t="s">
        <v>46</v>
      </c>
      <c r="H66" t="s">
        <v>234</v>
      </c>
      <c r="I66" t="s">
        <v>87</v>
      </c>
      <c r="J66">
        <v>4.3</v>
      </c>
      <c r="K66">
        <v>8</v>
      </c>
      <c r="L66" t="s">
        <v>26</v>
      </c>
      <c r="M66">
        <v>5</v>
      </c>
      <c r="N66" t="s">
        <v>27</v>
      </c>
      <c r="O66" t="s">
        <v>28</v>
      </c>
      <c r="P66" t="s">
        <v>29</v>
      </c>
      <c r="Q66" t="s">
        <v>39</v>
      </c>
      <c r="R66" t="str">
        <f>IF(Table1[[#This Row],[Resolution_Time_Hrs]]&gt;Table1[[#This Row],[SLA_Target_Hrs]],"No", "Yes")</f>
        <v>Yes</v>
      </c>
      <c r="S66" t="str">
        <f>IF(Table1[[#This Row],[Calculated_SLA]]=Table1[[#This Row],[SLA_Met]],"Match","Mismatch")</f>
        <v>Match</v>
      </c>
      <c r="T66">
        <f>IF(Table1[[#This Row],[Calculated_SLA]]="Yes",1,0)</f>
        <v>1</v>
      </c>
      <c r="U66" t="str">
        <f>IF(COUNTIFS(Reference_data!A:A,Table1[[#This Row],[Category]],Reference_data!B:B,Table1[[#This Row],[Sub_Category]])&gt;0,"Valid","Invalid")</f>
        <v>Valid</v>
      </c>
      <c r="V66" t="str">
        <f>_xlfn.XLOOKUP([1]!Table1[[#This Row],[Sub_Category]],[1]Reference_data!B:B,[1]Reference_data!A:A)</f>
        <v>Supplies &amp; Logistics</v>
      </c>
      <c r="W66" t="str">
        <f>IF([1]!Table1[[#This Row],[Category]]=[1]!Table1[[#This Row],[Expected_Category ]],"Valid", "invalid")</f>
        <v>Valid</v>
      </c>
    </row>
    <row r="67" spans="1:23">
      <c r="A67" t="s">
        <v>268</v>
      </c>
      <c r="B67" t="s">
        <v>135</v>
      </c>
      <c r="C67" s="31" t="s">
        <v>269</v>
      </c>
      <c r="D67" s="32" t="s">
        <v>270</v>
      </c>
      <c r="E67" t="s">
        <v>78</v>
      </c>
      <c r="F67" t="s">
        <v>79</v>
      </c>
      <c r="G67" t="s">
        <v>46</v>
      </c>
      <c r="H67" t="s">
        <v>138</v>
      </c>
      <c r="I67" t="s">
        <v>80</v>
      </c>
      <c r="J67">
        <v>19.5</v>
      </c>
      <c r="K67">
        <v>8</v>
      </c>
      <c r="L67" t="s">
        <v>27</v>
      </c>
      <c r="M67">
        <v>3</v>
      </c>
      <c r="N67" t="s">
        <v>26</v>
      </c>
      <c r="O67" t="s">
        <v>28</v>
      </c>
      <c r="P67" t="s">
        <v>57</v>
      </c>
      <c r="Q67" t="s">
        <v>58</v>
      </c>
      <c r="R67" t="str">
        <f>IF(Table1[[#This Row],[Resolution_Time_Hrs]]&gt;Table1[[#This Row],[SLA_Target_Hrs]],"No", "Yes")</f>
        <v>No</v>
      </c>
      <c r="S67" t="str">
        <f>IF(Table1[[#This Row],[Calculated_SLA]]=Table1[[#This Row],[SLA_Met]],"Match","Mismatch")</f>
        <v>Match</v>
      </c>
      <c r="T67">
        <f>IF(Table1[[#This Row],[Calculated_SLA]]="Yes",1,0)</f>
        <v>0</v>
      </c>
      <c r="U67" t="str">
        <f>IF(COUNTIFS(Reference_data!A:A,Table1[[#This Row],[Category]],Reference_data!B:B,Table1[[#This Row],[Sub_Category]])&gt;0,"Valid","Invalid")</f>
        <v>Valid</v>
      </c>
      <c r="V67" t="str">
        <f>_xlfn.XLOOKUP([1]!Table1[[#This Row],[Sub_Category]],[1]Reference_data!B:B,[1]Reference_data!A:A)</f>
        <v>Hardware &amp; Mechanical</v>
      </c>
      <c r="W67" t="str">
        <f>IF([1]!Table1[[#This Row],[Category]]=[1]!Table1[[#This Row],[Expected_Category ]],"Valid", "invalid")</f>
        <v>Valid</v>
      </c>
    </row>
    <row r="68" spans="1:23">
      <c r="A68" t="s">
        <v>271</v>
      </c>
      <c r="B68" t="s">
        <v>32</v>
      </c>
      <c r="C68" s="31" t="s">
        <v>272</v>
      </c>
      <c r="D68" s="32" t="s">
        <v>273</v>
      </c>
      <c r="E68" t="s">
        <v>21</v>
      </c>
      <c r="F68" t="s">
        <v>63</v>
      </c>
      <c r="G68" t="s">
        <v>46</v>
      </c>
      <c r="H68" t="s">
        <v>234</v>
      </c>
      <c r="I68" t="s">
        <v>25</v>
      </c>
      <c r="J68">
        <v>15.5</v>
      </c>
      <c r="K68">
        <v>8</v>
      </c>
      <c r="L68" t="s">
        <v>27</v>
      </c>
      <c r="M68">
        <v>2</v>
      </c>
      <c r="N68" t="s">
        <v>27</v>
      </c>
      <c r="O68" t="s">
        <v>28</v>
      </c>
      <c r="P68" t="s">
        <v>1670</v>
      </c>
      <c r="Q68" t="s">
        <v>101</v>
      </c>
      <c r="R68" t="str">
        <f>IF(Table1[[#This Row],[Resolution_Time_Hrs]]&gt;Table1[[#This Row],[SLA_Target_Hrs]],"No", "Yes")</f>
        <v>No</v>
      </c>
      <c r="S68" t="str">
        <f>IF(Table1[[#This Row],[Calculated_SLA]]=Table1[[#This Row],[SLA_Met]],"Match","Mismatch")</f>
        <v>Match</v>
      </c>
      <c r="T68">
        <f>IF(Table1[[#This Row],[Calculated_SLA]]="Yes",1,0)</f>
        <v>0</v>
      </c>
      <c r="U68" t="str">
        <f>IF(COUNTIFS(Reference_data!A:A,Table1[[#This Row],[Category]],Reference_data!B:B,Table1[[#This Row],[Sub_Category]])&gt;0,"Valid","Invalid")</f>
        <v>Valid</v>
      </c>
      <c r="V68" t="str">
        <f>_xlfn.XLOOKUP([1]!Table1[[#This Row],[Sub_Category]],[1]Reference_data!B:B,[1]Reference_data!A:A)</f>
        <v>Connectivity &amp; Software</v>
      </c>
      <c r="W68" t="str">
        <f>IF([1]!Table1[[#This Row],[Category]]=[1]!Table1[[#This Row],[Expected_Category ]],"Valid", "invalid")</f>
        <v>Valid</v>
      </c>
    </row>
    <row r="69" spans="1:23">
      <c r="A69" t="s">
        <v>274</v>
      </c>
      <c r="B69" t="s">
        <v>32</v>
      </c>
      <c r="C69" s="31" t="s">
        <v>275</v>
      </c>
      <c r="D69" s="32" t="s">
        <v>276</v>
      </c>
      <c r="E69" t="s">
        <v>84</v>
      </c>
      <c r="F69" t="s">
        <v>116</v>
      </c>
      <c r="G69" t="s">
        <v>46</v>
      </c>
      <c r="H69" t="s">
        <v>55</v>
      </c>
      <c r="I69" t="s">
        <v>87</v>
      </c>
      <c r="J69">
        <v>8.1</v>
      </c>
      <c r="K69">
        <v>8</v>
      </c>
      <c r="L69" t="s">
        <v>27</v>
      </c>
      <c r="M69">
        <v>2</v>
      </c>
      <c r="N69" t="s">
        <v>26</v>
      </c>
      <c r="O69" t="s">
        <v>28</v>
      </c>
      <c r="P69" t="s">
        <v>57</v>
      </c>
      <c r="Q69" t="s">
        <v>58</v>
      </c>
      <c r="R69" t="str">
        <f>IF(Table1[[#This Row],[Resolution_Time_Hrs]]&gt;Table1[[#This Row],[SLA_Target_Hrs]],"No", "Yes")</f>
        <v>No</v>
      </c>
      <c r="S69" t="str">
        <f>IF(Table1[[#This Row],[Calculated_SLA]]=Table1[[#This Row],[SLA_Met]],"Match","Mismatch")</f>
        <v>Match</v>
      </c>
      <c r="T69">
        <f>IF(Table1[[#This Row],[Calculated_SLA]]="Yes",1,0)</f>
        <v>0</v>
      </c>
      <c r="U69" t="str">
        <f>IF(COUNTIFS(Reference_data!A:A,Table1[[#This Row],[Category]],Reference_data!B:B,Table1[[#This Row],[Sub_Category]])&gt;0,"Valid","Invalid")</f>
        <v>Valid</v>
      </c>
      <c r="V69" t="str">
        <f>_xlfn.XLOOKUP([1]!Table1[[#This Row],[Sub_Category]],[1]Reference_data!B:B,[1]Reference_data!A:A)</f>
        <v>Supplies &amp; Logistics</v>
      </c>
      <c r="W69" t="str">
        <f>IF([1]!Table1[[#This Row],[Category]]=[1]!Table1[[#This Row],[Expected_Category ]],"Valid", "invalid")</f>
        <v>Valid</v>
      </c>
    </row>
    <row r="70" spans="1:23">
      <c r="A70" t="s">
        <v>277</v>
      </c>
      <c r="B70" t="s">
        <v>60</v>
      </c>
      <c r="C70" s="31" t="s">
        <v>278</v>
      </c>
      <c r="D70" s="32" t="s">
        <v>279</v>
      </c>
      <c r="E70" t="s">
        <v>35</v>
      </c>
      <c r="F70" t="s">
        <v>127</v>
      </c>
      <c r="G70" t="s">
        <v>23</v>
      </c>
      <c r="H70" t="s">
        <v>234</v>
      </c>
      <c r="I70" t="s">
        <v>56</v>
      </c>
      <c r="J70">
        <v>9.1</v>
      </c>
      <c r="K70">
        <v>24</v>
      </c>
      <c r="L70" t="s">
        <v>27</v>
      </c>
      <c r="M70">
        <v>1</v>
      </c>
      <c r="N70" t="s">
        <v>27</v>
      </c>
      <c r="O70" t="s">
        <v>28</v>
      </c>
      <c r="P70" t="s">
        <v>57</v>
      </c>
      <c r="Q70" t="s">
        <v>39</v>
      </c>
      <c r="R70" t="str">
        <f>IF(Table1[[#This Row],[Resolution_Time_Hrs]]&gt;Table1[[#This Row],[SLA_Target_Hrs]],"No", "Yes")</f>
        <v>Yes</v>
      </c>
      <c r="S70" t="str">
        <f>IF(Table1[[#This Row],[Calculated_SLA]]=Table1[[#This Row],[SLA_Met]],"Match","Mismatch")</f>
        <v>Mismatch</v>
      </c>
      <c r="T70">
        <f>IF(Table1[[#This Row],[Calculated_SLA]]="Yes",1,0)</f>
        <v>1</v>
      </c>
      <c r="U70" t="str">
        <f>IF(COUNTIFS(Reference_data!A:A,Table1[[#This Row],[Category]],Reference_data!B:B,Table1[[#This Row],[Sub_Category]])&gt;0,"Valid","Invalid")</f>
        <v>Valid</v>
      </c>
      <c r="V70" t="str">
        <f>_xlfn.XLOOKUP([1]!Table1[[#This Row],[Sub_Category]],[1]Reference_data!B:B,[1]Reference_data!A:A)</f>
        <v>Print Quality</v>
      </c>
      <c r="W70" t="str">
        <f>IF([1]!Table1[[#This Row],[Category]]=[1]!Table1[[#This Row],[Expected_Category ]],"Valid", "invalid")</f>
        <v>Valid</v>
      </c>
    </row>
    <row r="71" spans="1:23">
      <c r="A71" t="s">
        <v>280</v>
      </c>
      <c r="B71" t="s">
        <v>32</v>
      </c>
      <c r="C71" s="31" t="s">
        <v>281</v>
      </c>
      <c r="D71" s="32" t="s">
        <v>282</v>
      </c>
      <c r="E71" t="s">
        <v>35</v>
      </c>
      <c r="F71" t="s">
        <v>53</v>
      </c>
      <c r="G71" t="s">
        <v>23</v>
      </c>
      <c r="H71" t="s">
        <v>91</v>
      </c>
      <c r="I71" t="s">
        <v>56</v>
      </c>
      <c r="J71">
        <v>11.9</v>
      </c>
      <c r="K71">
        <v>24</v>
      </c>
      <c r="L71" t="s">
        <v>26</v>
      </c>
      <c r="M71">
        <v>5</v>
      </c>
      <c r="N71" t="s">
        <v>27</v>
      </c>
      <c r="O71" t="s">
        <v>28</v>
      </c>
      <c r="P71" t="s">
        <v>29</v>
      </c>
      <c r="Q71" t="s">
        <v>101</v>
      </c>
      <c r="R71" t="str">
        <f>IF(Table1[[#This Row],[Resolution_Time_Hrs]]&gt;Table1[[#This Row],[SLA_Target_Hrs]],"No", "Yes")</f>
        <v>Yes</v>
      </c>
      <c r="S71" t="str">
        <f>IF(Table1[[#This Row],[Calculated_SLA]]=Table1[[#This Row],[SLA_Met]],"Match","Mismatch")</f>
        <v>Match</v>
      </c>
      <c r="T71">
        <f>IF(Table1[[#This Row],[Calculated_SLA]]="Yes",1,0)</f>
        <v>1</v>
      </c>
      <c r="U71" t="str">
        <f>IF(COUNTIFS(Reference_data!A:A,Table1[[#This Row],[Category]],Reference_data!B:B,Table1[[#This Row],[Sub_Category]])&gt;0,"Valid","Invalid")</f>
        <v>Valid</v>
      </c>
      <c r="V71" t="str">
        <f>_xlfn.XLOOKUP([1]!Table1[[#This Row],[Sub_Category]],[1]Reference_data!B:B,[1]Reference_data!A:A)</f>
        <v>Print Quality</v>
      </c>
      <c r="W71" t="str">
        <f>IF([1]!Table1[[#This Row],[Category]]=[1]!Table1[[#This Row],[Expected_Category ]],"Valid", "invalid")</f>
        <v>Valid</v>
      </c>
    </row>
    <row r="72" spans="1:23">
      <c r="A72" t="s">
        <v>283</v>
      </c>
      <c r="B72" t="s">
        <v>75</v>
      </c>
      <c r="C72" s="31" t="s">
        <v>284</v>
      </c>
      <c r="D72" s="32" t="s">
        <v>285</v>
      </c>
      <c r="E72" t="s">
        <v>21</v>
      </c>
      <c r="F72" t="s">
        <v>69</v>
      </c>
      <c r="G72" t="s">
        <v>46</v>
      </c>
      <c r="H72" t="s">
        <v>64</v>
      </c>
      <c r="I72" t="s">
        <v>25</v>
      </c>
      <c r="J72">
        <v>5</v>
      </c>
      <c r="K72">
        <v>8</v>
      </c>
      <c r="L72" t="s">
        <v>26</v>
      </c>
      <c r="M72">
        <v>5</v>
      </c>
      <c r="N72" t="s">
        <v>27</v>
      </c>
      <c r="O72" t="s">
        <v>28</v>
      </c>
      <c r="P72" t="s">
        <v>29</v>
      </c>
      <c r="Q72" t="s">
        <v>58</v>
      </c>
      <c r="R72" t="str">
        <f>IF(Table1[[#This Row],[Resolution_Time_Hrs]]&gt;Table1[[#This Row],[SLA_Target_Hrs]],"No", "Yes")</f>
        <v>Yes</v>
      </c>
      <c r="S72" t="str">
        <f>IF(Table1[[#This Row],[Calculated_SLA]]=Table1[[#This Row],[SLA_Met]],"Match","Mismatch")</f>
        <v>Match</v>
      </c>
      <c r="T72">
        <f>IF(Table1[[#This Row],[Calculated_SLA]]="Yes",1,0)</f>
        <v>1</v>
      </c>
      <c r="U72" t="str">
        <f>IF(COUNTIFS(Reference_data!A:A,Table1[[#This Row],[Category]],Reference_data!B:B,Table1[[#This Row],[Sub_Category]])&gt;0,"Valid","Invalid")</f>
        <v>Valid</v>
      </c>
      <c r="V72" t="str">
        <f>_xlfn.XLOOKUP([1]!Table1[[#This Row],[Sub_Category]],[1]Reference_data!B:B,[1]Reference_data!A:A)</f>
        <v>Connectivity &amp; Software</v>
      </c>
      <c r="W72" t="str">
        <f>IF([1]!Table1[[#This Row],[Category]]=[1]!Table1[[#This Row],[Expected_Category ]],"Valid", "invalid")</f>
        <v>Valid</v>
      </c>
    </row>
    <row r="73" spans="1:23">
      <c r="A73" t="s">
        <v>286</v>
      </c>
      <c r="B73" t="s">
        <v>50</v>
      </c>
      <c r="C73" s="31" t="s">
        <v>287</v>
      </c>
      <c r="D73" s="32" t="s">
        <v>288</v>
      </c>
      <c r="E73" t="s">
        <v>44</v>
      </c>
      <c r="F73" t="s">
        <v>45</v>
      </c>
      <c r="G73" t="s">
        <v>46</v>
      </c>
      <c r="H73" t="s">
        <v>37</v>
      </c>
      <c r="I73" t="s">
        <v>48</v>
      </c>
      <c r="J73">
        <v>4.8</v>
      </c>
      <c r="K73">
        <v>8</v>
      </c>
      <c r="L73" t="s">
        <v>26</v>
      </c>
      <c r="M73">
        <v>4</v>
      </c>
      <c r="N73" t="s">
        <v>27</v>
      </c>
      <c r="O73" t="s">
        <v>28</v>
      </c>
      <c r="P73" t="s">
        <v>29</v>
      </c>
      <c r="Q73" t="s">
        <v>101</v>
      </c>
      <c r="R73" t="str">
        <f>IF(Table1[[#This Row],[Resolution_Time_Hrs]]&gt;Table1[[#This Row],[SLA_Target_Hrs]],"No", "Yes")</f>
        <v>Yes</v>
      </c>
      <c r="S73" t="str">
        <f>IF(Table1[[#This Row],[Calculated_SLA]]=Table1[[#This Row],[SLA_Met]],"Match","Mismatch")</f>
        <v>Match</v>
      </c>
      <c r="T73">
        <f>IF(Table1[[#This Row],[Calculated_SLA]]="Yes",1,0)</f>
        <v>1</v>
      </c>
      <c r="U73" t="str">
        <f>IF(COUNTIFS(Reference_data!A:A,Table1[[#This Row],[Category]],Reference_data!B:B,Table1[[#This Row],[Sub_Category]])&gt;0,"Valid","Invalid")</f>
        <v>Valid</v>
      </c>
      <c r="V73" t="str">
        <f>_xlfn.XLOOKUP([1]!Table1[[#This Row],[Sub_Category]],[1]Reference_data!B:B,[1]Reference_data!A:A)</f>
        <v>Contract &amp; Billing</v>
      </c>
      <c r="W73" t="str">
        <f>IF([1]!Table1[[#This Row],[Category]]=[1]!Table1[[#This Row],[Expected_Category ]],"Valid", "invalid")</f>
        <v>Valid</v>
      </c>
    </row>
    <row r="74" spans="1:23">
      <c r="A74" t="s">
        <v>289</v>
      </c>
      <c r="B74" t="s">
        <v>18</v>
      </c>
      <c r="C74" s="31" t="s">
        <v>290</v>
      </c>
      <c r="D74" s="32" t="s">
        <v>291</v>
      </c>
      <c r="E74" t="s">
        <v>84</v>
      </c>
      <c r="F74" t="s">
        <v>85</v>
      </c>
      <c r="G74" t="s">
        <v>46</v>
      </c>
      <c r="H74" t="s">
        <v>234</v>
      </c>
      <c r="I74" t="s">
        <v>87</v>
      </c>
      <c r="J74">
        <v>5.9</v>
      </c>
      <c r="K74">
        <v>8</v>
      </c>
      <c r="L74" t="s">
        <v>26</v>
      </c>
      <c r="M74">
        <v>5</v>
      </c>
      <c r="N74" t="s">
        <v>27</v>
      </c>
      <c r="O74" t="s">
        <v>28</v>
      </c>
      <c r="P74" t="s">
        <v>29</v>
      </c>
      <c r="Q74" t="s">
        <v>39</v>
      </c>
      <c r="R74" t="str">
        <f>IF(Table1[[#This Row],[Resolution_Time_Hrs]]&gt;Table1[[#This Row],[SLA_Target_Hrs]],"No", "Yes")</f>
        <v>Yes</v>
      </c>
      <c r="S74" t="str">
        <f>IF(Table1[[#This Row],[Calculated_SLA]]=Table1[[#This Row],[SLA_Met]],"Match","Mismatch")</f>
        <v>Match</v>
      </c>
      <c r="T74">
        <f>IF(Table1[[#This Row],[Calculated_SLA]]="Yes",1,0)</f>
        <v>1</v>
      </c>
      <c r="U74" t="str">
        <f>IF(COUNTIFS(Reference_data!A:A,Table1[[#This Row],[Category]],Reference_data!B:B,Table1[[#This Row],[Sub_Category]])&gt;0,"Valid","Invalid")</f>
        <v>Valid</v>
      </c>
      <c r="V74" t="str">
        <f>_xlfn.XLOOKUP([1]!Table1[[#This Row],[Sub_Category]],[1]Reference_data!B:B,[1]Reference_data!A:A)</f>
        <v>Supplies &amp; Logistics</v>
      </c>
      <c r="W74" t="str">
        <f>IF([1]!Table1[[#This Row],[Category]]=[1]!Table1[[#This Row],[Expected_Category ]],"Valid", "invalid")</f>
        <v>Valid</v>
      </c>
    </row>
    <row r="75" spans="1:23">
      <c r="A75" t="s">
        <v>292</v>
      </c>
      <c r="B75" t="s">
        <v>75</v>
      </c>
      <c r="C75" s="31" t="s">
        <v>293</v>
      </c>
      <c r="D75" s="32" t="s">
        <v>294</v>
      </c>
      <c r="E75" t="s">
        <v>21</v>
      </c>
      <c r="F75" t="s">
        <v>22</v>
      </c>
      <c r="G75" t="s">
        <v>46</v>
      </c>
      <c r="H75" t="s">
        <v>91</v>
      </c>
      <c r="I75" t="s">
        <v>25</v>
      </c>
      <c r="J75">
        <v>12.4</v>
      </c>
      <c r="K75">
        <v>8</v>
      </c>
      <c r="L75" t="s">
        <v>27</v>
      </c>
      <c r="M75">
        <v>1</v>
      </c>
      <c r="N75" t="s">
        <v>27</v>
      </c>
      <c r="O75" t="s">
        <v>28</v>
      </c>
      <c r="P75" t="s">
        <v>57</v>
      </c>
      <c r="Q75" t="s">
        <v>30</v>
      </c>
      <c r="R75" t="str">
        <f>IF(Table1[[#This Row],[Resolution_Time_Hrs]]&gt;Table1[[#This Row],[SLA_Target_Hrs]],"No", "Yes")</f>
        <v>No</v>
      </c>
      <c r="S75" t="str">
        <f>IF(Table1[[#This Row],[Calculated_SLA]]=Table1[[#This Row],[SLA_Met]],"Match","Mismatch")</f>
        <v>Match</v>
      </c>
      <c r="T75">
        <f>IF(Table1[[#This Row],[Calculated_SLA]]="Yes",1,0)</f>
        <v>0</v>
      </c>
      <c r="U75" t="str">
        <f>IF(COUNTIFS(Reference_data!A:A,Table1[[#This Row],[Category]],Reference_data!B:B,Table1[[#This Row],[Sub_Category]])&gt;0,"Valid","Invalid")</f>
        <v>Valid</v>
      </c>
      <c r="V75" t="str">
        <f>_xlfn.XLOOKUP([1]!Table1[[#This Row],[Sub_Category]],[1]Reference_data!B:B,[1]Reference_data!A:A)</f>
        <v>Connectivity &amp; Software</v>
      </c>
      <c r="W75" t="str">
        <f>IF([1]!Table1[[#This Row],[Category]]=[1]!Table1[[#This Row],[Expected_Category ]],"Valid", "invalid")</f>
        <v>Valid</v>
      </c>
    </row>
    <row r="76" spans="1:23">
      <c r="A76" t="s">
        <v>295</v>
      </c>
      <c r="B76" t="s">
        <v>75</v>
      </c>
      <c r="C76" s="31" t="s">
        <v>296</v>
      </c>
      <c r="D76" s="32" t="s">
        <v>297</v>
      </c>
      <c r="E76" t="s">
        <v>21</v>
      </c>
      <c r="F76" t="s">
        <v>69</v>
      </c>
      <c r="G76" t="s">
        <v>54</v>
      </c>
      <c r="H76" t="s">
        <v>234</v>
      </c>
      <c r="I76" t="s">
        <v>25</v>
      </c>
      <c r="J76">
        <v>8.6999999999999993</v>
      </c>
      <c r="K76">
        <v>4</v>
      </c>
      <c r="L76" t="s">
        <v>27</v>
      </c>
      <c r="M76">
        <v>2</v>
      </c>
      <c r="N76" t="s">
        <v>27</v>
      </c>
      <c r="O76" t="s">
        <v>28</v>
      </c>
      <c r="P76" t="s">
        <v>57</v>
      </c>
      <c r="Q76" t="s">
        <v>39</v>
      </c>
      <c r="R76" t="str">
        <f>IF(Table1[[#This Row],[Resolution_Time_Hrs]]&gt;Table1[[#This Row],[SLA_Target_Hrs]],"No", "Yes")</f>
        <v>No</v>
      </c>
      <c r="S76" t="str">
        <f>IF(Table1[[#This Row],[Calculated_SLA]]=Table1[[#This Row],[SLA_Met]],"Match","Mismatch")</f>
        <v>Match</v>
      </c>
      <c r="T76">
        <f>IF(Table1[[#This Row],[Calculated_SLA]]="Yes",1,0)</f>
        <v>0</v>
      </c>
      <c r="U76" t="str">
        <f>IF(COUNTIFS(Reference_data!A:A,Table1[[#This Row],[Category]],Reference_data!B:B,Table1[[#This Row],[Sub_Category]])&gt;0,"Valid","Invalid")</f>
        <v>Valid</v>
      </c>
      <c r="V76" t="str">
        <f>_xlfn.XLOOKUP([1]!Table1[[#This Row],[Sub_Category]],[1]Reference_data!B:B,[1]Reference_data!A:A)</f>
        <v>Connectivity &amp; Software</v>
      </c>
      <c r="W76" t="str">
        <f>IF([1]!Table1[[#This Row],[Category]]=[1]!Table1[[#This Row],[Expected_Category ]],"Valid", "invalid")</f>
        <v>Valid</v>
      </c>
    </row>
    <row r="77" spans="1:23">
      <c r="A77" t="s">
        <v>298</v>
      </c>
      <c r="B77" t="s">
        <v>41</v>
      </c>
      <c r="C77" s="31" t="s">
        <v>299</v>
      </c>
      <c r="D77" s="32" t="s">
        <v>300</v>
      </c>
      <c r="E77" t="s">
        <v>21</v>
      </c>
      <c r="F77" t="s">
        <v>22</v>
      </c>
      <c r="G77" t="s">
        <v>46</v>
      </c>
      <c r="H77" t="s">
        <v>47</v>
      </c>
      <c r="I77" t="s">
        <v>25</v>
      </c>
      <c r="J77">
        <v>7.1</v>
      </c>
      <c r="K77">
        <v>8</v>
      </c>
      <c r="L77" t="s">
        <v>26</v>
      </c>
      <c r="N77" t="s">
        <v>27</v>
      </c>
      <c r="O77" t="s">
        <v>28</v>
      </c>
      <c r="P77" t="s">
        <v>29</v>
      </c>
      <c r="Q77" t="s">
        <v>101</v>
      </c>
      <c r="R77" t="str">
        <f>IF(Table1[[#This Row],[Resolution_Time_Hrs]]&gt;Table1[[#This Row],[SLA_Target_Hrs]],"No", "Yes")</f>
        <v>Yes</v>
      </c>
      <c r="S77" t="str">
        <f>IF(Table1[[#This Row],[Calculated_SLA]]=Table1[[#This Row],[SLA_Met]],"Match","Mismatch")</f>
        <v>Match</v>
      </c>
      <c r="T77">
        <f>IF(Table1[[#This Row],[Calculated_SLA]]="Yes",1,0)</f>
        <v>1</v>
      </c>
      <c r="U77" t="str">
        <f>IF(COUNTIFS(Reference_data!A:A,Table1[[#This Row],[Category]],Reference_data!B:B,Table1[[#This Row],[Sub_Category]])&gt;0,"Valid","Invalid")</f>
        <v>Valid</v>
      </c>
      <c r="V77" t="str">
        <f>_xlfn.XLOOKUP([1]!Table1[[#This Row],[Sub_Category]],[1]Reference_data!B:B,[1]Reference_data!A:A)</f>
        <v>Connectivity &amp; Software</v>
      </c>
      <c r="W77" t="str">
        <f>IF([1]!Table1[[#This Row],[Category]]=[1]!Table1[[#This Row],[Expected_Category ]],"Valid", "invalid")</f>
        <v>Valid</v>
      </c>
    </row>
    <row r="78" spans="1:23">
      <c r="A78" t="s">
        <v>301</v>
      </c>
      <c r="B78" t="s">
        <v>41</v>
      </c>
      <c r="C78" s="31" t="s">
        <v>302</v>
      </c>
      <c r="D78" s="32" t="s">
        <v>303</v>
      </c>
      <c r="E78" t="s">
        <v>21</v>
      </c>
      <c r="F78" t="s">
        <v>63</v>
      </c>
      <c r="G78" t="s">
        <v>46</v>
      </c>
      <c r="H78" t="s">
        <v>138</v>
      </c>
      <c r="I78" t="s">
        <v>25</v>
      </c>
      <c r="J78">
        <v>8.5</v>
      </c>
      <c r="K78">
        <v>8</v>
      </c>
      <c r="L78" t="s">
        <v>27</v>
      </c>
      <c r="M78">
        <v>2</v>
      </c>
      <c r="N78" t="s">
        <v>26</v>
      </c>
      <c r="O78" t="s">
        <v>28</v>
      </c>
      <c r="P78" t="s">
        <v>1670</v>
      </c>
      <c r="Q78" t="s">
        <v>39</v>
      </c>
      <c r="R78" t="str">
        <f>IF(Table1[[#This Row],[Resolution_Time_Hrs]]&gt;Table1[[#This Row],[SLA_Target_Hrs]],"No", "Yes")</f>
        <v>No</v>
      </c>
      <c r="S78" t="str">
        <f>IF(Table1[[#This Row],[Calculated_SLA]]=Table1[[#This Row],[SLA_Met]],"Match","Mismatch")</f>
        <v>Match</v>
      </c>
      <c r="T78">
        <f>IF(Table1[[#This Row],[Calculated_SLA]]="Yes",1,0)</f>
        <v>0</v>
      </c>
      <c r="U78" t="str">
        <f>IF(COUNTIFS(Reference_data!A:A,Table1[[#This Row],[Category]],Reference_data!B:B,Table1[[#This Row],[Sub_Category]])&gt;0,"Valid","Invalid")</f>
        <v>Valid</v>
      </c>
      <c r="V78" t="str">
        <f>_xlfn.XLOOKUP([1]!Table1[[#This Row],[Sub_Category]],[1]Reference_data!B:B,[1]Reference_data!A:A)</f>
        <v>Connectivity &amp; Software</v>
      </c>
      <c r="W78" t="str">
        <f>IF([1]!Table1[[#This Row],[Category]]=[1]!Table1[[#This Row],[Expected_Category ]],"Valid", "invalid")</f>
        <v>Valid</v>
      </c>
    </row>
    <row r="79" spans="1:23">
      <c r="A79" t="s">
        <v>304</v>
      </c>
      <c r="B79" t="s">
        <v>41</v>
      </c>
      <c r="C79" s="31" t="s">
        <v>305</v>
      </c>
      <c r="D79" s="32" t="s">
        <v>306</v>
      </c>
      <c r="E79" t="s">
        <v>21</v>
      </c>
      <c r="F79" t="s">
        <v>69</v>
      </c>
      <c r="G79" t="s">
        <v>23</v>
      </c>
      <c r="H79" t="s">
        <v>91</v>
      </c>
      <c r="I79" t="s">
        <v>25</v>
      </c>
      <c r="J79">
        <v>12.4</v>
      </c>
      <c r="K79">
        <v>24</v>
      </c>
      <c r="L79" t="s">
        <v>26</v>
      </c>
      <c r="M79">
        <v>5</v>
      </c>
      <c r="N79" t="s">
        <v>27</v>
      </c>
      <c r="O79" t="s">
        <v>28</v>
      </c>
      <c r="P79" t="s">
        <v>29</v>
      </c>
      <c r="Q79" t="s">
        <v>101</v>
      </c>
      <c r="R79" t="str">
        <f>IF(Table1[[#This Row],[Resolution_Time_Hrs]]&gt;Table1[[#This Row],[SLA_Target_Hrs]],"No", "Yes")</f>
        <v>Yes</v>
      </c>
      <c r="S79" t="str">
        <f>IF(Table1[[#This Row],[Calculated_SLA]]=Table1[[#This Row],[SLA_Met]],"Match","Mismatch")</f>
        <v>Match</v>
      </c>
      <c r="T79">
        <f>IF(Table1[[#This Row],[Calculated_SLA]]="Yes",1,0)</f>
        <v>1</v>
      </c>
      <c r="U79" t="str">
        <f>IF(COUNTIFS(Reference_data!A:A,Table1[[#This Row],[Category]],Reference_data!B:B,Table1[[#This Row],[Sub_Category]])&gt;0,"Valid","Invalid")</f>
        <v>Valid</v>
      </c>
      <c r="V79" t="str">
        <f>_xlfn.XLOOKUP([1]!Table1[[#This Row],[Sub_Category]],[1]Reference_data!B:B,[1]Reference_data!A:A)</f>
        <v>Connectivity &amp; Software</v>
      </c>
      <c r="W79" t="str">
        <f>IF([1]!Table1[[#This Row],[Category]]=[1]!Table1[[#This Row],[Expected_Category ]],"Valid", "invalid")</f>
        <v>Valid</v>
      </c>
    </row>
    <row r="80" spans="1:23">
      <c r="A80" t="s">
        <v>307</v>
      </c>
      <c r="B80" t="s">
        <v>50</v>
      </c>
      <c r="C80" s="31" t="s">
        <v>308</v>
      </c>
      <c r="D80" s="32" t="s">
        <v>309</v>
      </c>
      <c r="E80" t="s">
        <v>78</v>
      </c>
      <c r="F80" t="s">
        <v>191</v>
      </c>
      <c r="G80" t="s">
        <v>23</v>
      </c>
      <c r="H80" t="s">
        <v>86</v>
      </c>
      <c r="I80" t="s">
        <v>38</v>
      </c>
      <c r="J80">
        <v>15.3</v>
      </c>
      <c r="K80">
        <v>24</v>
      </c>
      <c r="L80" t="s">
        <v>26</v>
      </c>
      <c r="M80">
        <v>5</v>
      </c>
      <c r="N80" t="s">
        <v>27</v>
      </c>
      <c r="O80" t="s">
        <v>28</v>
      </c>
      <c r="P80" t="s">
        <v>29</v>
      </c>
      <c r="Q80" t="s">
        <v>58</v>
      </c>
      <c r="R80" t="str">
        <f>IF(Table1[[#This Row],[Resolution_Time_Hrs]]&gt;Table1[[#This Row],[SLA_Target_Hrs]],"No", "Yes")</f>
        <v>Yes</v>
      </c>
      <c r="S80" t="str">
        <f>IF(Table1[[#This Row],[Calculated_SLA]]=Table1[[#This Row],[SLA_Met]],"Match","Mismatch")</f>
        <v>Match</v>
      </c>
      <c r="T80">
        <f>IF(Table1[[#This Row],[Calculated_SLA]]="Yes",1,0)</f>
        <v>1</v>
      </c>
      <c r="U80" t="str">
        <f>IF(COUNTIFS(Reference_data!A:A,Table1[[#This Row],[Category]],Reference_data!B:B,Table1[[#This Row],[Sub_Category]])&gt;0,"Valid","Invalid")</f>
        <v>Valid</v>
      </c>
      <c r="V80" t="str">
        <f>_xlfn.XLOOKUP([1]!Table1[[#This Row],[Sub_Category]],[1]Reference_data!B:B,[1]Reference_data!A:A)</f>
        <v>Hardware &amp; Mechanical</v>
      </c>
      <c r="W80" t="str">
        <f>IF([1]!Table1[[#This Row],[Category]]=[1]!Table1[[#This Row],[Expected_Category ]],"Valid", "invalid")</f>
        <v>Valid</v>
      </c>
    </row>
    <row r="81" spans="1:23">
      <c r="A81" t="s">
        <v>310</v>
      </c>
      <c r="B81" t="s">
        <v>32</v>
      </c>
      <c r="C81" s="31" t="s">
        <v>311</v>
      </c>
      <c r="D81" s="32" t="s">
        <v>312</v>
      </c>
      <c r="E81" t="s">
        <v>21</v>
      </c>
      <c r="F81" t="s">
        <v>69</v>
      </c>
      <c r="G81" t="s">
        <v>46</v>
      </c>
      <c r="H81" t="s">
        <v>47</v>
      </c>
      <c r="I81" t="s">
        <v>25</v>
      </c>
      <c r="J81">
        <v>6.5</v>
      </c>
      <c r="K81">
        <v>8</v>
      </c>
      <c r="L81" t="s">
        <v>26</v>
      </c>
      <c r="M81">
        <v>5</v>
      </c>
      <c r="N81" t="s">
        <v>27</v>
      </c>
      <c r="O81" t="s">
        <v>28</v>
      </c>
      <c r="P81" t="s">
        <v>29</v>
      </c>
      <c r="Q81" t="s">
        <v>39</v>
      </c>
      <c r="R81" t="str">
        <f>IF(Table1[[#This Row],[Resolution_Time_Hrs]]&gt;Table1[[#This Row],[SLA_Target_Hrs]],"No", "Yes")</f>
        <v>Yes</v>
      </c>
      <c r="S81" t="str">
        <f>IF(Table1[[#This Row],[Calculated_SLA]]=Table1[[#This Row],[SLA_Met]],"Match","Mismatch")</f>
        <v>Match</v>
      </c>
      <c r="T81">
        <f>IF(Table1[[#This Row],[Calculated_SLA]]="Yes",1,0)</f>
        <v>1</v>
      </c>
      <c r="U81" t="str">
        <f>IF(COUNTIFS(Reference_data!A:A,Table1[[#This Row],[Category]],Reference_data!B:B,Table1[[#This Row],[Sub_Category]])&gt;0,"Valid","Invalid")</f>
        <v>Valid</v>
      </c>
      <c r="V81" t="str">
        <f>_xlfn.XLOOKUP([1]!Table1[[#This Row],[Sub_Category]],[1]Reference_data!B:B,[1]Reference_data!A:A)</f>
        <v>Connectivity &amp; Software</v>
      </c>
      <c r="W81" t="str">
        <f>IF([1]!Table1[[#This Row],[Category]]=[1]!Table1[[#This Row],[Expected_Category ]],"Valid", "invalid")</f>
        <v>Valid</v>
      </c>
    </row>
    <row r="82" spans="1:23">
      <c r="A82" t="s">
        <v>313</v>
      </c>
      <c r="B82" t="s">
        <v>135</v>
      </c>
      <c r="C82" s="31" t="s">
        <v>314</v>
      </c>
      <c r="D82" s="32" t="s">
        <v>315</v>
      </c>
      <c r="E82" t="s">
        <v>44</v>
      </c>
      <c r="F82" t="s">
        <v>109</v>
      </c>
      <c r="G82" t="s">
        <v>46</v>
      </c>
      <c r="H82" t="s">
        <v>24</v>
      </c>
      <c r="I82" t="s">
        <v>48</v>
      </c>
      <c r="J82">
        <v>5.2</v>
      </c>
      <c r="K82">
        <v>8</v>
      </c>
      <c r="L82" t="s">
        <v>26</v>
      </c>
      <c r="M82">
        <v>4</v>
      </c>
      <c r="N82" t="s">
        <v>27</v>
      </c>
      <c r="O82" t="s">
        <v>28</v>
      </c>
      <c r="P82" t="s">
        <v>29</v>
      </c>
      <c r="Q82" t="s">
        <v>58</v>
      </c>
      <c r="R82" t="str">
        <f>IF(Table1[[#This Row],[Resolution_Time_Hrs]]&gt;Table1[[#This Row],[SLA_Target_Hrs]],"No", "Yes")</f>
        <v>Yes</v>
      </c>
      <c r="S82" t="str">
        <f>IF(Table1[[#This Row],[Calculated_SLA]]=Table1[[#This Row],[SLA_Met]],"Match","Mismatch")</f>
        <v>Match</v>
      </c>
      <c r="T82">
        <f>IF(Table1[[#This Row],[Calculated_SLA]]="Yes",1,0)</f>
        <v>1</v>
      </c>
      <c r="U82" t="str">
        <f>IF(COUNTIFS(Reference_data!A:A,Table1[[#This Row],[Category]],Reference_data!B:B,Table1[[#This Row],[Sub_Category]])&gt;0,"Valid","Invalid")</f>
        <v>Valid</v>
      </c>
      <c r="V82" t="str">
        <f>_xlfn.XLOOKUP([1]!Table1[[#This Row],[Sub_Category]],[1]Reference_data!B:B,[1]Reference_data!A:A)</f>
        <v>Contract &amp; Billing</v>
      </c>
      <c r="W82" t="str">
        <f>IF([1]!Table1[[#This Row],[Category]]=[1]!Table1[[#This Row],[Expected_Category ]],"Valid", "invalid")</f>
        <v>Valid</v>
      </c>
    </row>
    <row r="83" spans="1:23">
      <c r="A83" t="s">
        <v>316</v>
      </c>
      <c r="B83" t="s">
        <v>121</v>
      </c>
      <c r="C83" s="31" t="s">
        <v>317</v>
      </c>
      <c r="D83" s="32" t="s">
        <v>318</v>
      </c>
      <c r="E83" t="s">
        <v>84</v>
      </c>
      <c r="F83" t="s">
        <v>116</v>
      </c>
      <c r="G83" t="s">
        <v>23</v>
      </c>
      <c r="H83" t="s">
        <v>37</v>
      </c>
      <c r="I83" t="s">
        <v>87</v>
      </c>
      <c r="J83">
        <v>8.3000000000000007</v>
      </c>
      <c r="K83">
        <v>24</v>
      </c>
      <c r="L83" t="s">
        <v>26</v>
      </c>
      <c r="M83">
        <v>4</v>
      </c>
      <c r="N83" t="s">
        <v>27</v>
      </c>
      <c r="O83" t="s">
        <v>28</v>
      </c>
      <c r="P83" t="s">
        <v>29</v>
      </c>
      <c r="Q83" t="s">
        <v>101</v>
      </c>
      <c r="R83" t="str">
        <f>IF(Table1[[#This Row],[Resolution_Time_Hrs]]&gt;Table1[[#This Row],[SLA_Target_Hrs]],"No", "Yes")</f>
        <v>Yes</v>
      </c>
      <c r="S83" t="str">
        <f>IF(Table1[[#This Row],[Calculated_SLA]]=Table1[[#This Row],[SLA_Met]],"Match","Mismatch")</f>
        <v>Match</v>
      </c>
      <c r="T83">
        <f>IF(Table1[[#This Row],[Calculated_SLA]]="Yes",1,0)</f>
        <v>1</v>
      </c>
      <c r="U83" t="str">
        <f>IF(COUNTIFS(Reference_data!A:A,Table1[[#This Row],[Category]],Reference_data!B:B,Table1[[#This Row],[Sub_Category]])&gt;0,"Valid","Invalid")</f>
        <v>Valid</v>
      </c>
      <c r="V83" t="str">
        <f>_xlfn.XLOOKUP([1]!Table1[[#This Row],[Sub_Category]],[1]Reference_data!B:B,[1]Reference_data!A:A)</f>
        <v>Supplies &amp; Logistics</v>
      </c>
      <c r="W83" t="str">
        <f>IF([1]!Table1[[#This Row],[Category]]=[1]!Table1[[#This Row],[Expected_Category ]],"Valid", "invalid")</f>
        <v>Valid</v>
      </c>
    </row>
    <row r="84" spans="1:23">
      <c r="A84" t="s">
        <v>319</v>
      </c>
      <c r="B84" t="s">
        <v>18</v>
      </c>
      <c r="C84" s="31" t="s">
        <v>320</v>
      </c>
      <c r="D84" s="32" t="s">
        <v>321</v>
      </c>
      <c r="E84" t="s">
        <v>21</v>
      </c>
      <c r="F84" t="s">
        <v>22</v>
      </c>
      <c r="G84" t="s">
        <v>46</v>
      </c>
      <c r="H84" t="s">
        <v>64</v>
      </c>
      <c r="I84" t="s">
        <v>25</v>
      </c>
      <c r="J84">
        <v>5.3</v>
      </c>
      <c r="K84">
        <v>8</v>
      </c>
      <c r="L84" t="s">
        <v>26</v>
      </c>
      <c r="M84">
        <v>4</v>
      </c>
      <c r="N84" t="s">
        <v>27</v>
      </c>
      <c r="O84" t="s">
        <v>28</v>
      </c>
      <c r="P84" t="s">
        <v>29</v>
      </c>
      <c r="Q84" t="s">
        <v>39</v>
      </c>
      <c r="R84" t="str">
        <f>IF(Table1[[#This Row],[Resolution_Time_Hrs]]&gt;Table1[[#This Row],[SLA_Target_Hrs]],"No", "Yes")</f>
        <v>Yes</v>
      </c>
      <c r="S84" t="str">
        <f>IF(Table1[[#This Row],[Calculated_SLA]]=Table1[[#This Row],[SLA_Met]],"Match","Mismatch")</f>
        <v>Match</v>
      </c>
      <c r="T84">
        <f>IF(Table1[[#This Row],[Calculated_SLA]]="Yes",1,0)</f>
        <v>1</v>
      </c>
      <c r="U84" t="str">
        <f>IF(COUNTIFS(Reference_data!A:A,Table1[[#This Row],[Category]],Reference_data!B:B,Table1[[#This Row],[Sub_Category]])&gt;0,"Valid","Invalid")</f>
        <v>Valid</v>
      </c>
      <c r="V84" t="str">
        <f>_xlfn.XLOOKUP([1]!Table1[[#This Row],[Sub_Category]],[1]Reference_data!B:B,[1]Reference_data!A:A)</f>
        <v>Connectivity &amp; Software</v>
      </c>
      <c r="W84" t="str">
        <f>IF([1]!Table1[[#This Row],[Category]]=[1]!Table1[[#This Row],[Expected_Category ]],"Valid", "invalid")</f>
        <v>Valid</v>
      </c>
    </row>
    <row r="85" spans="1:23">
      <c r="A85" t="s">
        <v>322</v>
      </c>
      <c r="B85" t="s">
        <v>60</v>
      </c>
      <c r="C85" s="31" t="s">
        <v>323</v>
      </c>
      <c r="D85" s="32" t="s">
        <v>324</v>
      </c>
      <c r="E85" t="s">
        <v>78</v>
      </c>
      <c r="F85" t="s">
        <v>79</v>
      </c>
      <c r="G85" t="s">
        <v>46</v>
      </c>
      <c r="H85" t="s">
        <v>86</v>
      </c>
      <c r="I85" t="s">
        <v>80</v>
      </c>
      <c r="J85">
        <v>12.1</v>
      </c>
      <c r="K85">
        <v>8</v>
      </c>
      <c r="L85" t="s">
        <v>27</v>
      </c>
      <c r="M85">
        <v>3</v>
      </c>
      <c r="N85" t="s">
        <v>26</v>
      </c>
      <c r="O85" t="s">
        <v>28</v>
      </c>
      <c r="P85" t="s">
        <v>1670</v>
      </c>
      <c r="Q85" t="s">
        <v>101</v>
      </c>
      <c r="R85" t="str">
        <f>IF(Table1[[#This Row],[Resolution_Time_Hrs]]&gt;Table1[[#This Row],[SLA_Target_Hrs]],"No", "Yes")</f>
        <v>No</v>
      </c>
      <c r="S85" t="str">
        <f>IF(Table1[[#This Row],[Calculated_SLA]]=Table1[[#This Row],[SLA_Met]],"Match","Mismatch")</f>
        <v>Match</v>
      </c>
      <c r="T85">
        <f>IF(Table1[[#This Row],[Calculated_SLA]]="Yes",1,0)</f>
        <v>0</v>
      </c>
      <c r="U85" t="str">
        <f>IF(COUNTIFS(Reference_data!A:A,Table1[[#This Row],[Category]],Reference_data!B:B,Table1[[#This Row],[Sub_Category]])&gt;0,"Valid","Invalid")</f>
        <v>Valid</v>
      </c>
      <c r="V85" t="str">
        <f>_xlfn.XLOOKUP([1]!Table1[[#This Row],[Sub_Category]],[1]Reference_data!B:B,[1]Reference_data!A:A)</f>
        <v>Hardware &amp; Mechanical</v>
      </c>
      <c r="W85" t="str">
        <f>IF([1]!Table1[[#This Row],[Category]]=[1]!Table1[[#This Row],[Expected_Category ]],"Valid", "invalid")</f>
        <v>Valid</v>
      </c>
    </row>
    <row r="86" spans="1:23">
      <c r="A86" t="s">
        <v>325</v>
      </c>
      <c r="B86" t="s">
        <v>106</v>
      </c>
      <c r="C86" s="31" t="s">
        <v>326</v>
      </c>
      <c r="D86" s="32" t="s">
        <v>327</v>
      </c>
      <c r="E86" t="s">
        <v>21</v>
      </c>
      <c r="F86" t="s">
        <v>63</v>
      </c>
      <c r="G86" t="s">
        <v>46</v>
      </c>
      <c r="H86" t="s">
        <v>47</v>
      </c>
      <c r="I86" t="s">
        <v>25</v>
      </c>
      <c r="J86">
        <v>7.6</v>
      </c>
      <c r="K86">
        <v>8</v>
      </c>
      <c r="L86" t="s">
        <v>26</v>
      </c>
      <c r="M86">
        <v>5</v>
      </c>
      <c r="N86" t="s">
        <v>27</v>
      </c>
      <c r="O86" t="s">
        <v>28</v>
      </c>
      <c r="P86" t="s">
        <v>29</v>
      </c>
      <c r="Q86" t="s">
        <v>30</v>
      </c>
      <c r="R86" t="str">
        <f>IF(Table1[[#This Row],[Resolution_Time_Hrs]]&gt;Table1[[#This Row],[SLA_Target_Hrs]],"No", "Yes")</f>
        <v>Yes</v>
      </c>
      <c r="S86" t="str">
        <f>IF(Table1[[#This Row],[Calculated_SLA]]=Table1[[#This Row],[SLA_Met]],"Match","Mismatch")</f>
        <v>Match</v>
      </c>
      <c r="T86">
        <f>IF(Table1[[#This Row],[Calculated_SLA]]="Yes",1,0)</f>
        <v>1</v>
      </c>
      <c r="U86" t="str">
        <f>IF(COUNTIFS(Reference_data!A:A,Table1[[#This Row],[Category]],Reference_data!B:B,Table1[[#This Row],[Sub_Category]])&gt;0,"Valid","Invalid")</f>
        <v>Valid</v>
      </c>
      <c r="V86" t="str">
        <f>_xlfn.XLOOKUP([1]!Table1[[#This Row],[Sub_Category]],[1]Reference_data!B:B,[1]Reference_data!A:A)</f>
        <v>Connectivity &amp; Software</v>
      </c>
      <c r="W86" t="str">
        <f>IF([1]!Table1[[#This Row],[Category]]=[1]!Table1[[#This Row],[Expected_Category ]],"Valid", "invalid")</f>
        <v>Valid</v>
      </c>
    </row>
    <row r="87" spans="1:23">
      <c r="A87" t="s">
        <v>328</v>
      </c>
      <c r="B87" t="s">
        <v>66</v>
      </c>
      <c r="C87" s="31" t="s">
        <v>329</v>
      </c>
      <c r="D87" s="32" t="s">
        <v>330</v>
      </c>
      <c r="E87" t="s">
        <v>35</v>
      </c>
      <c r="F87" t="s">
        <v>53</v>
      </c>
      <c r="G87" t="s">
        <v>23</v>
      </c>
      <c r="H87" t="s">
        <v>37</v>
      </c>
      <c r="I87" t="s">
        <v>56</v>
      </c>
      <c r="J87">
        <v>11.6</v>
      </c>
      <c r="K87">
        <v>24</v>
      </c>
      <c r="L87" t="s">
        <v>26</v>
      </c>
      <c r="M87">
        <v>4</v>
      </c>
      <c r="N87" t="s">
        <v>27</v>
      </c>
      <c r="O87" t="s">
        <v>28</v>
      </c>
      <c r="P87" t="s">
        <v>29</v>
      </c>
      <c r="Q87" t="s">
        <v>58</v>
      </c>
      <c r="R87" t="str">
        <f>IF(Table1[[#This Row],[Resolution_Time_Hrs]]&gt;Table1[[#This Row],[SLA_Target_Hrs]],"No", "Yes")</f>
        <v>Yes</v>
      </c>
      <c r="S87" t="str">
        <f>IF(Table1[[#This Row],[Calculated_SLA]]=Table1[[#This Row],[SLA_Met]],"Match","Mismatch")</f>
        <v>Match</v>
      </c>
      <c r="T87">
        <f>IF(Table1[[#This Row],[Calculated_SLA]]="Yes",1,0)</f>
        <v>1</v>
      </c>
      <c r="U87" t="str">
        <f>IF(COUNTIFS(Reference_data!A:A,Table1[[#This Row],[Category]],Reference_data!B:B,Table1[[#This Row],[Sub_Category]])&gt;0,"Valid","Invalid")</f>
        <v>Valid</v>
      </c>
      <c r="V87" t="str">
        <f>_xlfn.XLOOKUP([1]!Table1[[#This Row],[Sub_Category]],[1]Reference_data!B:B,[1]Reference_data!A:A)</f>
        <v>Print Quality</v>
      </c>
      <c r="W87" t="str">
        <f>IF([1]!Table1[[#This Row],[Category]]=[1]!Table1[[#This Row],[Expected_Category ]],"Valid", "invalid")</f>
        <v>Valid</v>
      </c>
    </row>
    <row r="88" spans="1:23">
      <c r="A88" t="s">
        <v>331</v>
      </c>
      <c r="B88" t="s">
        <v>50</v>
      </c>
      <c r="C88" s="31" t="s">
        <v>332</v>
      </c>
      <c r="D88" s="32" t="s">
        <v>333</v>
      </c>
      <c r="E88" t="s">
        <v>84</v>
      </c>
      <c r="F88" t="s">
        <v>116</v>
      </c>
      <c r="G88" t="s">
        <v>46</v>
      </c>
      <c r="H88" t="s">
        <v>24</v>
      </c>
      <c r="I88" t="s">
        <v>87</v>
      </c>
      <c r="J88">
        <v>9.6999999999999993</v>
      </c>
      <c r="K88">
        <v>8</v>
      </c>
      <c r="L88" t="s">
        <v>27</v>
      </c>
      <c r="M88">
        <v>3</v>
      </c>
      <c r="N88" t="s">
        <v>26</v>
      </c>
      <c r="O88" t="s">
        <v>28</v>
      </c>
      <c r="P88" t="s">
        <v>1670</v>
      </c>
      <c r="Q88" t="s">
        <v>101</v>
      </c>
      <c r="R88" t="str">
        <f>IF(Table1[[#This Row],[Resolution_Time_Hrs]]&gt;Table1[[#This Row],[SLA_Target_Hrs]],"No", "Yes")</f>
        <v>No</v>
      </c>
      <c r="S88" t="str">
        <f>IF(Table1[[#This Row],[Calculated_SLA]]=Table1[[#This Row],[SLA_Met]],"Match","Mismatch")</f>
        <v>Match</v>
      </c>
      <c r="T88">
        <f>IF(Table1[[#This Row],[Calculated_SLA]]="Yes",1,0)</f>
        <v>0</v>
      </c>
      <c r="U88" t="str">
        <f>IF(COUNTIFS(Reference_data!A:A,Table1[[#This Row],[Category]],Reference_data!B:B,Table1[[#This Row],[Sub_Category]])&gt;0,"Valid","Invalid")</f>
        <v>Valid</v>
      </c>
      <c r="V88" t="str">
        <f>_xlfn.XLOOKUP([1]!Table1[[#This Row],[Sub_Category]],[1]Reference_data!B:B,[1]Reference_data!A:A)</f>
        <v>Supplies &amp; Logistics</v>
      </c>
      <c r="W88" t="str">
        <f>IF([1]!Table1[[#This Row],[Category]]=[1]!Table1[[#This Row],[Expected_Category ]],"Valid", "invalid")</f>
        <v>Valid</v>
      </c>
    </row>
    <row r="89" spans="1:23">
      <c r="A89" t="s">
        <v>334</v>
      </c>
      <c r="B89" t="s">
        <v>50</v>
      </c>
      <c r="C89" s="31" t="s">
        <v>335</v>
      </c>
      <c r="D89" s="32" t="s">
        <v>336</v>
      </c>
      <c r="E89" t="s">
        <v>21</v>
      </c>
      <c r="F89" t="s">
        <v>63</v>
      </c>
      <c r="G89" t="s">
        <v>54</v>
      </c>
      <c r="H89" t="s">
        <v>91</v>
      </c>
      <c r="I89" t="s">
        <v>25</v>
      </c>
      <c r="J89">
        <v>12.4</v>
      </c>
      <c r="K89">
        <v>4</v>
      </c>
      <c r="L89" t="s">
        <v>27</v>
      </c>
      <c r="M89">
        <v>3</v>
      </c>
      <c r="N89" t="s">
        <v>26</v>
      </c>
      <c r="O89" t="s">
        <v>28</v>
      </c>
      <c r="P89" t="s">
        <v>57</v>
      </c>
      <c r="Q89" t="s">
        <v>101</v>
      </c>
      <c r="R89" t="str">
        <f>IF(Table1[[#This Row],[Resolution_Time_Hrs]]&gt;Table1[[#This Row],[SLA_Target_Hrs]],"No", "Yes")</f>
        <v>No</v>
      </c>
      <c r="S89" t="str">
        <f>IF(Table1[[#This Row],[Calculated_SLA]]=Table1[[#This Row],[SLA_Met]],"Match","Mismatch")</f>
        <v>Match</v>
      </c>
      <c r="T89">
        <f>IF(Table1[[#This Row],[Calculated_SLA]]="Yes",1,0)</f>
        <v>0</v>
      </c>
      <c r="U89" t="str">
        <f>IF(COUNTIFS(Reference_data!A:A,Table1[[#This Row],[Category]],Reference_data!B:B,Table1[[#This Row],[Sub_Category]])&gt;0,"Valid","Invalid")</f>
        <v>Valid</v>
      </c>
      <c r="V89" t="str">
        <f>_xlfn.XLOOKUP([1]!Table1[[#This Row],[Sub_Category]],[1]Reference_data!B:B,[1]Reference_data!A:A)</f>
        <v>Connectivity &amp; Software</v>
      </c>
      <c r="W89" t="str">
        <f>IF([1]!Table1[[#This Row],[Category]]=[1]!Table1[[#This Row],[Expected_Category ]],"Valid", "invalid")</f>
        <v>Valid</v>
      </c>
    </row>
    <row r="90" spans="1:23">
      <c r="A90" t="s">
        <v>337</v>
      </c>
      <c r="B90" t="s">
        <v>106</v>
      </c>
      <c r="C90" s="31" t="s">
        <v>338</v>
      </c>
      <c r="D90" s="32" t="s">
        <v>339</v>
      </c>
      <c r="E90" t="s">
        <v>35</v>
      </c>
      <c r="F90" t="s">
        <v>53</v>
      </c>
      <c r="G90" t="s">
        <v>46</v>
      </c>
      <c r="H90" t="s">
        <v>91</v>
      </c>
      <c r="I90" t="s">
        <v>56</v>
      </c>
      <c r="J90">
        <v>8.4</v>
      </c>
      <c r="K90">
        <v>8</v>
      </c>
      <c r="L90" t="s">
        <v>27</v>
      </c>
      <c r="M90">
        <v>3</v>
      </c>
      <c r="N90" t="s">
        <v>27</v>
      </c>
      <c r="O90" t="s">
        <v>28</v>
      </c>
      <c r="P90" t="s">
        <v>1670</v>
      </c>
      <c r="Q90" t="s">
        <v>39</v>
      </c>
      <c r="R90" t="str">
        <f>IF(Table1[[#This Row],[Resolution_Time_Hrs]]&gt;Table1[[#This Row],[SLA_Target_Hrs]],"No", "Yes")</f>
        <v>No</v>
      </c>
      <c r="S90" t="str">
        <f>IF(Table1[[#This Row],[Calculated_SLA]]=Table1[[#This Row],[SLA_Met]],"Match","Mismatch")</f>
        <v>Match</v>
      </c>
      <c r="T90">
        <f>IF(Table1[[#This Row],[Calculated_SLA]]="Yes",1,0)</f>
        <v>0</v>
      </c>
      <c r="U90" t="str">
        <f>IF(COUNTIFS(Reference_data!A:A,Table1[[#This Row],[Category]],Reference_data!B:B,Table1[[#This Row],[Sub_Category]])&gt;0,"Valid","Invalid")</f>
        <v>Valid</v>
      </c>
      <c r="V90" t="str">
        <f>_xlfn.XLOOKUP([1]!Table1[[#This Row],[Sub_Category]],[1]Reference_data!B:B,[1]Reference_data!A:A)</f>
        <v>Print Quality</v>
      </c>
      <c r="W90" t="str">
        <f>IF([1]!Table1[[#This Row],[Category]]=[1]!Table1[[#This Row],[Expected_Category ]],"Valid", "invalid")</f>
        <v>Valid</v>
      </c>
    </row>
    <row r="91" spans="1:23">
      <c r="A91" t="s">
        <v>340</v>
      </c>
      <c r="B91" t="s">
        <v>41</v>
      </c>
      <c r="C91" s="31" t="s">
        <v>341</v>
      </c>
      <c r="D91" s="32" t="s">
        <v>342</v>
      </c>
      <c r="E91" t="s">
        <v>35</v>
      </c>
      <c r="F91" t="s">
        <v>36</v>
      </c>
      <c r="G91" t="s">
        <v>54</v>
      </c>
      <c r="H91" t="s">
        <v>64</v>
      </c>
      <c r="I91" t="s">
        <v>38</v>
      </c>
      <c r="J91">
        <v>5.0999999999999996</v>
      </c>
      <c r="K91">
        <v>4</v>
      </c>
      <c r="L91" t="s">
        <v>27</v>
      </c>
      <c r="M91">
        <v>3</v>
      </c>
      <c r="N91" t="s">
        <v>26</v>
      </c>
      <c r="O91" t="s">
        <v>28</v>
      </c>
      <c r="P91" t="s">
        <v>57</v>
      </c>
      <c r="Q91" t="s">
        <v>101</v>
      </c>
      <c r="R91" t="str">
        <f>IF(Table1[[#This Row],[Resolution_Time_Hrs]]&gt;Table1[[#This Row],[SLA_Target_Hrs]],"No", "Yes")</f>
        <v>No</v>
      </c>
      <c r="S91" t="str">
        <f>IF(Table1[[#This Row],[Calculated_SLA]]=Table1[[#This Row],[SLA_Met]],"Match","Mismatch")</f>
        <v>Match</v>
      </c>
      <c r="T91">
        <f>IF(Table1[[#This Row],[Calculated_SLA]]="Yes",1,0)</f>
        <v>0</v>
      </c>
      <c r="U91" t="str">
        <f>IF(COUNTIFS(Reference_data!A:A,Table1[[#This Row],[Category]],Reference_data!B:B,Table1[[#This Row],[Sub_Category]])&gt;0,"Valid","Invalid")</f>
        <v>Valid</v>
      </c>
      <c r="V91" t="str">
        <f>_xlfn.XLOOKUP([1]!Table1[[#This Row],[Sub_Category]],[1]Reference_data!B:B,[1]Reference_data!A:A)</f>
        <v>Print Quality</v>
      </c>
      <c r="W91" t="str">
        <f>IF([1]!Table1[[#This Row],[Category]]=[1]!Table1[[#This Row],[Expected_Category ]],"Valid", "invalid")</f>
        <v>Valid</v>
      </c>
    </row>
    <row r="92" spans="1:23">
      <c r="A92" t="s">
        <v>343</v>
      </c>
      <c r="B92" t="s">
        <v>50</v>
      </c>
      <c r="C92" s="31" t="s">
        <v>344</v>
      </c>
      <c r="D92" s="32" t="s">
        <v>345</v>
      </c>
      <c r="E92" t="s">
        <v>21</v>
      </c>
      <c r="F92" t="s">
        <v>69</v>
      </c>
      <c r="G92" t="s">
        <v>54</v>
      </c>
      <c r="H92" t="s">
        <v>86</v>
      </c>
      <c r="I92" t="s">
        <v>25</v>
      </c>
      <c r="J92">
        <v>12.7</v>
      </c>
      <c r="K92">
        <v>4</v>
      </c>
      <c r="L92" t="s">
        <v>27</v>
      </c>
      <c r="M92">
        <v>1</v>
      </c>
      <c r="N92" t="s">
        <v>26</v>
      </c>
      <c r="O92" t="s">
        <v>28</v>
      </c>
      <c r="P92" t="s">
        <v>57</v>
      </c>
      <c r="Q92" t="s">
        <v>39</v>
      </c>
      <c r="R92" t="str">
        <f>IF(Table1[[#This Row],[Resolution_Time_Hrs]]&gt;Table1[[#This Row],[SLA_Target_Hrs]],"No", "Yes")</f>
        <v>No</v>
      </c>
      <c r="S92" t="str">
        <f>IF(Table1[[#This Row],[Calculated_SLA]]=Table1[[#This Row],[SLA_Met]],"Match","Mismatch")</f>
        <v>Match</v>
      </c>
      <c r="T92">
        <f>IF(Table1[[#This Row],[Calculated_SLA]]="Yes",1,0)</f>
        <v>0</v>
      </c>
      <c r="U92" t="str">
        <f>IF(COUNTIFS(Reference_data!A:A,Table1[[#This Row],[Category]],Reference_data!B:B,Table1[[#This Row],[Sub_Category]])&gt;0,"Valid","Invalid")</f>
        <v>Valid</v>
      </c>
      <c r="V92" t="str">
        <f>_xlfn.XLOOKUP([1]!Table1[[#This Row],[Sub_Category]],[1]Reference_data!B:B,[1]Reference_data!A:A)</f>
        <v>Connectivity &amp; Software</v>
      </c>
      <c r="W92" t="str">
        <f>IF([1]!Table1[[#This Row],[Category]]=[1]!Table1[[#This Row],[Expected_Category ]],"Valid", "invalid")</f>
        <v>Valid</v>
      </c>
    </row>
    <row r="93" spans="1:23">
      <c r="A93" t="s">
        <v>346</v>
      </c>
      <c r="B93" t="s">
        <v>106</v>
      </c>
      <c r="C93" s="31" t="s">
        <v>347</v>
      </c>
      <c r="D93" s="32" t="s">
        <v>348</v>
      </c>
      <c r="E93" t="s">
        <v>21</v>
      </c>
      <c r="F93" t="s">
        <v>69</v>
      </c>
      <c r="G93" t="s">
        <v>46</v>
      </c>
      <c r="H93" t="s">
        <v>86</v>
      </c>
      <c r="I93" t="s">
        <v>25</v>
      </c>
      <c r="J93">
        <v>13.1</v>
      </c>
      <c r="K93">
        <v>8</v>
      </c>
      <c r="L93" t="s">
        <v>27</v>
      </c>
      <c r="M93">
        <v>2</v>
      </c>
      <c r="N93" t="s">
        <v>27</v>
      </c>
      <c r="O93" t="s">
        <v>28</v>
      </c>
      <c r="P93" t="s">
        <v>57</v>
      </c>
      <c r="Q93" t="s">
        <v>58</v>
      </c>
      <c r="R93" t="str">
        <f>IF(Table1[[#This Row],[Resolution_Time_Hrs]]&gt;Table1[[#This Row],[SLA_Target_Hrs]],"No", "Yes")</f>
        <v>No</v>
      </c>
      <c r="S93" t="str">
        <f>IF(Table1[[#This Row],[Calculated_SLA]]=Table1[[#This Row],[SLA_Met]],"Match","Mismatch")</f>
        <v>Match</v>
      </c>
      <c r="T93">
        <f>IF(Table1[[#This Row],[Calculated_SLA]]="Yes",1,0)</f>
        <v>0</v>
      </c>
      <c r="U93" t="str">
        <f>IF(COUNTIFS(Reference_data!A:A,Table1[[#This Row],[Category]],Reference_data!B:B,Table1[[#This Row],[Sub_Category]])&gt;0,"Valid","Invalid")</f>
        <v>Valid</v>
      </c>
      <c r="V93" t="str">
        <f>_xlfn.XLOOKUP([1]!Table1[[#This Row],[Sub_Category]],[1]Reference_data!B:B,[1]Reference_data!A:A)</f>
        <v>Connectivity &amp; Software</v>
      </c>
      <c r="W93" t="str">
        <f>IF([1]!Table1[[#This Row],[Category]]=[1]!Table1[[#This Row],[Expected_Category ]],"Valid", "invalid")</f>
        <v>Valid</v>
      </c>
    </row>
    <row r="94" spans="1:23">
      <c r="A94" t="s">
        <v>349</v>
      </c>
      <c r="B94" t="s">
        <v>121</v>
      </c>
      <c r="C94" s="31" t="s">
        <v>350</v>
      </c>
      <c r="D94" s="32" t="s">
        <v>351</v>
      </c>
      <c r="E94" t="s">
        <v>21</v>
      </c>
      <c r="F94" t="s">
        <v>69</v>
      </c>
      <c r="G94" t="s">
        <v>54</v>
      </c>
      <c r="H94" t="s">
        <v>86</v>
      </c>
      <c r="I94" t="s">
        <v>25</v>
      </c>
      <c r="J94">
        <v>9.6</v>
      </c>
      <c r="K94">
        <v>4</v>
      </c>
      <c r="L94" t="s">
        <v>27</v>
      </c>
      <c r="M94">
        <v>1</v>
      </c>
      <c r="N94" t="s">
        <v>27</v>
      </c>
      <c r="O94" t="s">
        <v>28</v>
      </c>
      <c r="P94" t="s">
        <v>57</v>
      </c>
      <c r="Q94" t="s">
        <v>39</v>
      </c>
      <c r="R94" t="str">
        <f>IF(Table1[[#This Row],[Resolution_Time_Hrs]]&gt;Table1[[#This Row],[SLA_Target_Hrs]],"No", "Yes")</f>
        <v>No</v>
      </c>
      <c r="S94" t="str">
        <f>IF(Table1[[#This Row],[Calculated_SLA]]=Table1[[#This Row],[SLA_Met]],"Match","Mismatch")</f>
        <v>Match</v>
      </c>
      <c r="T94">
        <f>IF(Table1[[#This Row],[Calculated_SLA]]="Yes",1,0)</f>
        <v>0</v>
      </c>
      <c r="U94" t="str">
        <f>IF(COUNTIFS(Reference_data!A:A,Table1[[#This Row],[Category]],Reference_data!B:B,Table1[[#This Row],[Sub_Category]])&gt;0,"Valid","Invalid")</f>
        <v>Valid</v>
      </c>
      <c r="V94" t="str">
        <f>_xlfn.XLOOKUP([1]!Table1[[#This Row],[Sub_Category]],[1]Reference_data!B:B,[1]Reference_data!A:A)</f>
        <v>Connectivity &amp; Software</v>
      </c>
      <c r="W94" t="str">
        <f>IF([1]!Table1[[#This Row],[Category]]=[1]!Table1[[#This Row],[Expected_Category ]],"Valid", "invalid")</f>
        <v>Valid</v>
      </c>
    </row>
    <row r="95" spans="1:23">
      <c r="A95" t="s">
        <v>352</v>
      </c>
      <c r="B95" t="s">
        <v>135</v>
      </c>
      <c r="C95" s="31" t="s">
        <v>353</v>
      </c>
      <c r="D95" s="32" t="s">
        <v>354</v>
      </c>
      <c r="E95" t="s">
        <v>78</v>
      </c>
      <c r="F95" t="s">
        <v>79</v>
      </c>
      <c r="G95" t="s">
        <v>23</v>
      </c>
      <c r="H95" t="s">
        <v>47</v>
      </c>
      <c r="I95" t="s">
        <v>80</v>
      </c>
      <c r="J95">
        <v>14.9</v>
      </c>
      <c r="K95">
        <v>24</v>
      </c>
      <c r="L95" t="s">
        <v>26</v>
      </c>
      <c r="M95">
        <v>4</v>
      </c>
      <c r="N95" t="s">
        <v>27</v>
      </c>
      <c r="O95" t="s">
        <v>28</v>
      </c>
      <c r="P95" t="s">
        <v>29</v>
      </c>
      <c r="Q95" t="s">
        <v>30</v>
      </c>
      <c r="R95" t="str">
        <f>IF(Table1[[#This Row],[Resolution_Time_Hrs]]&gt;Table1[[#This Row],[SLA_Target_Hrs]],"No", "Yes")</f>
        <v>Yes</v>
      </c>
      <c r="S95" t="str">
        <f>IF(Table1[[#This Row],[Calculated_SLA]]=Table1[[#This Row],[SLA_Met]],"Match","Mismatch")</f>
        <v>Match</v>
      </c>
      <c r="T95">
        <f>IF(Table1[[#This Row],[Calculated_SLA]]="Yes",1,0)</f>
        <v>1</v>
      </c>
      <c r="U95" t="str">
        <f>IF(COUNTIFS(Reference_data!A:A,Table1[[#This Row],[Category]],Reference_data!B:B,Table1[[#This Row],[Sub_Category]])&gt;0,"Valid","Invalid")</f>
        <v>Valid</v>
      </c>
      <c r="V95" t="str">
        <f>_xlfn.XLOOKUP([1]!Table1[[#This Row],[Sub_Category]],[1]Reference_data!B:B,[1]Reference_data!A:A)</f>
        <v>Hardware &amp; Mechanical</v>
      </c>
      <c r="W95" t="str">
        <f>IF([1]!Table1[[#This Row],[Category]]=[1]!Table1[[#This Row],[Expected_Category ]],"Valid", "invalid")</f>
        <v>Valid</v>
      </c>
    </row>
    <row r="96" spans="1:23">
      <c r="A96" t="s">
        <v>355</v>
      </c>
      <c r="B96" t="s">
        <v>135</v>
      </c>
      <c r="C96" s="31" t="s">
        <v>356</v>
      </c>
      <c r="D96" s="32" t="s">
        <v>357</v>
      </c>
      <c r="E96" t="s">
        <v>78</v>
      </c>
      <c r="F96" t="s">
        <v>191</v>
      </c>
      <c r="G96" t="s">
        <v>46</v>
      </c>
      <c r="H96" t="s">
        <v>138</v>
      </c>
      <c r="I96" t="s">
        <v>38</v>
      </c>
      <c r="J96">
        <v>17.3</v>
      </c>
      <c r="K96">
        <v>8</v>
      </c>
      <c r="L96" t="s">
        <v>27</v>
      </c>
      <c r="M96">
        <v>2</v>
      </c>
      <c r="N96" t="s">
        <v>27</v>
      </c>
      <c r="O96" t="s">
        <v>28</v>
      </c>
      <c r="P96" t="s">
        <v>57</v>
      </c>
      <c r="Q96" t="s">
        <v>39</v>
      </c>
      <c r="R96" t="str">
        <f>IF(Table1[[#This Row],[Resolution_Time_Hrs]]&gt;Table1[[#This Row],[SLA_Target_Hrs]],"No", "Yes")</f>
        <v>No</v>
      </c>
      <c r="S96" t="str">
        <f>IF(Table1[[#This Row],[Calculated_SLA]]=Table1[[#This Row],[SLA_Met]],"Match","Mismatch")</f>
        <v>Match</v>
      </c>
      <c r="T96">
        <f>IF(Table1[[#This Row],[Calculated_SLA]]="Yes",1,0)</f>
        <v>0</v>
      </c>
      <c r="U96" t="str">
        <f>IF(COUNTIFS(Reference_data!A:A,Table1[[#This Row],[Category]],Reference_data!B:B,Table1[[#This Row],[Sub_Category]])&gt;0,"Valid","Invalid")</f>
        <v>Valid</v>
      </c>
      <c r="V96" t="str">
        <f>_xlfn.XLOOKUP([1]!Table1[[#This Row],[Sub_Category]],[1]Reference_data!B:B,[1]Reference_data!A:A)</f>
        <v>Hardware &amp; Mechanical</v>
      </c>
      <c r="W96" t="str">
        <f>IF([1]!Table1[[#This Row],[Category]]=[1]!Table1[[#This Row],[Expected_Category ]],"Valid", "invalid")</f>
        <v>Valid</v>
      </c>
    </row>
    <row r="97" spans="1:23">
      <c r="A97" t="s">
        <v>358</v>
      </c>
      <c r="B97" t="s">
        <v>121</v>
      </c>
      <c r="C97" s="31" t="s">
        <v>359</v>
      </c>
      <c r="D97" s="32" t="s">
        <v>360</v>
      </c>
      <c r="E97" t="s">
        <v>35</v>
      </c>
      <c r="F97" t="s">
        <v>36</v>
      </c>
      <c r="G97" t="s">
        <v>23</v>
      </c>
      <c r="H97" t="s">
        <v>47</v>
      </c>
      <c r="I97" t="s">
        <v>38</v>
      </c>
      <c r="J97">
        <v>7.1</v>
      </c>
      <c r="K97">
        <v>24</v>
      </c>
      <c r="L97" t="s">
        <v>26</v>
      </c>
      <c r="M97">
        <v>5</v>
      </c>
      <c r="N97" t="s">
        <v>27</v>
      </c>
      <c r="O97" t="s">
        <v>28</v>
      </c>
      <c r="P97" t="s">
        <v>29</v>
      </c>
      <c r="Q97" t="s">
        <v>30</v>
      </c>
      <c r="R97" t="str">
        <f>IF(Table1[[#This Row],[Resolution_Time_Hrs]]&gt;Table1[[#This Row],[SLA_Target_Hrs]],"No", "Yes")</f>
        <v>Yes</v>
      </c>
      <c r="S97" t="str">
        <f>IF(Table1[[#This Row],[Calculated_SLA]]=Table1[[#This Row],[SLA_Met]],"Match","Mismatch")</f>
        <v>Match</v>
      </c>
      <c r="T97">
        <f>IF(Table1[[#This Row],[Calculated_SLA]]="Yes",1,0)</f>
        <v>1</v>
      </c>
      <c r="U97" t="str">
        <f>IF(COUNTIFS(Reference_data!A:A,Table1[[#This Row],[Category]],Reference_data!B:B,Table1[[#This Row],[Sub_Category]])&gt;0,"Valid","Invalid")</f>
        <v>Valid</v>
      </c>
      <c r="V97" t="str">
        <f>_xlfn.XLOOKUP([1]!Table1[[#This Row],[Sub_Category]],[1]Reference_data!B:B,[1]Reference_data!A:A)</f>
        <v>Print Quality</v>
      </c>
      <c r="W97" t="str">
        <f>IF([1]!Table1[[#This Row],[Category]]=[1]!Table1[[#This Row],[Expected_Category ]],"Valid", "invalid")</f>
        <v>Valid</v>
      </c>
    </row>
    <row r="98" spans="1:23">
      <c r="A98" t="s">
        <v>361</v>
      </c>
      <c r="B98" t="s">
        <v>18</v>
      </c>
      <c r="C98" s="31" t="s">
        <v>362</v>
      </c>
      <c r="D98" s="32" t="s">
        <v>363</v>
      </c>
      <c r="E98" t="s">
        <v>35</v>
      </c>
      <c r="F98" t="s">
        <v>36</v>
      </c>
      <c r="G98" t="s">
        <v>54</v>
      </c>
      <c r="H98" t="s">
        <v>55</v>
      </c>
      <c r="I98" t="s">
        <v>38</v>
      </c>
      <c r="J98">
        <v>8.5</v>
      </c>
      <c r="K98">
        <v>4</v>
      </c>
      <c r="L98" t="s">
        <v>27</v>
      </c>
      <c r="M98">
        <v>1</v>
      </c>
      <c r="N98" t="s">
        <v>27</v>
      </c>
      <c r="O98" t="s">
        <v>28</v>
      </c>
      <c r="P98" t="s">
        <v>57</v>
      </c>
      <c r="Q98" t="s">
        <v>58</v>
      </c>
      <c r="R98" t="str">
        <f>IF(Table1[[#This Row],[Resolution_Time_Hrs]]&gt;Table1[[#This Row],[SLA_Target_Hrs]],"No", "Yes")</f>
        <v>No</v>
      </c>
      <c r="S98" t="str">
        <f>IF(Table1[[#This Row],[Calculated_SLA]]=Table1[[#This Row],[SLA_Met]],"Match","Mismatch")</f>
        <v>Match</v>
      </c>
      <c r="T98">
        <f>IF(Table1[[#This Row],[Calculated_SLA]]="Yes",1,0)</f>
        <v>0</v>
      </c>
      <c r="U98" t="str">
        <f>IF(COUNTIFS(Reference_data!A:A,Table1[[#This Row],[Category]],Reference_data!B:B,Table1[[#This Row],[Sub_Category]])&gt;0,"Valid","Invalid")</f>
        <v>Valid</v>
      </c>
      <c r="V98" t="str">
        <f>_xlfn.XLOOKUP([1]!Table1[[#This Row],[Sub_Category]],[1]Reference_data!B:B,[1]Reference_data!A:A)</f>
        <v>Print Quality</v>
      </c>
      <c r="W98" t="str">
        <f>IF([1]!Table1[[#This Row],[Category]]=[1]!Table1[[#This Row],[Expected_Category ]],"Valid", "invalid")</f>
        <v>Valid</v>
      </c>
    </row>
    <row r="99" spans="1:23">
      <c r="A99" t="s">
        <v>364</v>
      </c>
      <c r="B99" t="s">
        <v>32</v>
      </c>
      <c r="C99" s="31" t="s">
        <v>365</v>
      </c>
      <c r="D99" s="32" t="s">
        <v>366</v>
      </c>
      <c r="E99" t="s">
        <v>84</v>
      </c>
      <c r="F99" t="s">
        <v>116</v>
      </c>
      <c r="G99" t="s">
        <v>23</v>
      </c>
      <c r="H99" t="s">
        <v>24</v>
      </c>
      <c r="I99" t="s">
        <v>87</v>
      </c>
      <c r="J99">
        <v>7.6</v>
      </c>
      <c r="K99">
        <v>24</v>
      </c>
      <c r="L99" t="s">
        <v>26</v>
      </c>
      <c r="M99">
        <v>4</v>
      </c>
      <c r="N99" t="s">
        <v>27</v>
      </c>
      <c r="O99" t="s">
        <v>28</v>
      </c>
      <c r="P99" t="s">
        <v>29</v>
      </c>
      <c r="Q99" t="s">
        <v>101</v>
      </c>
      <c r="R99" t="str">
        <f>IF(Table1[[#This Row],[Resolution_Time_Hrs]]&gt;Table1[[#This Row],[SLA_Target_Hrs]],"No", "Yes")</f>
        <v>Yes</v>
      </c>
      <c r="S99" t="str">
        <f>IF(Table1[[#This Row],[Calculated_SLA]]=Table1[[#This Row],[SLA_Met]],"Match","Mismatch")</f>
        <v>Match</v>
      </c>
      <c r="T99">
        <f>IF(Table1[[#This Row],[Calculated_SLA]]="Yes",1,0)</f>
        <v>1</v>
      </c>
      <c r="U99" t="str">
        <f>IF(COUNTIFS(Reference_data!A:A,Table1[[#This Row],[Category]],Reference_data!B:B,Table1[[#This Row],[Sub_Category]])&gt;0,"Valid","Invalid")</f>
        <v>Valid</v>
      </c>
      <c r="V99" t="str">
        <f>_xlfn.XLOOKUP([1]!Table1[[#This Row],[Sub_Category]],[1]Reference_data!B:B,[1]Reference_data!A:A)</f>
        <v>Supplies &amp; Logistics</v>
      </c>
      <c r="W99" t="str">
        <f>IF([1]!Table1[[#This Row],[Category]]=[1]!Table1[[#This Row],[Expected_Category ]],"Valid", "invalid")</f>
        <v>Valid</v>
      </c>
    </row>
    <row r="100" spans="1:23">
      <c r="A100" t="s">
        <v>367</v>
      </c>
      <c r="B100" t="s">
        <v>41</v>
      </c>
      <c r="C100" s="31" t="s">
        <v>368</v>
      </c>
      <c r="D100" s="32" t="s">
        <v>369</v>
      </c>
      <c r="E100" t="s">
        <v>35</v>
      </c>
      <c r="F100" t="s">
        <v>127</v>
      </c>
      <c r="G100" t="s">
        <v>54</v>
      </c>
      <c r="H100" t="s">
        <v>91</v>
      </c>
      <c r="I100" t="s">
        <v>56</v>
      </c>
      <c r="J100">
        <v>5.0999999999999996</v>
      </c>
      <c r="K100">
        <v>4</v>
      </c>
      <c r="L100" t="s">
        <v>27</v>
      </c>
      <c r="M100">
        <v>2</v>
      </c>
      <c r="N100" t="s">
        <v>27</v>
      </c>
      <c r="O100" t="s">
        <v>28</v>
      </c>
      <c r="P100" t="s">
        <v>57</v>
      </c>
      <c r="Q100" t="s">
        <v>30</v>
      </c>
      <c r="R100" t="str">
        <f>IF(Table1[[#This Row],[Resolution_Time_Hrs]]&gt;Table1[[#This Row],[SLA_Target_Hrs]],"No", "Yes")</f>
        <v>No</v>
      </c>
      <c r="S100" t="str">
        <f>IF(Table1[[#This Row],[Calculated_SLA]]=Table1[[#This Row],[SLA_Met]],"Match","Mismatch")</f>
        <v>Match</v>
      </c>
      <c r="T100">
        <f>IF(Table1[[#This Row],[Calculated_SLA]]="Yes",1,0)</f>
        <v>0</v>
      </c>
      <c r="U100" t="str">
        <f>IF(COUNTIFS(Reference_data!A:A,Table1[[#This Row],[Category]],Reference_data!B:B,Table1[[#This Row],[Sub_Category]])&gt;0,"Valid","Invalid")</f>
        <v>Valid</v>
      </c>
      <c r="V100" t="str">
        <f>_xlfn.XLOOKUP([1]!Table1[[#This Row],[Sub_Category]],[1]Reference_data!B:B,[1]Reference_data!A:A)</f>
        <v>Print Quality</v>
      </c>
      <c r="W100" t="str">
        <f>IF([1]!Table1[[#This Row],[Category]]=[1]!Table1[[#This Row],[Expected_Category ]],"Valid", "invalid")</f>
        <v>Valid</v>
      </c>
    </row>
    <row r="101" spans="1:23">
      <c r="A101" t="s">
        <v>370</v>
      </c>
      <c r="B101" t="s">
        <v>32</v>
      </c>
      <c r="C101" s="31" t="s">
        <v>371</v>
      </c>
      <c r="D101" s="32" t="s">
        <v>372</v>
      </c>
      <c r="E101" t="s">
        <v>78</v>
      </c>
      <c r="F101" t="s">
        <v>79</v>
      </c>
      <c r="G101" t="s">
        <v>23</v>
      </c>
      <c r="H101" t="s">
        <v>91</v>
      </c>
      <c r="I101" t="s">
        <v>80</v>
      </c>
      <c r="J101">
        <v>9.1999999999999993</v>
      </c>
      <c r="K101">
        <v>24</v>
      </c>
      <c r="L101" t="s">
        <v>26</v>
      </c>
      <c r="M101">
        <v>4</v>
      </c>
      <c r="N101" t="s">
        <v>27</v>
      </c>
      <c r="O101" t="s">
        <v>28</v>
      </c>
      <c r="P101" t="s">
        <v>29</v>
      </c>
      <c r="Q101" t="s">
        <v>58</v>
      </c>
      <c r="R101" t="str">
        <f>IF(Table1[[#This Row],[Resolution_Time_Hrs]]&gt;Table1[[#This Row],[SLA_Target_Hrs]],"No", "Yes")</f>
        <v>Yes</v>
      </c>
      <c r="S101" t="str">
        <f>IF(Table1[[#This Row],[Calculated_SLA]]=Table1[[#This Row],[SLA_Met]],"Match","Mismatch")</f>
        <v>Match</v>
      </c>
      <c r="T101">
        <f>IF(Table1[[#This Row],[Calculated_SLA]]="Yes",1,0)</f>
        <v>1</v>
      </c>
      <c r="U101" t="str">
        <f>IF(COUNTIFS(Reference_data!A:A,Table1[[#This Row],[Category]],Reference_data!B:B,Table1[[#This Row],[Sub_Category]])&gt;0,"Valid","Invalid")</f>
        <v>Valid</v>
      </c>
      <c r="V101" t="str">
        <f>_xlfn.XLOOKUP([1]!Table1[[#This Row],[Sub_Category]],[1]Reference_data!B:B,[1]Reference_data!A:A)</f>
        <v>Hardware &amp; Mechanical</v>
      </c>
      <c r="W101" t="str">
        <f>IF([1]!Table1[[#This Row],[Category]]=[1]!Table1[[#This Row],[Expected_Category ]],"Valid", "invalid")</f>
        <v>Valid</v>
      </c>
    </row>
    <row r="102" spans="1:23">
      <c r="A102" t="s">
        <v>373</v>
      </c>
      <c r="B102" t="s">
        <v>75</v>
      </c>
      <c r="C102" s="31" t="s">
        <v>374</v>
      </c>
      <c r="D102" s="32" t="s">
        <v>375</v>
      </c>
      <c r="E102" t="s">
        <v>35</v>
      </c>
      <c r="F102" t="s">
        <v>53</v>
      </c>
      <c r="G102" t="s">
        <v>23</v>
      </c>
      <c r="H102" t="s">
        <v>70</v>
      </c>
      <c r="I102" t="s">
        <v>56</v>
      </c>
      <c r="J102">
        <v>11.7</v>
      </c>
      <c r="K102">
        <v>24</v>
      </c>
      <c r="L102" t="s">
        <v>26</v>
      </c>
      <c r="M102">
        <v>4</v>
      </c>
      <c r="N102" t="s">
        <v>27</v>
      </c>
      <c r="O102" t="s">
        <v>28</v>
      </c>
      <c r="P102" t="s">
        <v>29</v>
      </c>
      <c r="Q102" t="s">
        <v>58</v>
      </c>
      <c r="R102" t="str">
        <f>IF(Table1[[#This Row],[Resolution_Time_Hrs]]&gt;Table1[[#This Row],[SLA_Target_Hrs]],"No", "Yes")</f>
        <v>Yes</v>
      </c>
      <c r="S102" t="str">
        <f>IF(Table1[[#This Row],[Calculated_SLA]]=Table1[[#This Row],[SLA_Met]],"Match","Mismatch")</f>
        <v>Match</v>
      </c>
      <c r="T102">
        <f>IF(Table1[[#This Row],[Calculated_SLA]]="Yes",1,0)</f>
        <v>1</v>
      </c>
      <c r="U102" t="str">
        <f>IF(COUNTIFS(Reference_data!A:A,Table1[[#This Row],[Category]],Reference_data!B:B,Table1[[#This Row],[Sub_Category]])&gt;0,"Valid","Invalid")</f>
        <v>Valid</v>
      </c>
      <c r="V102" t="str">
        <f>_xlfn.XLOOKUP([1]!Table1[[#This Row],[Sub_Category]],[1]Reference_data!B:B,[1]Reference_data!A:A)</f>
        <v>Print Quality</v>
      </c>
      <c r="W102" t="str">
        <f>IF([1]!Table1[[#This Row],[Category]]=[1]!Table1[[#This Row],[Expected_Category ]],"Valid", "invalid")</f>
        <v>Valid</v>
      </c>
    </row>
    <row r="103" spans="1:23">
      <c r="A103" t="s">
        <v>376</v>
      </c>
      <c r="B103" t="s">
        <v>41</v>
      </c>
      <c r="C103" s="31" t="s">
        <v>377</v>
      </c>
      <c r="D103" s="32" t="s">
        <v>378</v>
      </c>
      <c r="E103" t="s">
        <v>84</v>
      </c>
      <c r="F103" t="s">
        <v>85</v>
      </c>
      <c r="G103" t="s">
        <v>46</v>
      </c>
      <c r="H103" t="s">
        <v>86</v>
      </c>
      <c r="I103" t="s">
        <v>87</v>
      </c>
      <c r="J103">
        <v>5.4</v>
      </c>
      <c r="K103">
        <v>8</v>
      </c>
      <c r="L103" t="s">
        <v>26</v>
      </c>
      <c r="M103">
        <v>5</v>
      </c>
      <c r="N103" t="s">
        <v>27</v>
      </c>
      <c r="O103" t="s">
        <v>28</v>
      </c>
      <c r="P103" t="s">
        <v>29</v>
      </c>
      <c r="Q103" t="s">
        <v>39</v>
      </c>
      <c r="R103" t="str">
        <f>IF(Table1[[#This Row],[Resolution_Time_Hrs]]&gt;Table1[[#This Row],[SLA_Target_Hrs]],"No", "Yes")</f>
        <v>Yes</v>
      </c>
      <c r="S103" t="str">
        <f>IF(Table1[[#This Row],[Calculated_SLA]]=Table1[[#This Row],[SLA_Met]],"Match","Mismatch")</f>
        <v>Match</v>
      </c>
      <c r="T103">
        <f>IF(Table1[[#This Row],[Calculated_SLA]]="Yes",1,0)</f>
        <v>1</v>
      </c>
      <c r="U103" t="str">
        <f>IF(COUNTIFS(Reference_data!A:A,Table1[[#This Row],[Category]],Reference_data!B:B,Table1[[#This Row],[Sub_Category]])&gt;0,"Valid","Invalid")</f>
        <v>Valid</v>
      </c>
      <c r="V103" t="str">
        <f>_xlfn.XLOOKUP([1]!Table1[[#This Row],[Sub_Category]],[1]Reference_data!B:B,[1]Reference_data!A:A)</f>
        <v>Supplies &amp; Logistics</v>
      </c>
      <c r="W103" t="str">
        <f>IF([1]!Table1[[#This Row],[Category]]=[1]!Table1[[#This Row],[Expected_Category ]],"Valid", "invalid")</f>
        <v>Valid</v>
      </c>
    </row>
    <row r="104" spans="1:23">
      <c r="A104" t="s">
        <v>379</v>
      </c>
      <c r="B104" t="s">
        <v>18</v>
      </c>
      <c r="C104" s="31" t="s">
        <v>380</v>
      </c>
      <c r="D104" s="32" t="s">
        <v>381</v>
      </c>
      <c r="E104" t="s">
        <v>35</v>
      </c>
      <c r="F104" t="s">
        <v>36</v>
      </c>
      <c r="G104" t="s">
        <v>46</v>
      </c>
      <c r="H104" t="s">
        <v>70</v>
      </c>
      <c r="I104" t="s">
        <v>38</v>
      </c>
      <c r="J104">
        <v>5.0999999999999996</v>
      </c>
      <c r="K104">
        <v>8</v>
      </c>
      <c r="L104" t="s">
        <v>26</v>
      </c>
      <c r="M104">
        <v>5</v>
      </c>
      <c r="N104" t="s">
        <v>27</v>
      </c>
      <c r="O104" t="s">
        <v>28</v>
      </c>
      <c r="P104" t="s">
        <v>29</v>
      </c>
      <c r="Q104" t="s">
        <v>58</v>
      </c>
      <c r="R104" t="str">
        <f>IF(Table1[[#This Row],[Resolution_Time_Hrs]]&gt;Table1[[#This Row],[SLA_Target_Hrs]],"No", "Yes")</f>
        <v>Yes</v>
      </c>
      <c r="S104" t="str">
        <f>IF(Table1[[#This Row],[Calculated_SLA]]=Table1[[#This Row],[SLA_Met]],"Match","Mismatch")</f>
        <v>Match</v>
      </c>
      <c r="T104">
        <f>IF(Table1[[#This Row],[Calculated_SLA]]="Yes",1,0)</f>
        <v>1</v>
      </c>
      <c r="U104" t="str">
        <f>IF(COUNTIFS(Reference_data!A:A,Table1[[#This Row],[Category]],Reference_data!B:B,Table1[[#This Row],[Sub_Category]])&gt;0,"Valid","Invalid")</f>
        <v>Valid</v>
      </c>
      <c r="V104" t="str">
        <f>_xlfn.XLOOKUP([1]!Table1[[#This Row],[Sub_Category]],[1]Reference_data!B:B,[1]Reference_data!A:A)</f>
        <v>Print Quality</v>
      </c>
      <c r="W104" t="str">
        <f>IF([1]!Table1[[#This Row],[Category]]=[1]!Table1[[#This Row],[Expected_Category ]],"Valid", "invalid")</f>
        <v>Valid</v>
      </c>
    </row>
    <row r="105" spans="1:23">
      <c r="A105" t="s">
        <v>382</v>
      </c>
      <c r="B105" t="s">
        <v>32</v>
      </c>
      <c r="C105" s="31" t="s">
        <v>383</v>
      </c>
      <c r="D105" s="32" t="s">
        <v>384</v>
      </c>
      <c r="E105" t="s">
        <v>78</v>
      </c>
      <c r="F105" t="s">
        <v>191</v>
      </c>
      <c r="G105" t="s">
        <v>23</v>
      </c>
      <c r="H105" t="s">
        <v>70</v>
      </c>
      <c r="I105" t="s">
        <v>38</v>
      </c>
      <c r="J105">
        <v>20.7</v>
      </c>
      <c r="K105">
        <v>24</v>
      </c>
      <c r="L105" t="s">
        <v>26</v>
      </c>
      <c r="M105">
        <v>4</v>
      </c>
      <c r="N105" t="s">
        <v>27</v>
      </c>
      <c r="O105" t="s">
        <v>28</v>
      </c>
      <c r="P105" t="s">
        <v>29</v>
      </c>
      <c r="Q105" t="s">
        <v>39</v>
      </c>
      <c r="R105" t="str">
        <f>IF(Table1[[#This Row],[Resolution_Time_Hrs]]&gt;Table1[[#This Row],[SLA_Target_Hrs]],"No", "Yes")</f>
        <v>Yes</v>
      </c>
      <c r="S105" t="str">
        <f>IF(Table1[[#This Row],[Calculated_SLA]]=Table1[[#This Row],[SLA_Met]],"Match","Mismatch")</f>
        <v>Match</v>
      </c>
      <c r="T105">
        <f>IF(Table1[[#This Row],[Calculated_SLA]]="Yes",1,0)</f>
        <v>1</v>
      </c>
      <c r="U105" t="str">
        <f>IF(COUNTIFS(Reference_data!A:A,Table1[[#This Row],[Category]],Reference_data!B:B,Table1[[#This Row],[Sub_Category]])&gt;0,"Valid","Invalid")</f>
        <v>Valid</v>
      </c>
      <c r="V105" t="str">
        <f>_xlfn.XLOOKUP([1]!Table1[[#This Row],[Sub_Category]],[1]Reference_data!B:B,[1]Reference_data!A:A)</f>
        <v>Hardware &amp; Mechanical</v>
      </c>
      <c r="W105" t="str">
        <f>IF([1]!Table1[[#This Row],[Category]]=[1]!Table1[[#This Row],[Expected_Category ]],"Valid", "invalid")</f>
        <v>Valid</v>
      </c>
    </row>
    <row r="106" spans="1:23">
      <c r="A106" t="s">
        <v>385</v>
      </c>
      <c r="B106" t="s">
        <v>60</v>
      </c>
      <c r="C106" s="31" t="s">
        <v>386</v>
      </c>
      <c r="D106" s="32" t="s">
        <v>387</v>
      </c>
      <c r="E106" t="s">
        <v>21</v>
      </c>
      <c r="F106" t="s">
        <v>69</v>
      </c>
      <c r="G106" t="s">
        <v>46</v>
      </c>
      <c r="H106" t="s">
        <v>86</v>
      </c>
      <c r="I106" t="s">
        <v>25</v>
      </c>
      <c r="J106">
        <v>10.3</v>
      </c>
      <c r="K106">
        <v>8</v>
      </c>
      <c r="L106" t="s">
        <v>27</v>
      </c>
      <c r="M106">
        <v>3</v>
      </c>
      <c r="N106" t="s">
        <v>27</v>
      </c>
      <c r="O106" t="s">
        <v>28</v>
      </c>
      <c r="P106" t="s">
        <v>1670</v>
      </c>
      <c r="Q106" t="s">
        <v>39</v>
      </c>
      <c r="R106" t="str">
        <f>IF(Table1[[#This Row],[Resolution_Time_Hrs]]&gt;Table1[[#This Row],[SLA_Target_Hrs]],"No", "Yes")</f>
        <v>No</v>
      </c>
      <c r="S106" t="str">
        <f>IF(Table1[[#This Row],[Calculated_SLA]]=Table1[[#This Row],[SLA_Met]],"Match","Mismatch")</f>
        <v>Match</v>
      </c>
      <c r="T106">
        <f>IF(Table1[[#This Row],[Calculated_SLA]]="Yes",1,0)</f>
        <v>0</v>
      </c>
      <c r="U106" t="str">
        <f>IF(COUNTIFS(Reference_data!A:A,Table1[[#This Row],[Category]],Reference_data!B:B,Table1[[#This Row],[Sub_Category]])&gt;0,"Valid","Invalid")</f>
        <v>Valid</v>
      </c>
      <c r="V106" t="str">
        <f>_xlfn.XLOOKUP([1]!Table1[[#This Row],[Sub_Category]],[1]Reference_data!B:B,[1]Reference_data!A:A)</f>
        <v>Connectivity &amp; Software</v>
      </c>
      <c r="W106" t="str">
        <f>IF([1]!Table1[[#This Row],[Category]]=[1]!Table1[[#This Row],[Expected_Category ]],"Valid", "invalid")</f>
        <v>Valid</v>
      </c>
    </row>
    <row r="107" spans="1:23">
      <c r="A107" t="s">
        <v>388</v>
      </c>
      <c r="B107" t="s">
        <v>75</v>
      </c>
      <c r="C107" s="31" t="s">
        <v>389</v>
      </c>
      <c r="D107" s="32" t="s">
        <v>390</v>
      </c>
      <c r="E107" t="s">
        <v>21</v>
      </c>
      <c r="F107" t="s">
        <v>69</v>
      </c>
      <c r="G107" t="s">
        <v>46</v>
      </c>
      <c r="H107" t="s">
        <v>47</v>
      </c>
      <c r="I107" t="s">
        <v>25</v>
      </c>
      <c r="J107">
        <v>10.5</v>
      </c>
      <c r="K107">
        <v>8</v>
      </c>
      <c r="L107" t="s">
        <v>27</v>
      </c>
      <c r="M107">
        <v>1</v>
      </c>
      <c r="N107" t="s">
        <v>27</v>
      </c>
      <c r="O107" t="s">
        <v>28</v>
      </c>
      <c r="P107" t="s">
        <v>1670</v>
      </c>
      <c r="Q107" t="s">
        <v>39</v>
      </c>
      <c r="R107" t="str">
        <f>IF(Table1[[#This Row],[Resolution_Time_Hrs]]&gt;Table1[[#This Row],[SLA_Target_Hrs]],"No", "Yes")</f>
        <v>No</v>
      </c>
      <c r="S107" t="str">
        <f>IF(Table1[[#This Row],[Calculated_SLA]]=Table1[[#This Row],[SLA_Met]],"Match","Mismatch")</f>
        <v>Match</v>
      </c>
      <c r="T107">
        <f>IF(Table1[[#This Row],[Calculated_SLA]]="Yes",1,0)</f>
        <v>0</v>
      </c>
      <c r="U107" t="str">
        <f>IF(COUNTIFS(Reference_data!A:A,Table1[[#This Row],[Category]],Reference_data!B:B,Table1[[#This Row],[Sub_Category]])&gt;0,"Valid","Invalid")</f>
        <v>Valid</v>
      </c>
      <c r="V107" t="str">
        <f>_xlfn.XLOOKUP([1]!Table1[[#This Row],[Sub_Category]],[1]Reference_data!B:B,[1]Reference_data!A:A)</f>
        <v>Connectivity &amp; Software</v>
      </c>
      <c r="W107" t="str">
        <f>IF([1]!Table1[[#This Row],[Category]]=[1]!Table1[[#This Row],[Expected_Category ]],"Valid", "invalid")</f>
        <v>Valid</v>
      </c>
    </row>
    <row r="108" spans="1:23">
      <c r="A108" t="s">
        <v>391</v>
      </c>
      <c r="B108" t="s">
        <v>121</v>
      </c>
      <c r="C108" s="31" t="s">
        <v>392</v>
      </c>
      <c r="D108" s="32" t="s">
        <v>393</v>
      </c>
      <c r="E108" t="s">
        <v>35</v>
      </c>
      <c r="F108" t="s">
        <v>36</v>
      </c>
      <c r="G108" t="s">
        <v>54</v>
      </c>
      <c r="H108" t="s">
        <v>24</v>
      </c>
      <c r="I108" t="s">
        <v>38</v>
      </c>
      <c r="J108">
        <v>16.5</v>
      </c>
      <c r="K108">
        <v>4</v>
      </c>
      <c r="L108" t="s">
        <v>27</v>
      </c>
      <c r="M108">
        <v>1</v>
      </c>
      <c r="N108" t="s">
        <v>27</v>
      </c>
      <c r="O108" t="s">
        <v>28</v>
      </c>
      <c r="P108" t="s">
        <v>1670</v>
      </c>
      <c r="Q108" t="s">
        <v>39</v>
      </c>
      <c r="R108" t="str">
        <f>IF(Table1[[#This Row],[Resolution_Time_Hrs]]&gt;Table1[[#This Row],[SLA_Target_Hrs]],"No", "Yes")</f>
        <v>No</v>
      </c>
      <c r="S108" t="str">
        <f>IF(Table1[[#This Row],[Calculated_SLA]]=Table1[[#This Row],[SLA_Met]],"Match","Mismatch")</f>
        <v>Match</v>
      </c>
      <c r="T108">
        <f>IF(Table1[[#This Row],[Calculated_SLA]]="Yes",1,0)</f>
        <v>0</v>
      </c>
      <c r="U108" t="str">
        <f>IF(COUNTIFS(Reference_data!A:A,Table1[[#This Row],[Category]],Reference_data!B:B,Table1[[#This Row],[Sub_Category]])&gt;0,"Valid","Invalid")</f>
        <v>Valid</v>
      </c>
      <c r="V108" t="str">
        <f>_xlfn.XLOOKUP([1]!Table1[[#This Row],[Sub_Category]],[1]Reference_data!B:B,[1]Reference_data!A:A)</f>
        <v>Print Quality</v>
      </c>
      <c r="W108" t="str">
        <f>IF([1]!Table1[[#This Row],[Category]]=[1]!Table1[[#This Row],[Expected_Category ]],"Valid", "invalid")</f>
        <v>Valid</v>
      </c>
    </row>
    <row r="109" spans="1:23">
      <c r="A109" t="s">
        <v>394</v>
      </c>
      <c r="B109" t="s">
        <v>106</v>
      </c>
      <c r="C109" s="31" t="s">
        <v>395</v>
      </c>
      <c r="D109" s="32" t="s">
        <v>396</v>
      </c>
      <c r="E109" t="s">
        <v>35</v>
      </c>
      <c r="F109" t="s">
        <v>127</v>
      </c>
      <c r="G109" t="s">
        <v>46</v>
      </c>
      <c r="H109" t="s">
        <v>37</v>
      </c>
      <c r="I109" t="s">
        <v>56</v>
      </c>
      <c r="J109">
        <v>10.4</v>
      </c>
      <c r="K109">
        <v>8</v>
      </c>
      <c r="L109" t="s">
        <v>27</v>
      </c>
      <c r="M109">
        <v>3</v>
      </c>
      <c r="N109" t="s">
        <v>26</v>
      </c>
      <c r="O109" t="s">
        <v>28</v>
      </c>
      <c r="P109" t="s">
        <v>57</v>
      </c>
      <c r="Q109" t="s">
        <v>30</v>
      </c>
      <c r="R109" t="str">
        <f>IF(Table1[[#This Row],[Resolution_Time_Hrs]]&gt;Table1[[#This Row],[SLA_Target_Hrs]],"No", "Yes")</f>
        <v>No</v>
      </c>
      <c r="S109" t="str">
        <f>IF(Table1[[#This Row],[Calculated_SLA]]=Table1[[#This Row],[SLA_Met]],"Match","Mismatch")</f>
        <v>Match</v>
      </c>
      <c r="T109">
        <f>IF(Table1[[#This Row],[Calculated_SLA]]="Yes",1,0)</f>
        <v>0</v>
      </c>
      <c r="U109" t="str">
        <f>IF(COUNTIFS(Reference_data!A:A,Table1[[#This Row],[Category]],Reference_data!B:B,Table1[[#This Row],[Sub_Category]])&gt;0,"Valid","Invalid")</f>
        <v>Valid</v>
      </c>
      <c r="V109" t="str">
        <f>_xlfn.XLOOKUP([1]!Table1[[#This Row],[Sub_Category]],[1]Reference_data!B:B,[1]Reference_data!A:A)</f>
        <v>Print Quality</v>
      </c>
      <c r="W109" t="str">
        <f>IF([1]!Table1[[#This Row],[Category]]=[1]!Table1[[#This Row],[Expected_Category ]],"Valid", "invalid")</f>
        <v>Valid</v>
      </c>
    </row>
    <row r="110" spans="1:23">
      <c r="A110" t="s">
        <v>397</v>
      </c>
      <c r="B110" t="s">
        <v>18</v>
      </c>
      <c r="C110" s="31" t="s">
        <v>398</v>
      </c>
      <c r="D110" s="32" t="s">
        <v>399</v>
      </c>
      <c r="E110" t="s">
        <v>35</v>
      </c>
      <c r="F110" t="s">
        <v>36</v>
      </c>
      <c r="G110" t="s">
        <v>46</v>
      </c>
      <c r="H110" t="s">
        <v>86</v>
      </c>
      <c r="I110" t="s">
        <v>38</v>
      </c>
      <c r="J110">
        <v>8.9</v>
      </c>
      <c r="K110">
        <v>8</v>
      </c>
      <c r="L110" t="s">
        <v>27</v>
      </c>
      <c r="M110">
        <v>1</v>
      </c>
      <c r="N110" t="s">
        <v>26</v>
      </c>
      <c r="O110" t="s">
        <v>28</v>
      </c>
      <c r="P110" t="s">
        <v>57</v>
      </c>
      <c r="Q110" t="s">
        <v>39</v>
      </c>
      <c r="R110" t="str">
        <f>IF(Table1[[#This Row],[Resolution_Time_Hrs]]&gt;Table1[[#This Row],[SLA_Target_Hrs]],"No", "Yes")</f>
        <v>No</v>
      </c>
      <c r="S110" t="str">
        <f>IF(Table1[[#This Row],[Calculated_SLA]]=Table1[[#This Row],[SLA_Met]],"Match","Mismatch")</f>
        <v>Match</v>
      </c>
      <c r="T110">
        <f>IF(Table1[[#This Row],[Calculated_SLA]]="Yes",1,0)</f>
        <v>0</v>
      </c>
      <c r="U110" t="str">
        <f>IF(COUNTIFS(Reference_data!A:A,Table1[[#This Row],[Category]],Reference_data!B:B,Table1[[#This Row],[Sub_Category]])&gt;0,"Valid","Invalid")</f>
        <v>Valid</v>
      </c>
      <c r="V110" t="str">
        <f>_xlfn.XLOOKUP([1]!Table1[[#This Row],[Sub_Category]],[1]Reference_data!B:B,[1]Reference_data!A:A)</f>
        <v>Print Quality</v>
      </c>
      <c r="W110" t="str">
        <f>IF([1]!Table1[[#This Row],[Category]]=[1]!Table1[[#This Row],[Expected_Category ]],"Valid", "invalid")</f>
        <v>Valid</v>
      </c>
    </row>
    <row r="111" spans="1:23">
      <c r="A111" t="s">
        <v>400</v>
      </c>
      <c r="B111" t="s">
        <v>41</v>
      </c>
      <c r="C111" s="31" t="s">
        <v>401</v>
      </c>
      <c r="D111" s="32" t="s">
        <v>402</v>
      </c>
      <c r="E111" t="s">
        <v>21</v>
      </c>
      <c r="F111" t="s">
        <v>63</v>
      </c>
      <c r="G111" t="s">
        <v>23</v>
      </c>
      <c r="H111" t="s">
        <v>55</v>
      </c>
      <c r="I111" t="s">
        <v>25</v>
      </c>
      <c r="J111">
        <v>12.1</v>
      </c>
      <c r="K111">
        <v>24</v>
      </c>
      <c r="L111" t="s">
        <v>26</v>
      </c>
      <c r="M111">
        <v>4</v>
      </c>
      <c r="N111" t="s">
        <v>27</v>
      </c>
      <c r="O111" t="s">
        <v>28</v>
      </c>
      <c r="P111" t="s">
        <v>29</v>
      </c>
      <c r="Q111" t="s">
        <v>30</v>
      </c>
      <c r="R111" t="str">
        <f>IF(Table1[[#This Row],[Resolution_Time_Hrs]]&gt;Table1[[#This Row],[SLA_Target_Hrs]],"No", "Yes")</f>
        <v>Yes</v>
      </c>
      <c r="S111" t="str">
        <f>IF(Table1[[#This Row],[Calculated_SLA]]=Table1[[#This Row],[SLA_Met]],"Match","Mismatch")</f>
        <v>Match</v>
      </c>
      <c r="T111">
        <f>IF(Table1[[#This Row],[Calculated_SLA]]="Yes",1,0)</f>
        <v>1</v>
      </c>
      <c r="U111" t="str">
        <f>IF(COUNTIFS(Reference_data!A:A,Table1[[#This Row],[Category]],Reference_data!B:B,Table1[[#This Row],[Sub_Category]])&gt;0,"Valid","Invalid")</f>
        <v>Valid</v>
      </c>
      <c r="V111" t="str">
        <f>_xlfn.XLOOKUP([1]!Table1[[#This Row],[Sub_Category]],[1]Reference_data!B:B,[1]Reference_data!A:A)</f>
        <v>Connectivity &amp; Software</v>
      </c>
      <c r="W111" t="str">
        <f>IF([1]!Table1[[#This Row],[Category]]=[1]!Table1[[#This Row],[Expected_Category ]],"Valid", "invalid")</f>
        <v>Valid</v>
      </c>
    </row>
    <row r="112" spans="1:23">
      <c r="A112" t="s">
        <v>403</v>
      </c>
      <c r="B112" t="s">
        <v>60</v>
      </c>
      <c r="C112" s="31" t="s">
        <v>404</v>
      </c>
      <c r="D112" s="32" t="s">
        <v>405</v>
      </c>
      <c r="E112" t="s">
        <v>84</v>
      </c>
      <c r="F112" t="s">
        <v>85</v>
      </c>
      <c r="G112" t="s">
        <v>46</v>
      </c>
      <c r="H112" t="s">
        <v>55</v>
      </c>
      <c r="I112" t="s">
        <v>87</v>
      </c>
      <c r="J112">
        <v>8.8000000000000007</v>
      </c>
      <c r="K112">
        <v>8</v>
      </c>
      <c r="L112" t="s">
        <v>27</v>
      </c>
      <c r="M112">
        <v>1</v>
      </c>
      <c r="N112" t="s">
        <v>26</v>
      </c>
      <c r="O112" t="s">
        <v>28</v>
      </c>
      <c r="P112" t="s">
        <v>57</v>
      </c>
      <c r="Q112" t="s">
        <v>101</v>
      </c>
      <c r="R112" t="str">
        <f>IF(Table1[[#This Row],[Resolution_Time_Hrs]]&gt;Table1[[#This Row],[SLA_Target_Hrs]],"No", "Yes")</f>
        <v>No</v>
      </c>
      <c r="S112" t="str">
        <f>IF(Table1[[#This Row],[Calculated_SLA]]=Table1[[#This Row],[SLA_Met]],"Match","Mismatch")</f>
        <v>Match</v>
      </c>
      <c r="T112">
        <f>IF(Table1[[#This Row],[Calculated_SLA]]="Yes",1,0)</f>
        <v>0</v>
      </c>
      <c r="U112" t="str">
        <f>IF(COUNTIFS(Reference_data!A:A,Table1[[#This Row],[Category]],Reference_data!B:B,Table1[[#This Row],[Sub_Category]])&gt;0,"Valid","Invalid")</f>
        <v>Valid</v>
      </c>
      <c r="V112" t="str">
        <f>_xlfn.XLOOKUP([1]!Table1[[#This Row],[Sub_Category]],[1]Reference_data!B:B,[1]Reference_data!A:A)</f>
        <v>Supplies &amp; Logistics</v>
      </c>
      <c r="W112" t="str">
        <f>IF([1]!Table1[[#This Row],[Category]]=[1]!Table1[[#This Row],[Expected_Category ]],"Valid", "invalid")</f>
        <v>Valid</v>
      </c>
    </row>
    <row r="113" spans="1:23">
      <c r="A113" t="s">
        <v>406</v>
      </c>
      <c r="B113" t="s">
        <v>121</v>
      </c>
      <c r="C113" s="31" t="s">
        <v>407</v>
      </c>
      <c r="D113" s="32" t="s">
        <v>408</v>
      </c>
      <c r="E113" t="s">
        <v>84</v>
      </c>
      <c r="F113" t="s">
        <v>116</v>
      </c>
      <c r="G113" t="s">
        <v>23</v>
      </c>
      <c r="H113" t="s">
        <v>24</v>
      </c>
      <c r="I113" t="s">
        <v>87</v>
      </c>
      <c r="J113">
        <v>9.3000000000000007</v>
      </c>
      <c r="K113">
        <v>24</v>
      </c>
      <c r="L113" t="s">
        <v>26</v>
      </c>
      <c r="M113">
        <v>5</v>
      </c>
      <c r="N113" t="s">
        <v>27</v>
      </c>
      <c r="O113" t="s">
        <v>28</v>
      </c>
      <c r="P113" t="s">
        <v>29</v>
      </c>
      <c r="Q113" t="s">
        <v>58</v>
      </c>
      <c r="R113" t="str">
        <f>IF(Table1[[#This Row],[Resolution_Time_Hrs]]&gt;Table1[[#This Row],[SLA_Target_Hrs]],"No", "Yes")</f>
        <v>Yes</v>
      </c>
      <c r="S113" t="str">
        <f>IF(Table1[[#This Row],[Calculated_SLA]]=Table1[[#This Row],[SLA_Met]],"Match","Mismatch")</f>
        <v>Match</v>
      </c>
      <c r="T113">
        <f>IF(Table1[[#This Row],[Calculated_SLA]]="Yes",1,0)</f>
        <v>1</v>
      </c>
      <c r="U113" t="str">
        <f>IF(COUNTIFS(Reference_data!A:A,Table1[[#This Row],[Category]],Reference_data!B:B,Table1[[#This Row],[Sub_Category]])&gt;0,"Valid","Invalid")</f>
        <v>Valid</v>
      </c>
      <c r="V113" t="str">
        <f>_xlfn.XLOOKUP([1]!Table1[[#This Row],[Sub_Category]],[1]Reference_data!B:B,[1]Reference_data!A:A)</f>
        <v>Supplies &amp; Logistics</v>
      </c>
      <c r="W113" t="str">
        <f>IF([1]!Table1[[#This Row],[Category]]=[1]!Table1[[#This Row],[Expected_Category ]],"Valid", "invalid")</f>
        <v>Valid</v>
      </c>
    </row>
    <row r="114" spans="1:23">
      <c r="A114" t="s">
        <v>409</v>
      </c>
      <c r="B114" t="s">
        <v>75</v>
      </c>
      <c r="C114" s="31" t="s">
        <v>410</v>
      </c>
      <c r="D114" s="32" t="s">
        <v>411</v>
      </c>
      <c r="E114" t="s">
        <v>84</v>
      </c>
      <c r="F114" t="s">
        <v>85</v>
      </c>
      <c r="G114" t="s">
        <v>54</v>
      </c>
      <c r="H114" t="s">
        <v>47</v>
      </c>
      <c r="I114" t="s">
        <v>87</v>
      </c>
      <c r="J114">
        <v>2.9</v>
      </c>
      <c r="K114">
        <v>4</v>
      </c>
      <c r="L114" t="s">
        <v>26</v>
      </c>
      <c r="M114">
        <v>5</v>
      </c>
      <c r="N114" t="s">
        <v>27</v>
      </c>
      <c r="O114" t="s">
        <v>28</v>
      </c>
      <c r="P114" t="s">
        <v>29</v>
      </c>
      <c r="Q114" t="s">
        <v>39</v>
      </c>
      <c r="R114" t="str">
        <f>IF(Table1[[#This Row],[Resolution_Time_Hrs]]&gt;Table1[[#This Row],[SLA_Target_Hrs]],"No", "Yes")</f>
        <v>Yes</v>
      </c>
      <c r="S114" t="str">
        <f>IF(Table1[[#This Row],[Calculated_SLA]]=Table1[[#This Row],[SLA_Met]],"Match","Mismatch")</f>
        <v>Match</v>
      </c>
      <c r="T114">
        <f>IF(Table1[[#This Row],[Calculated_SLA]]="Yes",1,0)</f>
        <v>1</v>
      </c>
      <c r="U114" t="str">
        <f>IF(COUNTIFS(Reference_data!A:A,Table1[[#This Row],[Category]],Reference_data!B:B,Table1[[#This Row],[Sub_Category]])&gt;0,"Valid","Invalid")</f>
        <v>Valid</v>
      </c>
      <c r="V114" t="str">
        <f>_xlfn.XLOOKUP([1]!Table1[[#This Row],[Sub_Category]],[1]Reference_data!B:B,[1]Reference_data!A:A)</f>
        <v>Supplies &amp; Logistics</v>
      </c>
      <c r="W114" t="str">
        <f>IF([1]!Table1[[#This Row],[Category]]=[1]!Table1[[#This Row],[Expected_Category ]],"Valid", "invalid")</f>
        <v>Valid</v>
      </c>
    </row>
    <row r="115" spans="1:23">
      <c r="A115" t="s">
        <v>412</v>
      </c>
      <c r="B115" t="s">
        <v>75</v>
      </c>
      <c r="C115" s="31" t="s">
        <v>413</v>
      </c>
      <c r="D115" s="32" t="s">
        <v>414</v>
      </c>
      <c r="E115" t="s">
        <v>21</v>
      </c>
      <c r="F115" t="s">
        <v>63</v>
      </c>
      <c r="G115" t="s">
        <v>23</v>
      </c>
      <c r="H115" t="s">
        <v>86</v>
      </c>
      <c r="I115" t="s">
        <v>25</v>
      </c>
      <c r="J115">
        <v>8</v>
      </c>
      <c r="K115">
        <v>24</v>
      </c>
      <c r="L115" t="s">
        <v>26</v>
      </c>
      <c r="M115">
        <v>4</v>
      </c>
      <c r="N115" t="s">
        <v>27</v>
      </c>
      <c r="O115" t="s">
        <v>28</v>
      </c>
      <c r="P115" t="s">
        <v>29</v>
      </c>
      <c r="Q115" t="s">
        <v>30</v>
      </c>
      <c r="R115" t="str">
        <f>IF(Table1[[#This Row],[Resolution_Time_Hrs]]&gt;Table1[[#This Row],[SLA_Target_Hrs]],"No", "Yes")</f>
        <v>Yes</v>
      </c>
      <c r="S115" t="str">
        <f>IF(Table1[[#This Row],[Calculated_SLA]]=Table1[[#This Row],[SLA_Met]],"Match","Mismatch")</f>
        <v>Match</v>
      </c>
      <c r="T115">
        <f>IF(Table1[[#This Row],[Calculated_SLA]]="Yes",1,0)</f>
        <v>1</v>
      </c>
      <c r="U115" t="str">
        <f>IF(COUNTIFS(Reference_data!A:A,Table1[[#This Row],[Category]],Reference_data!B:B,Table1[[#This Row],[Sub_Category]])&gt;0,"Valid","Invalid")</f>
        <v>Valid</v>
      </c>
      <c r="V115" t="str">
        <f>_xlfn.XLOOKUP([1]!Table1[[#This Row],[Sub_Category]],[1]Reference_data!B:B,[1]Reference_data!A:A)</f>
        <v>Connectivity &amp; Software</v>
      </c>
      <c r="W115" t="str">
        <f>IF([1]!Table1[[#This Row],[Category]]=[1]!Table1[[#This Row],[Expected_Category ]],"Valid", "invalid")</f>
        <v>Valid</v>
      </c>
    </row>
    <row r="116" spans="1:23">
      <c r="A116" t="s">
        <v>415</v>
      </c>
      <c r="B116" t="s">
        <v>50</v>
      </c>
      <c r="C116" s="31" t="s">
        <v>416</v>
      </c>
      <c r="D116" s="32" t="s">
        <v>417</v>
      </c>
      <c r="E116" t="s">
        <v>21</v>
      </c>
      <c r="F116" t="s">
        <v>69</v>
      </c>
      <c r="G116" t="s">
        <v>23</v>
      </c>
      <c r="H116" t="s">
        <v>70</v>
      </c>
      <c r="I116" t="s">
        <v>25</v>
      </c>
      <c r="J116">
        <v>10.3</v>
      </c>
      <c r="K116">
        <v>24</v>
      </c>
      <c r="L116" t="s">
        <v>26</v>
      </c>
      <c r="M116">
        <v>4</v>
      </c>
      <c r="N116" t="s">
        <v>27</v>
      </c>
      <c r="O116" t="s">
        <v>28</v>
      </c>
      <c r="P116" t="s">
        <v>29</v>
      </c>
      <c r="Q116" t="s">
        <v>101</v>
      </c>
      <c r="R116" t="str">
        <f>IF(Table1[[#This Row],[Resolution_Time_Hrs]]&gt;Table1[[#This Row],[SLA_Target_Hrs]],"No", "Yes")</f>
        <v>Yes</v>
      </c>
      <c r="S116" t="str">
        <f>IF(Table1[[#This Row],[Calculated_SLA]]=Table1[[#This Row],[SLA_Met]],"Match","Mismatch")</f>
        <v>Match</v>
      </c>
      <c r="T116">
        <f>IF(Table1[[#This Row],[Calculated_SLA]]="Yes",1,0)</f>
        <v>1</v>
      </c>
      <c r="U116" t="str">
        <f>IF(COUNTIFS(Reference_data!A:A,Table1[[#This Row],[Category]],Reference_data!B:B,Table1[[#This Row],[Sub_Category]])&gt;0,"Valid","Invalid")</f>
        <v>Valid</v>
      </c>
      <c r="V116" t="str">
        <f>_xlfn.XLOOKUP([1]!Table1[[#This Row],[Sub_Category]],[1]Reference_data!B:B,[1]Reference_data!A:A)</f>
        <v>Connectivity &amp; Software</v>
      </c>
      <c r="W116" t="str">
        <f>IF([1]!Table1[[#This Row],[Category]]=[1]!Table1[[#This Row],[Expected_Category ]],"Valid", "invalid")</f>
        <v>Valid</v>
      </c>
    </row>
    <row r="117" spans="1:23">
      <c r="A117" t="s">
        <v>418</v>
      </c>
      <c r="B117" t="s">
        <v>75</v>
      </c>
      <c r="C117" s="31" t="s">
        <v>419</v>
      </c>
      <c r="D117" s="32" t="s">
        <v>420</v>
      </c>
      <c r="E117" t="s">
        <v>78</v>
      </c>
      <c r="F117" t="s">
        <v>79</v>
      </c>
      <c r="G117" t="s">
        <v>46</v>
      </c>
      <c r="H117" t="s">
        <v>234</v>
      </c>
      <c r="I117" t="s">
        <v>80</v>
      </c>
      <c r="J117">
        <v>13.1</v>
      </c>
      <c r="K117">
        <v>8</v>
      </c>
      <c r="L117" t="s">
        <v>27</v>
      </c>
      <c r="M117">
        <v>3</v>
      </c>
      <c r="N117" t="s">
        <v>27</v>
      </c>
      <c r="O117" t="s">
        <v>28</v>
      </c>
      <c r="P117" t="s">
        <v>57</v>
      </c>
      <c r="Q117" t="s">
        <v>39</v>
      </c>
      <c r="R117" t="str">
        <f>IF(Table1[[#This Row],[Resolution_Time_Hrs]]&gt;Table1[[#This Row],[SLA_Target_Hrs]],"No", "Yes")</f>
        <v>No</v>
      </c>
      <c r="S117" t="str">
        <f>IF(Table1[[#This Row],[Calculated_SLA]]=Table1[[#This Row],[SLA_Met]],"Match","Mismatch")</f>
        <v>Match</v>
      </c>
      <c r="T117">
        <f>IF(Table1[[#This Row],[Calculated_SLA]]="Yes",1,0)</f>
        <v>0</v>
      </c>
      <c r="U117" t="str">
        <f>IF(COUNTIFS(Reference_data!A:A,Table1[[#This Row],[Category]],Reference_data!B:B,Table1[[#This Row],[Sub_Category]])&gt;0,"Valid","Invalid")</f>
        <v>Valid</v>
      </c>
      <c r="V117" t="str">
        <f>_xlfn.XLOOKUP([1]!Table1[[#This Row],[Sub_Category]],[1]Reference_data!B:B,[1]Reference_data!A:A)</f>
        <v>Hardware &amp; Mechanical</v>
      </c>
      <c r="W117" t="str">
        <f>IF([1]!Table1[[#This Row],[Category]]=[1]!Table1[[#This Row],[Expected_Category ]],"Valid", "invalid")</f>
        <v>Valid</v>
      </c>
    </row>
    <row r="118" spans="1:23">
      <c r="A118" t="s">
        <v>421</v>
      </c>
      <c r="B118" t="s">
        <v>66</v>
      </c>
      <c r="C118" s="31" t="s">
        <v>422</v>
      </c>
      <c r="D118" s="32" t="s">
        <v>423</v>
      </c>
      <c r="E118" t="s">
        <v>78</v>
      </c>
      <c r="F118" t="s">
        <v>191</v>
      </c>
      <c r="G118" t="s">
        <v>46</v>
      </c>
      <c r="H118" t="s">
        <v>91</v>
      </c>
      <c r="I118" t="s">
        <v>38</v>
      </c>
      <c r="J118">
        <v>15.1</v>
      </c>
      <c r="K118">
        <v>8</v>
      </c>
      <c r="L118" t="s">
        <v>27</v>
      </c>
      <c r="M118">
        <v>2</v>
      </c>
      <c r="N118" t="s">
        <v>26</v>
      </c>
      <c r="O118" t="s">
        <v>28</v>
      </c>
      <c r="P118" t="s">
        <v>57</v>
      </c>
      <c r="Q118" t="s">
        <v>39</v>
      </c>
      <c r="R118" t="str">
        <f>IF(Table1[[#This Row],[Resolution_Time_Hrs]]&gt;Table1[[#This Row],[SLA_Target_Hrs]],"No", "Yes")</f>
        <v>No</v>
      </c>
      <c r="S118" t="str">
        <f>IF(Table1[[#This Row],[Calculated_SLA]]=Table1[[#This Row],[SLA_Met]],"Match","Mismatch")</f>
        <v>Match</v>
      </c>
      <c r="T118">
        <f>IF(Table1[[#This Row],[Calculated_SLA]]="Yes",1,0)</f>
        <v>0</v>
      </c>
      <c r="U118" t="str">
        <f>IF(COUNTIFS(Reference_data!A:A,Table1[[#This Row],[Category]],Reference_data!B:B,Table1[[#This Row],[Sub_Category]])&gt;0,"Valid","Invalid")</f>
        <v>Valid</v>
      </c>
      <c r="V118" t="str">
        <f>_xlfn.XLOOKUP([1]!Table1[[#This Row],[Sub_Category]],[1]Reference_data!B:B,[1]Reference_data!A:A)</f>
        <v>Hardware &amp; Mechanical</v>
      </c>
      <c r="W118" t="str">
        <f>IF([1]!Table1[[#This Row],[Category]]=[1]!Table1[[#This Row],[Expected_Category ]],"Valid", "invalid")</f>
        <v>Valid</v>
      </c>
    </row>
    <row r="119" spans="1:23">
      <c r="A119" t="s">
        <v>424</v>
      </c>
      <c r="B119" t="s">
        <v>75</v>
      </c>
      <c r="C119" s="31" t="s">
        <v>425</v>
      </c>
      <c r="D119" s="32" t="s">
        <v>426</v>
      </c>
      <c r="E119" t="s">
        <v>78</v>
      </c>
      <c r="F119" t="s">
        <v>166</v>
      </c>
      <c r="G119" t="s">
        <v>46</v>
      </c>
      <c r="H119" t="s">
        <v>55</v>
      </c>
      <c r="I119" t="s">
        <v>80</v>
      </c>
      <c r="J119">
        <v>19.399999999999999</v>
      </c>
      <c r="K119">
        <v>8</v>
      </c>
      <c r="L119" t="s">
        <v>27</v>
      </c>
      <c r="M119">
        <v>3</v>
      </c>
      <c r="N119" t="s">
        <v>26</v>
      </c>
      <c r="O119" t="s">
        <v>28</v>
      </c>
      <c r="P119" t="s">
        <v>57</v>
      </c>
      <c r="Q119" t="s">
        <v>58</v>
      </c>
      <c r="R119" t="str">
        <f>IF(Table1[[#This Row],[Resolution_Time_Hrs]]&gt;Table1[[#This Row],[SLA_Target_Hrs]],"No", "Yes")</f>
        <v>No</v>
      </c>
      <c r="S119" t="str">
        <f>IF(Table1[[#This Row],[Calculated_SLA]]=Table1[[#This Row],[SLA_Met]],"Match","Mismatch")</f>
        <v>Match</v>
      </c>
      <c r="T119">
        <f>IF(Table1[[#This Row],[Calculated_SLA]]="Yes",1,0)</f>
        <v>0</v>
      </c>
      <c r="U119" t="str">
        <f>IF(COUNTIFS(Reference_data!A:A,Table1[[#This Row],[Category]],Reference_data!B:B,Table1[[#This Row],[Sub_Category]])&gt;0,"Valid","Invalid")</f>
        <v>Valid</v>
      </c>
      <c r="V119" t="str">
        <f>_xlfn.XLOOKUP([1]!Table1[[#This Row],[Sub_Category]],[1]Reference_data!B:B,[1]Reference_data!A:A)</f>
        <v>Hardware &amp; Mechanical</v>
      </c>
      <c r="W119" t="str">
        <f>IF([1]!Table1[[#This Row],[Category]]=[1]!Table1[[#This Row],[Expected_Category ]],"Valid", "invalid")</f>
        <v>Valid</v>
      </c>
    </row>
    <row r="120" spans="1:23">
      <c r="A120" t="s">
        <v>427</v>
      </c>
      <c r="B120" t="s">
        <v>32</v>
      </c>
      <c r="C120" s="31" t="s">
        <v>428</v>
      </c>
      <c r="D120" s="32" t="s">
        <v>429</v>
      </c>
      <c r="E120" t="s">
        <v>21</v>
      </c>
      <c r="F120" t="s">
        <v>22</v>
      </c>
      <c r="G120" t="s">
        <v>46</v>
      </c>
      <c r="H120" t="s">
        <v>70</v>
      </c>
      <c r="I120" t="s">
        <v>25</v>
      </c>
      <c r="J120">
        <v>12.8</v>
      </c>
      <c r="K120">
        <v>8</v>
      </c>
      <c r="L120" t="s">
        <v>27</v>
      </c>
      <c r="M120">
        <v>2</v>
      </c>
      <c r="N120" t="s">
        <v>27</v>
      </c>
      <c r="O120" t="s">
        <v>28</v>
      </c>
      <c r="P120" t="s">
        <v>57</v>
      </c>
      <c r="Q120" t="s">
        <v>39</v>
      </c>
      <c r="R120" t="str">
        <f>IF(Table1[[#This Row],[Resolution_Time_Hrs]]&gt;Table1[[#This Row],[SLA_Target_Hrs]],"No", "Yes")</f>
        <v>No</v>
      </c>
      <c r="S120" t="str">
        <f>IF(Table1[[#This Row],[Calculated_SLA]]=Table1[[#This Row],[SLA_Met]],"Match","Mismatch")</f>
        <v>Match</v>
      </c>
      <c r="T120">
        <f>IF(Table1[[#This Row],[Calculated_SLA]]="Yes",1,0)</f>
        <v>0</v>
      </c>
      <c r="U120" t="str">
        <f>IF(COUNTIFS(Reference_data!A:A,Table1[[#This Row],[Category]],Reference_data!B:B,Table1[[#This Row],[Sub_Category]])&gt;0,"Valid","Invalid")</f>
        <v>Valid</v>
      </c>
      <c r="V120" t="str">
        <f>_xlfn.XLOOKUP([1]!Table1[[#This Row],[Sub_Category]],[1]Reference_data!B:B,[1]Reference_data!A:A)</f>
        <v>Connectivity &amp; Software</v>
      </c>
      <c r="W120" t="str">
        <f>IF([1]!Table1[[#This Row],[Category]]=[1]!Table1[[#This Row],[Expected_Category ]],"Valid", "invalid")</f>
        <v>Valid</v>
      </c>
    </row>
    <row r="121" spans="1:23">
      <c r="A121" t="s">
        <v>430</v>
      </c>
      <c r="B121" t="s">
        <v>60</v>
      </c>
      <c r="C121" s="31" t="s">
        <v>431</v>
      </c>
      <c r="D121" s="32" t="s">
        <v>432</v>
      </c>
      <c r="E121" t="s">
        <v>78</v>
      </c>
      <c r="F121" t="s">
        <v>166</v>
      </c>
      <c r="G121" t="s">
        <v>46</v>
      </c>
      <c r="H121" t="s">
        <v>70</v>
      </c>
      <c r="I121" t="s">
        <v>80</v>
      </c>
      <c r="J121">
        <v>19.399999999999999</v>
      </c>
      <c r="K121">
        <v>8</v>
      </c>
      <c r="L121" t="s">
        <v>27</v>
      </c>
      <c r="M121">
        <v>3</v>
      </c>
      <c r="N121" t="s">
        <v>27</v>
      </c>
      <c r="O121" t="s">
        <v>28</v>
      </c>
      <c r="P121" t="s">
        <v>57</v>
      </c>
      <c r="Q121" t="s">
        <v>101</v>
      </c>
      <c r="R121" t="str">
        <f>IF(Table1[[#This Row],[Resolution_Time_Hrs]]&gt;Table1[[#This Row],[SLA_Target_Hrs]],"No", "Yes")</f>
        <v>No</v>
      </c>
      <c r="S121" t="str">
        <f>IF(Table1[[#This Row],[Calculated_SLA]]=Table1[[#This Row],[SLA_Met]],"Match","Mismatch")</f>
        <v>Match</v>
      </c>
      <c r="T121">
        <f>IF(Table1[[#This Row],[Calculated_SLA]]="Yes",1,0)</f>
        <v>0</v>
      </c>
      <c r="U121" t="str">
        <f>IF(COUNTIFS(Reference_data!A:A,Table1[[#This Row],[Category]],Reference_data!B:B,Table1[[#This Row],[Sub_Category]])&gt;0,"Valid","Invalid")</f>
        <v>Valid</v>
      </c>
      <c r="V121" t="str">
        <f>_xlfn.XLOOKUP([1]!Table1[[#This Row],[Sub_Category]],[1]Reference_data!B:B,[1]Reference_data!A:A)</f>
        <v>Hardware &amp; Mechanical</v>
      </c>
      <c r="W121" t="str">
        <f>IF([1]!Table1[[#This Row],[Category]]=[1]!Table1[[#This Row],[Expected_Category ]],"Valid", "invalid")</f>
        <v>Valid</v>
      </c>
    </row>
    <row r="122" spans="1:23">
      <c r="A122" t="s">
        <v>433</v>
      </c>
      <c r="B122" t="s">
        <v>121</v>
      </c>
      <c r="C122" s="31" t="s">
        <v>434</v>
      </c>
      <c r="D122" s="32" t="s">
        <v>435</v>
      </c>
      <c r="E122" t="s">
        <v>78</v>
      </c>
      <c r="F122" t="s">
        <v>166</v>
      </c>
      <c r="G122" t="s">
        <v>46</v>
      </c>
      <c r="H122" t="s">
        <v>55</v>
      </c>
      <c r="I122" t="s">
        <v>80</v>
      </c>
      <c r="J122">
        <v>17.5</v>
      </c>
      <c r="K122">
        <v>8</v>
      </c>
      <c r="L122" t="s">
        <v>27</v>
      </c>
      <c r="M122">
        <v>2</v>
      </c>
      <c r="N122" t="s">
        <v>26</v>
      </c>
      <c r="O122" t="s">
        <v>28</v>
      </c>
      <c r="P122" t="s">
        <v>1670</v>
      </c>
      <c r="Q122" t="s">
        <v>30</v>
      </c>
      <c r="R122" t="str">
        <f>IF(Table1[[#This Row],[Resolution_Time_Hrs]]&gt;Table1[[#This Row],[SLA_Target_Hrs]],"No", "Yes")</f>
        <v>No</v>
      </c>
      <c r="S122" t="str">
        <f>IF(Table1[[#This Row],[Calculated_SLA]]=Table1[[#This Row],[SLA_Met]],"Match","Mismatch")</f>
        <v>Match</v>
      </c>
      <c r="T122">
        <f>IF(Table1[[#This Row],[Calculated_SLA]]="Yes",1,0)</f>
        <v>0</v>
      </c>
      <c r="U122" t="str">
        <f>IF(COUNTIFS(Reference_data!A:A,Table1[[#This Row],[Category]],Reference_data!B:B,Table1[[#This Row],[Sub_Category]])&gt;0,"Valid","Invalid")</f>
        <v>Valid</v>
      </c>
      <c r="V122" t="str">
        <f>_xlfn.XLOOKUP([1]!Table1[[#This Row],[Sub_Category]],[1]Reference_data!B:B,[1]Reference_data!A:A)</f>
        <v>Hardware &amp; Mechanical</v>
      </c>
      <c r="W122" t="str">
        <f>IF([1]!Table1[[#This Row],[Category]]=[1]!Table1[[#This Row],[Expected_Category ]],"Valid", "invalid")</f>
        <v>Valid</v>
      </c>
    </row>
    <row r="123" spans="1:23">
      <c r="A123" t="s">
        <v>436</v>
      </c>
      <c r="B123" t="s">
        <v>106</v>
      </c>
      <c r="C123" s="31" t="s">
        <v>437</v>
      </c>
      <c r="D123" s="32" t="s">
        <v>438</v>
      </c>
      <c r="E123" t="s">
        <v>84</v>
      </c>
      <c r="F123" t="s">
        <v>85</v>
      </c>
      <c r="G123" t="s">
        <v>46</v>
      </c>
      <c r="H123" t="s">
        <v>64</v>
      </c>
      <c r="I123" t="s">
        <v>87</v>
      </c>
      <c r="J123">
        <v>5.4</v>
      </c>
      <c r="K123">
        <v>8</v>
      </c>
      <c r="L123" t="s">
        <v>26</v>
      </c>
      <c r="M123">
        <v>4</v>
      </c>
      <c r="N123" t="s">
        <v>27</v>
      </c>
      <c r="O123" t="s">
        <v>28</v>
      </c>
      <c r="P123" t="s">
        <v>29</v>
      </c>
      <c r="Q123" t="s">
        <v>30</v>
      </c>
      <c r="R123" t="str">
        <f>IF(Table1[[#This Row],[Resolution_Time_Hrs]]&gt;Table1[[#This Row],[SLA_Target_Hrs]],"No", "Yes")</f>
        <v>Yes</v>
      </c>
      <c r="S123" t="str">
        <f>IF(Table1[[#This Row],[Calculated_SLA]]=Table1[[#This Row],[SLA_Met]],"Match","Mismatch")</f>
        <v>Match</v>
      </c>
      <c r="T123">
        <f>IF(Table1[[#This Row],[Calculated_SLA]]="Yes",1,0)</f>
        <v>1</v>
      </c>
      <c r="U123" t="str">
        <f>IF(COUNTIFS(Reference_data!A:A,Table1[[#This Row],[Category]],Reference_data!B:B,Table1[[#This Row],[Sub_Category]])&gt;0,"Valid","Invalid")</f>
        <v>Valid</v>
      </c>
      <c r="V123" t="str">
        <f>_xlfn.XLOOKUP([1]!Table1[[#This Row],[Sub_Category]],[1]Reference_data!B:B,[1]Reference_data!A:A)</f>
        <v>Supplies &amp; Logistics</v>
      </c>
      <c r="W123" t="str">
        <f>IF([1]!Table1[[#This Row],[Category]]=[1]!Table1[[#This Row],[Expected_Category ]],"Valid", "invalid")</f>
        <v>Valid</v>
      </c>
    </row>
    <row r="124" spans="1:23">
      <c r="A124" t="s">
        <v>439</v>
      </c>
      <c r="B124" t="s">
        <v>41</v>
      </c>
      <c r="C124" s="31" t="s">
        <v>440</v>
      </c>
      <c r="D124" s="32" t="s">
        <v>441</v>
      </c>
      <c r="E124" t="s">
        <v>35</v>
      </c>
      <c r="F124" t="s">
        <v>127</v>
      </c>
      <c r="G124" t="s">
        <v>46</v>
      </c>
      <c r="H124" t="s">
        <v>91</v>
      </c>
      <c r="I124" t="s">
        <v>56</v>
      </c>
      <c r="J124">
        <v>11.6</v>
      </c>
      <c r="K124">
        <v>8</v>
      </c>
      <c r="L124" t="s">
        <v>27</v>
      </c>
      <c r="M124">
        <v>1</v>
      </c>
      <c r="N124" t="s">
        <v>26</v>
      </c>
      <c r="O124" t="s">
        <v>28</v>
      </c>
      <c r="P124" t="s">
        <v>57</v>
      </c>
      <c r="Q124" t="s">
        <v>58</v>
      </c>
      <c r="R124" t="str">
        <f>IF(Table1[[#This Row],[Resolution_Time_Hrs]]&gt;Table1[[#This Row],[SLA_Target_Hrs]],"No", "Yes")</f>
        <v>No</v>
      </c>
      <c r="S124" t="str">
        <f>IF(Table1[[#This Row],[Calculated_SLA]]=Table1[[#This Row],[SLA_Met]],"Match","Mismatch")</f>
        <v>Match</v>
      </c>
      <c r="T124">
        <f>IF(Table1[[#This Row],[Calculated_SLA]]="Yes",1,0)</f>
        <v>0</v>
      </c>
      <c r="U124" t="str">
        <f>IF(COUNTIFS(Reference_data!A:A,Table1[[#This Row],[Category]],Reference_data!B:B,Table1[[#This Row],[Sub_Category]])&gt;0,"Valid","Invalid")</f>
        <v>Valid</v>
      </c>
      <c r="V124" t="str">
        <f>_xlfn.XLOOKUP([1]!Table1[[#This Row],[Sub_Category]],[1]Reference_data!B:B,[1]Reference_data!A:A)</f>
        <v>Print Quality</v>
      </c>
      <c r="W124" t="str">
        <f>IF([1]!Table1[[#This Row],[Category]]=[1]!Table1[[#This Row],[Expected_Category ]],"Valid", "invalid")</f>
        <v>Valid</v>
      </c>
    </row>
    <row r="125" spans="1:23">
      <c r="A125" t="s">
        <v>442</v>
      </c>
      <c r="B125" t="s">
        <v>41</v>
      </c>
      <c r="C125" s="31" t="s">
        <v>443</v>
      </c>
      <c r="D125" s="32" t="s">
        <v>444</v>
      </c>
      <c r="E125" t="s">
        <v>78</v>
      </c>
      <c r="F125" t="s">
        <v>166</v>
      </c>
      <c r="G125" t="s">
        <v>23</v>
      </c>
      <c r="H125" t="s">
        <v>234</v>
      </c>
      <c r="I125" t="s">
        <v>80</v>
      </c>
      <c r="J125">
        <v>12.1</v>
      </c>
      <c r="K125">
        <v>24</v>
      </c>
      <c r="L125" t="s">
        <v>26</v>
      </c>
      <c r="M125">
        <v>4</v>
      </c>
      <c r="N125" t="s">
        <v>27</v>
      </c>
      <c r="O125" t="s">
        <v>28</v>
      </c>
      <c r="P125" t="s">
        <v>29</v>
      </c>
      <c r="Q125" t="s">
        <v>101</v>
      </c>
      <c r="R125" t="str">
        <f>IF(Table1[[#This Row],[Resolution_Time_Hrs]]&gt;Table1[[#This Row],[SLA_Target_Hrs]],"No", "Yes")</f>
        <v>Yes</v>
      </c>
      <c r="S125" t="str">
        <f>IF(Table1[[#This Row],[Calculated_SLA]]=Table1[[#This Row],[SLA_Met]],"Match","Mismatch")</f>
        <v>Match</v>
      </c>
      <c r="T125">
        <f>IF(Table1[[#This Row],[Calculated_SLA]]="Yes",1,0)</f>
        <v>1</v>
      </c>
      <c r="U125" t="str">
        <f>IF(COUNTIFS(Reference_data!A:A,Table1[[#This Row],[Category]],Reference_data!B:B,Table1[[#This Row],[Sub_Category]])&gt;0,"Valid","Invalid")</f>
        <v>Valid</v>
      </c>
      <c r="V125" t="str">
        <f>_xlfn.XLOOKUP([1]!Table1[[#This Row],[Sub_Category]],[1]Reference_data!B:B,[1]Reference_data!A:A)</f>
        <v>Hardware &amp; Mechanical</v>
      </c>
      <c r="W125" t="str">
        <f>IF([1]!Table1[[#This Row],[Category]]=[1]!Table1[[#This Row],[Expected_Category ]],"Valid", "invalid")</f>
        <v>Valid</v>
      </c>
    </row>
    <row r="126" spans="1:23">
      <c r="A126" t="s">
        <v>445</v>
      </c>
      <c r="B126" t="s">
        <v>135</v>
      </c>
      <c r="C126" s="31" t="s">
        <v>446</v>
      </c>
      <c r="D126" s="32" t="s">
        <v>447</v>
      </c>
      <c r="E126" t="s">
        <v>21</v>
      </c>
      <c r="F126" t="s">
        <v>69</v>
      </c>
      <c r="G126" t="s">
        <v>23</v>
      </c>
      <c r="H126" t="s">
        <v>138</v>
      </c>
      <c r="I126" t="s">
        <v>25</v>
      </c>
      <c r="J126">
        <v>9.3000000000000007</v>
      </c>
      <c r="K126">
        <v>24</v>
      </c>
      <c r="L126" t="s">
        <v>26</v>
      </c>
      <c r="M126">
        <v>5</v>
      </c>
      <c r="N126" t="s">
        <v>27</v>
      </c>
      <c r="O126" t="s">
        <v>28</v>
      </c>
      <c r="P126" t="s">
        <v>29</v>
      </c>
      <c r="Q126" t="s">
        <v>39</v>
      </c>
      <c r="R126" t="str">
        <f>IF(Table1[[#This Row],[Resolution_Time_Hrs]]&gt;Table1[[#This Row],[SLA_Target_Hrs]],"No", "Yes")</f>
        <v>Yes</v>
      </c>
      <c r="S126" t="str">
        <f>IF(Table1[[#This Row],[Calculated_SLA]]=Table1[[#This Row],[SLA_Met]],"Match","Mismatch")</f>
        <v>Match</v>
      </c>
      <c r="T126">
        <f>IF(Table1[[#This Row],[Calculated_SLA]]="Yes",1,0)</f>
        <v>1</v>
      </c>
      <c r="U126" t="str">
        <f>IF(COUNTIFS(Reference_data!A:A,Table1[[#This Row],[Category]],Reference_data!B:B,Table1[[#This Row],[Sub_Category]])&gt;0,"Valid","Invalid")</f>
        <v>Valid</v>
      </c>
      <c r="V126" t="str">
        <f>_xlfn.XLOOKUP([1]!Table1[[#This Row],[Sub_Category]],[1]Reference_data!B:B,[1]Reference_data!A:A)</f>
        <v>Connectivity &amp; Software</v>
      </c>
      <c r="W126" t="str">
        <f>IF([1]!Table1[[#This Row],[Category]]=[1]!Table1[[#This Row],[Expected_Category ]],"Valid", "invalid")</f>
        <v>Valid</v>
      </c>
    </row>
    <row r="127" spans="1:23">
      <c r="A127" t="s">
        <v>448</v>
      </c>
      <c r="B127" t="s">
        <v>32</v>
      </c>
      <c r="C127" s="31" t="s">
        <v>449</v>
      </c>
      <c r="D127" s="32" t="s">
        <v>450</v>
      </c>
      <c r="E127" t="s">
        <v>35</v>
      </c>
      <c r="F127" t="s">
        <v>127</v>
      </c>
      <c r="G127" t="s">
        <v>46</v>
      </c>
      <c r="H127" t="s">
        <v>234</v>
      </c>
      <c r="I127" t="s">
        <v>56</v>
      </c>
      <c r="J127">
        <v>5</v>
      </c>
      <c r="K127">
        <v>8</v>
      </c>
      <c r="L127" t="s">
        <v>26</v>
      </c>
      <c r="M127">
        <v>5</v>
      </c>
      <c r="N127" t="s">
        <v>27</v>
      </c>
      <c r="O127" t="s">
        <v>28</v>
      </c>
      <c r="P127" t="s">
        <v>29</v>
      </c>
      <c r="Q127" t="s">
        <v>58</v>
      </c>
      <c r="R127" t="str">
        <f>IF(Table1[[#This Row],[Resolution_Time_Hrs]]&gt;Table1[[#This Row],[SLA_Target_Hrs]],"No", "Yes")</f>
        <v>Yes</v>
      </c>
      <c r="S127" t="str">
        <f>IF(Table1[[#This Row],[Calculated_SLA]]=Table1[[#This Row],[SLA_Met]],"Match","Mismatch")</f>
        <v>Match</v>
      </c>
      <c r="T127">
        <f>IF(Table1[[#This Row],[Calculated_SLA]]="Yes",1,0)</f>
        <v>1</v>
      </c>
      <c r="U127" t="str">
        <f>IF(COUNTIFS(Reference_data!A:A,Table1[[#This Row],[Category]],Reference_data!B:B,Table1[[#This Row],[Sub_Category]])&gt;0,"Valid","Invalid")</f>
        <v>Valid</v>
      </c>
      <c r="V127" t="str">
        <f>_xlfn.XLOOKUP([1]!Table1[[#This Row],[Sub_Category]],[1]Reference_data!B:B,[1]Reference_data!A:A)</f>
        <v>Print Quality</v>
      </c>
      <c r="W127" t="str">
        <f>IF([1]!Table1[[#This Row],[Category]]=[1]!Table1[[#This Row],[Expected_Category ]],"Valid", "invalid")</f>
        <v>Valid</v>
      </c>
    </row>
    <row r="128" spans="1:23">
      <c r="A128" t="s">
        <v>451</v>
      </c>
      <c r="B128" t="s">
        <v>75</v>
      </c>
      <c r="C128" s="31" t="s">
        <v>452</v>
      </c>
      <c r="D128" s="32" t="s">
        <v>453</v>
      </c>
      <c r="E128" t="s">
        <v>35</v>
      </c>
      <c r="F128" t="s">
        <v>36</v>
      </c>
      <c r="G128" t="s">
        <v>46</v>
      </c>
      <c r="H128" t="s">
        <v>91</v>
      </c>
      <c r="I128" t="s">
        <v>38</v>
      </c>
      <c r="J128">
        <v>4.9000000000000004</v>
      </c>
      <c r="K128">
        <v>8</v>
      </c>
      <c r="L128" t="s">
        <v>26</v>
      </c>
      <c r="M128">
        <v>5</v>
      </c>
      <c r="N128" t="s">
        <v>27</v>
      </c>
      <c r="O128" t="s">
        <v>28</v>
      </c>
      <c r="P128" t="s">
        <v>29</v>
      </c>
      <c r="Q128" t="s">
        <v>30</v>
      </c>
      <c r="R128" t="str">
        <f>IF(Table1[[#This Row],[Resolution_Time_Hrs]]&gt;Table1[[#This Row],[SLA_Target_Hrs]],"No", "Yes")</f>
        <v>Yes</v>
      </c>
      <c r="S128" t="str">
        <f>IF(Table1[[#This Row],[Calculated_SLA]]=Table1[[#This Row],[SLA_Met]],"Match","Mismatch")</f>
        <v>Match</v>
      </c>
      <c r="T128">
        <f>IF(Table1[[#This Row],[Calculated_SLA]]="Yes",1,0)</f>
        <v>1</v>
      </c>
      <c r="U128" t="str">
        <f>IF(COUNTIFS(Reference_data!A:A,Table1[[#This Row],[Category]],Reference_data!B:B,Table1[[#This Row],[Sub_Category]])&gt;0,"Valid","Invalid")</f>
        <v>Valid</v>
      </c>
      <c r="V128" t="str">
        <f>_xlfn.XLOOKUP([1]!Table1[[#This Row],[Sub_Category]],[1]Reference_data!B:B,[1]Reference_data!A:A)</f>
        <v>Print Quality</v>
      </c>
      <c r="W128" t="str">
        <f>IF([1]!Table1[[#This Row],[Category]]=[1]!Table1[[#This Row],[Expected_Category ]],"Valid", "invalid")</f>
        <v>Valid</v>
      </c>
    </row>
    <row r="129" spans="1:23">
      <c r="A129" t="s">
        <v>454</v>
      </c>
      <c r="B129" t="s">
        <v>50</v>
      </c>
      <c r="C129" s="31" t="s">
        <v>455</v>
      </c>
      <c r="D129" s="32" t="s">
        <v>456</v>
      </c>
      <c r="E129" t="s">
        <v>35</v>
      </c>
      <c r="F129" t="s">
        <v>127</v>
      </c>
      <c r="G129" t="s">
        <v>23</v>
      </c>
      <c r="H129" t="s">
        <v>91</v>
      </c>
      <c r="I129" t="s">
        <v>56</v>
      </c>
      <c r="J129">
        <v>8.6999999999999993</v>
      </c>
      <c r="K129">
        <v>24</v>
      </c>
      <c r="L129" t="s">
        <v>26</v>
      </c>
      <c r="M129">
        <v>4</v>
      </c>
      <c r="N129" t="s">
        <v>27</v>
      </c>
      <c r="O129" t="s">
        <v>28</v>
      </c>
      <c r="P129" t="s">
        <v>29</v>
      </c>
      <c r="Q129" t="s">
        <v>101</v>
      </c>
      <c r="R129" t="str">
        <f>IF(Table1[[#This Row],[Resolution_Time_Hrs]]&gt;Table1[[#This Row],[SLA_Target_Hrs]],"No", "Yes")</f>
        <v>Yes</v>
      </c>
      <c r="S129" t="str">
        <f>IF(Table1[[#This Row],[Calculated_SLA]]=Table1[[#This Row],[SLA_Met]],"Match","Mismatch")</f>
        <v>Match</v>
      </c>
      <c r="T129">
        <f>IF(Table1[[#This Row],[Calculated_SLA]]="Yes",1,0)</f>
        <v>1</v>
      </c>
      <c r="U129" t="str">
        <f>IF(COUNTIFS(Reference_data!A:A,Table1[[#This Row],[Category]],Reference_data!B:B,Table1[[#This Row],[Sub_Category]])&gt;0,"Valid","Invalid")</f>
        <v>Valid</v>
      </c>
      <c r="V129" t="str">
        <f>_xlfn.XLOOKUP([1]!Table1[[#This Row],[Sub_Category]],[1]Reference_data!B:B,[1]Reference_data!A:A)</f>
        <v>Print Quality</v>
      </c>
      <c r="W129" t="str">
        <f>IF([1]!Table1[[#This Row],[Category]]=[1]!Table1[[#This Row],[Expected_Category ]],"Valid", "invalid")</f>
        <v>Valid</v>
      </c>
    </row>
    <row r="130" spans="1:23">
      <c r="A130" t="s">
        <v>457</v>
      </c>
      <c r="B130" t="s">
        <v>121</v>
      </c>
      <c r="C130" s="31" t="s">
        <v>458</v>
      </c>
      <c r="D130" s="32" t="s">
        <v>459</v>
      </c>
      <c r="E130" t="s">
        <v>78</v>
      </c>
      <c r="F130" t="s">
        <v>191</v>
      </c>
      <c r="G130" t="s">
        <v>54</v>
      </c>
      <c r="H130" t="s">
        <v>138</v>
      </c>
      <c r="I130" t="s">
        <v>38</v>
      </c>
      <c r="J130">
        <v>15.1</v>
      </c>
      <c r="K130">
        <v>4</v>
      </c>
      <c r="L130" t="s">
        <v>27</v>
      </c>
      <c r="M130">
        <v>3</v>
      </c>
      <c r="N130" t="s">
        <v>27</v>
      </c>
      <c r="O130" t="s">
        <v>28</v>
      </c>
      <c r="P130" t="s">
        <v>57</v>
      </c>
      <c r="Q130" t="s">
        <v>30</v>
      </c>
      <c r="R130" t="str">
        <f>IF(Table1[[#This Row],[Resolution_Time_Hrs]]&gt;Table1[[#This Row],[SLA_Target_Hrs]],"No", "Yes")</f>
        <v>No</v>
      </c>
      <c r="S130" t="str">
        <f>IF(Table1[[#This Row],[Calculated_SLA]]=Table1[[#This Row],[SLA_Met]],"Match","Mismatch")</f>
        <v>Match</v>
      </c>
      <c r="T130">
        <f>IF(Table1[[#This Row],[Calculated_SLA]]="Yes",1,0)</f>
        <v>0</v>
      </c>
      <c r="U130" t="str">
        <f>IF(COUNTIFS(Reference_data!A:A,Table1[[#This Row],[Category]],Reference_data!B:B,Table1[[#This Row],[Sub_Category]])&gt;0,"Valid","Invalid")</f>
        <v>Valid</v>
      </c>
      <c r="V130" t="str">
        <f>_xlfn.XLOOKUP([1]!Table1[[#This Row],[Sub_Category]],[1]Reference_data!B:B,[1]Reference_data!A:A)</f>
        <v>Hardware &amp; Mechanical</v>
      </c>
      <c r="W130" t="str">
        <f>IF([1]!Table1[[#This Row],[Category]]=[1]!Table1[[#This Row],[Expected_Category ]],"Valid", "invalid")</f>
        <v>Valid</v>
      </c>
    </row>
    <row r="131" spans="1:23">
      <c r="A131" t="s">
        <v>460</v>
      </c>
      <c r="B131" t="s">
        <v>60</v>
      </c>
      <c r="C131" s="31" t="s">
        <v>461</v>
      </c>
      <c r="D131" s="32" t="s">
        <v>462</v>
      </c>
      <c r="E131" t="s">
        <v>84</v>
      </c>
      <c r="F131" t="s">
        <v>85</v>
      </c>
      <c r="G131" t="s">
        <v>46</v>
      </c>
      <c r="H131" t="s">
        <v>64</v>
      </c>
      <c r="I131" t="s">
        <v>87</v>
      </c>
      <c r="J131">
        <v>3.3</v>
      </c>
      <c r="K131">
        <v>8</v>
      </c>
      <c r="L131" t="s">
        <v>26</v>
      </c>
      <c r="M131">
        <v>5</v>
      </c>
      <c r="N131" t="s">
        <v>27</v>
      </c>
      <c r="O131" t="s">
        <v>28</v>
      </c>
      <c r="P131" t="s">
        <v>29</v>
      </c>
      <c r="Q131" t="s">
        <v>39</v>
      </c>
      <c r="R131" t="str">
        <f>IF(Table1[[#This Row],[Resolution_Time_Hrs]]&gt;Table1[[#This Row],[SLA_Target_Hrs]],"No", "Yes")</f>
        <v>Yes</v>
      </c>
      <c r="S131" t="str">
        <f>IF(Table1[[#This Row],[Calculated_SLA]]=Table1[[#This Row],[SLA_Met]],"Match","Mismatch")</f>
        <v>Match</v>
      </c>
      <c r="T131">
        <f>IF(Table1[[#This Row],[Calculated_SLA]]="Yes",1,0)</f>
        <v>1</v>
      </c>
      <c r="U131" t="str">
        <f>IF(COUNTIFS(Reference_data!A:A,Table1[[#This Row],[Category]],Reference_data!B:B,Table1[[#This Row],[Sub_Category]])&gt;0,"Valid","Invalid")</f>
        <v>Valid</v>
      </c>
      <c r="V131" t="str">
        <f>_xlfn.XLOOKUP([1]!Table1[[#This Row],[Sub_Category]],[1]Reference_data!B:B,[1]Reference_data!A:A)</f>
        <v>Supplies &amp; Logistics</v>
      </c>
      <c r="W131" t="str">
        <f>IF([1]!Table1[[#This Row],[Category]]=[1]!Table1[[#This Row],[Expected_Category ]],"Valid", "invalid")</f>
        <v>Valid</v>
      </c>
    </row>
    <row r="132" spans="1:23">
      <c r="A132" t="s">
        <v>463</v>
      </c>
      <c r="B132" t="s">
        <v>60</v>
      </c>
      <c r="C132" s="31" t="s">
        <v>464</v>
      </c>
      <c r="D132" s="32" t="s">
        <v>465</v>
      </c>
      <c r="E132" t="s">
        <v>21</v>
      </c>
      <c r="F132" t="s">
        <v>22</v>
      </c>
      <c r="G132" t="s">
        <v>23</v>
      </c>
      <c r="H132" t="s">
        <v>91</v>
      </c>
      <c r="I132" t="s">
        <v>25</v>
      </c>
      <c r="J132">
        <v>6.6</v>
      </c>
      <c r="K132">
        <v>24</v>
      </c>
      <c r="L132" t="s">
        <v>26</v>
      </c>
      <c r="M132">
        <v>5</v>
      </c>
      <c r="N132" t="s">
        <v>27</v>
      </c>
      <c r="O132" t="s">
        <v>28</v>
      </c>
      <c r="P132" t="s">
        <v>29</v>
      </c>
      <c r="Q132" t="s">
        <v>30</v>
      </c>
      <c r="R132" t="str">
        <f>IF(Table1[[#This Row],[Resolution_Time_Hrs]]&gt;Table1[[#This Row],[SLA_Target_Hrs]],"No", "Yes")</f>
        <v>Yes</v>
      </c>
      <c r="S132" t="str">
        <f>IF(Table1[[#This Row],[Calculated_SLA]]=Table1[[#This Row],[SLA_Met]],"Match","Mismatch")</f>
        <v>Match</v>
      </c>
      <c r="T132">
        <f>IF(Table1[[#This Row],[Calculated_SLA]]="Yes",1,0)</f>
        <v>1</v>
      </c>
      <c r="U132" t="str">
        <f>IF(COUNTIFS(Reference_data!A:A,Table1[[#This Row],[Category]],Reference_data!B:B,Table1[[#This Row],[Sub_Category]])&gt;0,"Valid","Invalid")</f>
        <v>Valid</v>
      </c>
      <c r="V132" t="str">
        <f>_xlfn.XLOOKUP([1]!Table1[[#This Row],[Sub_Category]],[1]Reference_data!B:B,[1]Reference_data!A:A)</f>
        <v>Connectivity &amp; Software</v>
      </c>
      <c r="W132" t="str">
        <f>IF([1]!Table1[[#This Row],[Category]]=[1]!Table1[[#This Row],[Expected_Category ]],"Valid", "invalid")</f>
        <v>Valid</v>
      </c>
    </row>
    <row r="133" spans="1:23">
      <c r="A133" t="s">
        <v>466</v>
      </c>
      <c r="B133" t="s">
        <v>135</v>
      </c>
      <c r="C133" s="31" t="s">
        <v>467</v>
      </c>
      <c r="D133" s="32" t="s">
        <v>468</v>
      </c>
      <c r="E133" t="s">
        <v>35</v>
      </c>
      <c r="F133" t="s">
        <v>53</v>
      </c>
      <c r="G133" t="s">
        <v>54</v>
      </c>
      <c r="H133" t="s">
        <v>24</v>
      </c>
      <c r="I133" t="s">
        <v>56</v>
      </c>
      <c r="J133">
        <v>9.4</v>
      </c>
      <c r="K133">
        <v>4</v>
      </c>
      <c r="L133" t="s">
        <v>27</v>
      </c>
      <c r="M133">
        <v>3</v>
      </c>
      <c r="N133" t="s">
        <v>27</v>
      </c>
      <c r="O133" t="s">
        <v>28</v>
      </c>
      <c r="P133" t="s">
        <v>1670</v>
      </c>
      <c r="Q133" t="s">
        <v>58</v>
      </c>
      <c r="R133" t="str">
        <f>IF(Table1[[#This Row],[Resolution_Time_Hrs]]&gt;Table1[[#This Row],[SLA_Target_Hrs]],"No", "Yes")</f>
        <v>No</v>
      </c>
      <c r="S133" t="str">
        <f>IF(Table1[[#This Row],[Calculated_SLA]]=Table1[[#This Row],[SLA_Met]],"Match","Mismatch")</f>
        <v>Match</v>
      </c>
      <c r="T133">
        <f>IF(Table1[[#This Row],[Calculated_SLA]]="Yes",1,0)</f>
        <v>0</v>
      </c>
      <c r="U133" t="str">
        <f>IF(COUNTIFS(Reference_data!A:A,Table1[[#This Row],[Category]],Reference_data!B:B,Table1[[#This Row],[Sub_Category]])&gt;0,"Valid","Invalid")</f>
        <v>Valid</v>
      </c>
      <c r="V133" t="str">
        <f>_xlfn.XLOOKUP([1]!Table1[[#This Row],[Sub_Category]],[1]Reference_data!B:B,[1]Reference_data!A:A)</f>
        <v>Print Quality</v>
      </c>
      <c r="W133" t="str">
        <f>IF([1]!Table1[[#This Row],[Category]]=[1]!Table1[[#This Row],[Expected_Category ]],"Valid", "invalid")</f>
        <v>Valid</v>
      </c>
    </row>
    <row r="134" spans="1:23">
      <c r="A134" t="s">
        <v>469</v>
      </c>
      <c r="B134" t="s">
        <v>66</v>
      </c>
      <c r="C134" s="31" t="s">
        <v>470</v>
      </c>
      <c r="D134" s="32" t="s">
        <v>471</v>
      </c>
      <c r="E134" t="s">
        <v>78</v>
      </c>
      <c r="F134" t="s">
        <v>79</v>
      </c>
      <c r="G134" t="s">
        <v>46</v>
      </c>
      <c r="H134" t="s">
        <v>47</v>
      </c>
      <c r="I134" t="s">
        <v>80</v>
      </c>
      <c r="J134">
        <v>14.7</v>
      </c>
      <c r="K134">
        <v>8</v>
      </c>
      <c r="L134" t="s">
        <v>27</v>
      </c>
      <c r="M134">
        <v>3</v>
      </c>
      <c r="N134" t="s">
        <v>27</v>
      </c>
      <c r="O134" t="s">
        <v>28</v>
      </c>
      <c r="P134" t="s">
        <v>1670</v>
      </c>
      <c r="Q134" t="s">
        <v>39</v>
      </c>
      <c r="R134" t="str">
        <f>IF(Table1[[#This Row],[Resolution_Time_Hrs]]&gt;Table1[[#This Row],[SLA_Target_Hrs]],"No", "Yes")</f>
        <v>No</v>
      </c>
      <c r="S134" t="str">
        <f>IF(Table1[[#This Row],[Calculated_SLA]]=Table1[[#This Row],[SLA_Met]],"Match","Mismatch")</f>
        <v>Match</v>
      </c>
      <c r="T134">
        <f>IF(Table1[[#This Row],[Calculated_SLA]]="Yes",1,0)</f>
        <v>0</v>
      </c>
      <c r="U134" t="str">
        <f>IF(COUNTIFS(Reference_data!A:A,Table1[[#This Row],[Category]],Reference_data!B:B,Table1[[#This Row],[Sub_Category]])&gt;0,"Valid","Invalid")</f>
        <v>Valid</v>
      </c>
      <c r="V134" t="str">
        <f>_xlfn.XLOOKUP([1]!Table1[[#This Row],[Sub_Category]],[1]Reference_data!B:B,[1]Reference_data!A:A)</f>
        <v>Hardware &amp; Mechanical</v>
      </c>
      <c r="W134" t="str">
        <f>IF([1]!Table1[[#This Row],[Category]]=[1]!Table1[[#This Row],[Expected_Category ]],"Valid", "invalid")</f>
        <v>Valid</v>
      </c>
    </row>
    <row r="135" spans="1:23">
      <c r="A135" t="s">
        <v>472</v>
      </c>
      <c r="B135" t="s">
        <v>32</v>
      </c>
      <c r="C135" s="31" t="s">
        <v>473</v>
      </c>
      <c r="D135" s="32" t="s">
        <v>474</v>
      </c>
      <c r="E135" t="s">
        <v>78</v>
      </c>
      <c r="F135" t="s">
        <v>166</v>
      </c>
      <c r="G135" t="s">
        <v>46</v>
      </c>
      <c r="H135" t="s">
        <v>64</v>
      </c>
      <c r="I135" t="s">
        <v>80</v>
      </c>
      <c r="J135">
        <v>11.3</v>
      </c>
      <c r="K135">
        <v>8</v>
      </c>
      <c r="L135" t="s">
        <v>27</v>
      </c>
      <c r="M135">
        <v>3</v>
      </c>
      <c r="N135" t="s">
        <v>27</v>
      </c>
      <c r="O135" t="s">
        <v>28</v>
      </c>
      <c r="P135" t="s">
        <v>57</v>
      </c>
      <c r="Q135" t="s">
        <v>30</v>
      </c>
      <c r="R135" t="str">
        <f>IF(Table1[[#This Row],[Resolution_Time_Hrs]]&gt;Table1[[#This Row],[SLA_Target_Hrs]],"No", "Yes")</f>
        <v>No</v>
      </c>
      <c r="S135" t="str">
        <f>IF(Table1[[#This Row],[Calculated_SLA]]=Table1[[#This Row],[SLA_Met]],"Match","Mismatch")</f>
        <v>Match</v>
      </c>
      <c r="T135">
        <f>IF(Table1[[#This Row],[Calculated_SLA]]="Yes",1,0)</f>
        <v>0</v>
      </c>
      <c r="U135" t="str">
        <f>IF(COUNTIFS(Reference_data!A:A,Table1[[#This Row],[Category]],Reference_data!B:B,Table1[[#This Row],[Sub_Category]])&gt;0,"Valid","Invalid")</f>
        <v>Valid</v>
      </c>
      <c r="V135" t="str">
        <f>_xlfn.XLOOKUP([1]!Table1[[#This Row],[Sub_Category]],[1]Reference_data!B:B,[1]Reference_data!A:A)</f>
        <v>Hardware &amp; Mechanical</v>
      </c>
      <c r="W135" t="str">
        <f>IF([1]!Table1[[#This Row],[Category]]=[1]!Table1[[#This Row],[Expected_Category ]],"Valid", "invalid")</f>
        <v>Valid</v>
      </c>
    </row>
    <row r="136" spans="1:23">
      <c r="A136" t="s">
        <v>475</v>
      </c>
      <c r="B136" t="s">
        <v>18</v>
      </c>
      <c r="C136" s="31" t="s">
        <v>476</v>
      </c>
      <c r="D136" s="32" t="s">
        <v>477</v>
      </c>
      <c r="E136" t="s">
        <v>21</v>
      </c>
      <c r="F136" t="s">
        <v>63</v>
      </c>
      <c r="G136" t="s">
        <v>23</v>
      </c>
      <c r="H136" t="s">
        <v>55</v>
      </c>
      <c r="I136" t="s">
        <v>25</v>
      </c>
      <c r="J136">
        <v>9.9</v>
      </c>
      <c r="K136">
        <v>24</v>
      </c>
      <c r="L136" t="s">
        <v>26</v>
      </c>
      <c r="M136">
        <v>5</v>
      </c>
      <c r="N136" t="s">
        <v>27</v>
      </c>
      <c r="O136" t="s">
        <v>28</v>
      </c>
      <c r="P136" t="s">
        <v>29</v>
      </c>
      <c r="Q136" t="s">
        <v>58</v>
      </c>
      <c r="R136" t="str">
        <f>IF(Table1[[#This Row],[Resolution_Time_Hrs]]&gt;Table1[[#This Row],[SLA_Target_Hrs]],"No", "Yes")</f>
        <v>Yes</v>
      </c>
      <c r="S136" t="str">
        <f>IF(Table1[[#This Row],[Calculated_SLA]]=Table1[[#This Row],[SLA_Met]],"Match","Mismatch")</f>
        <v>Match</v>
      </c>
      <c r="T136">
        <f>IF(Table1[[#This Row],[Calculated_SLA]]="Yes",1,0)</f>
        <v>1</v>
      </c>
      <c r="U136" t="str">
        <f>IF(COUNTIFS(Reference_data!A:A,Table1[[#This Row],[Category]],Reference_data!B:B,Table1[[#This Row],[Sub_Category]])&gt;0,"Valid","Invalid")</f>
        <v>Valid</v>
      </c>
      <c r="V136" t="str">
        <f>_xlfn.XLOOKUP([1]!Table1[[#This Row],[Sub_Category]],[1]Reference_data!B:B,[1]Reference_data!A:A)</f>
        <v>Connectivity &amp; Software</v>
      </c>
      <c r="W136" t="str">
        <f>IF([1]!Table1[[#This Row],[Category]]=[1]!Table1[[#This Row],[Expected_Category ]],"Valid", "invalid")</f>
        <v>Valid</v>
      </c>
    </row>
    <row r="137" spans="1:23">
      <c r="A137" t="s">
        <v>478</v>
      </c>
      <c r="B137" t="s">
        <v>66</v>
      </c>
      <c r="C137" s="31" t="s">
        <v>479</v>
      </c>
      <c r="D137" s="32" t="s">
        <v>480</v>
      </c>
      <c r="E137" t="s">
        <v>21</v>
      </c>
      <c r="F137" t="s">
        <v>69</v>
      </c>
      <c r="G137" t="s">
        <v>46</v>
      </c>
      <c r="H137" t="s">
        <v>86</v>
      </c>
      <c r="I137" t="s">
        <v>25</v>
      </c>
      <c r="J137">
        <v>11.9</v>
      </c>
      <c r="K137">
        <v>8</v>
      </c>
      <c r="L137" t="s">
        <v>27</v>
      </c>
      <c r="M137">
        <v>2</v>
      </c>
      <c r="N137" t="s">
        <v>26</v>
      </c>
      <c r="O137" t="s">
        <v>28</v>
      </c>
      <c r="P137" t="s">
        <v>57</v>
      </c>
      <c r="Q137" t="s">
        <v>39</v>
      </c>
      <c r="R137" t="str">
        <f>IF(Table1[[#This Row],[Resolution_Time_Hrs]]&gt;Table1[[#This Row],[SLA_Target_Hrs]],"No", "Yes")</f>
        <v>No</v>
      </c>
      <c r="S137" t="str">
        <f>IF(Table1[[#This Row],[Calculated_SLA]]=Table1[[#This Row],[SLA_Met]],"Match","Mismatch")</f>
        <v>Match</v>
      </c>
      <c r="T137">
        <f>IF(Table1[[#This Row],[Calculated_SLA]]="Yes",1,0)</f>
        <v>0</v>
      </c>
      <c r="U137" t="str">
        <f>IF(COUNTIFS(Reference_data!A:A,Table1[[#This Row],[Category]],Reference_data!B:B,Table1[[#This Row],[Sub_Category]])&gt;0,"Valid","Invalid")</f>
        <v>Valid</v>
      </c>
      <c r="V137" t="str">
        <f>_xlfn.XLOOKUP([1]!Table1[[#This Row],[Sub_Category]],[1]Reference_data!B:B,[1]Reference_data!A:A)</f>
        <v>Connectivity &amp; Software</v>
      </c>
      <c r="W137" t="str">
        <f>IF([1]!Table1[[#This Row],[Category]]=[1]!Table1[[#This Row],[Expected_Category ]],"Valid", "invalid")</f>
        <v>Valid</v>
      </c>
    </row>
    <row r="138" spans="1:23">
      <c r="A138" t="s">
        <v>481</v>
      </c>
      <c r="B138" t="s">
        <v>121</v>
      </c>
      <c r="C138" s="31" t="s">
        <v>482</v>
      </c>
      <c r="D138" s="32" t="s">
        <v>483</v>
      </c>
      <c r="E138" t="s">
        <v>35</v>
      </c>
      <c r="F138" t="s">
        <v>53</v>
      </c>
      <c r="G138" t="s">
        <v>46</v>
      </c>
      <c r="H138" t="s">
        <v>55</v>
      </c>
      <c r="I138" t="s">
        <v>56</v>
      </c>
      <c r="J138">
        <v>8.5</v>
      </c>
      <c r="K138">
        <v>8</v>
      </c>
      <c r="L138" t="s">
        <v>27</v>
      </c>
      <c r="M138">
        <v>1</v>
      </c>
      <c r="N138" t="s">
        <v>26</v>
      </c>
      <c r="O138" t="s">
        <v>28</v>
      </c>
      <c r="P138" t="s">
        <v>1670</v>
      </c>
      <c r="Q138" t="s">
        <v>101</v>
      </c>
      <c r="R138" t="str">
        <f>IF(Table1[[#This Row],[Resolution_Time_Hrs]]&gt;Table1[[#This Row],[SLA_Target_Hrs]],"No", "Yes")</f>
        <v>No</v>
      </c>
      <c r="S138" t="str">
        <f>IF(Table1[[#This Row],[Calculated_SLA]]=Table1[[#This Row],[SLA_Met]],"Match","Mismatch")</f>
        <v>Match</v>
      </c>
      <c r="T138">
        <f>IF(Table1[[#This Row],[Calculated_SLA]]="Yes",1,0)</f>
        <v>0</v>
      </c>
      <c r="U138" t="str">
        <f>IF(COUNTIFS(Reference_data!A:A,Table1[[#This Row],[Category]],Reference_data!B:B,Table1[[#This Row],[Sub_Category]])&gt;0,"Valid","Invalid")</f>
        <v>Valid</v>
      </c>
      <c r="V138" t="str">
        <f>_xlfn.XLOOKUP([1]!Table1[[#This Row],[Sub_Category]],[1]Reference_data!B:B,[1]Reference_data!A:A)</f>
        <v>Print Quality</v>
      </c>
      <c r="W138" t="str">
        <f>IF([1]!Table1[[#This Row],[Category]]=[1]!Table1[[#This Row],[Expected_Category ]],"Valid", "invalid")</f>
        <v>Valid</v>
      </c>
    </row>
    <row r="139" spans="1:23">
      <c r="A139" t="s">
        <v>484</v>
      </c>
      <c r="B139" t="s">
        <v>18</v>
      </c>
      <c r="C139" s="31" t="s">
        <v>485</v>
      </c>
      <c r="D139" s="32" t="s">
        <v>486</v>
      </c>
      <c r="E139" t="s">
        <v>78</v>
      </c>
      <c r="F139" t="s">
        <v>191</v>
      </c>
      <c r="G139" t="s">
        <v>46</v>
      </c>
      <c r="H139" t="s">
        <v>47</v>
      </c>
      <c r="I139" t="s">
        <v>38</v>
      </c>
      <c r="J139">
        <v>8.9</v>
      </c>
      <c r="K139">
        <v>8</v>
      </c>
      <c r="L139" t="s">
        <v>27</v>
      </c>
      <c r="M139">
        <v>1</v>
      </c>
      <c r="N139" t="s">
        <v>27</v>
      </c>
      <c r="O139" t="s">
        <v>28</v>
      </c>
      <c r="P139" t="s">
        <v>1670</v>
      </c>
      <c r="Q139" t="s">
        <v>58</v>
      </c>
      <c r="R139" t="str">
        <f>IF(Table1[[#This Row],[Resolution_Time_Hrs]]&gt;Table1[[#This Row],[SLA_Target_Hrs]],"No", "Yes")</f>
        <v>No</v>
      </c>
      <c r="S139" t="str">
        <f>IF(Table1[[#This Row],[Calculated_SLA]]=Table1[[#This Row],[SLA_Met]],"Match","Mismatch")</f>
        <v>Match</v>
      </c>
      <c r="T139">
        <f>IF(Table1[[#This Row],[Calculated_SLA]]="Yes",1,0)</f>
        <v>0</v>
      </c>
      <c r="U139" t="str">
        <f>IF(COUNTIFS(Reference_data!A:A,Table1[[#This Row],[Category]],Reference_data!B:B,Table1[[#This Row],[Sub_Category]])&gt;0,"Valid","Invalid")</f>
        <v>Valid</v>
      </c>
      <c r="V139" t="str">
        <f>_xlfn.XLOOKUP([1]!Table1[[#This Row],[Sub_Category]],[1]Reference_data!B:B,[1]Reference_data!A:A)</f>
        <v>Hardware &amp; Mechanical</v>
      </c>
      <c r="W139" t="str">
        <f>IF([1]!Table1[[#This Row],[Category]]=[1]!Table1[[#This Row],[Expected_Category ]],"Valid", "invalid")</f>
        <v>Valid</v>
      </c>
    </row>
    <row r="140" spans="1:23">
      <c r="A140" t="s">
        <v>487</v>
      </c>
      <c r="B140" t="s">
        <v>135</v>
      </c>
      <c r="C140" s="31" t="s">
        <v>488</v>
      </c>
      <c r="D140" s="32" t="s">
        <v>489</v>
      </c>
      <c r="E140" t="s">
        <v>78</v>
      </c>
      <c r="F140" t="s">
        <v>79</v>
      </c>
      <c r="G140" t="s">
        <v>46</v>
      </c>
      <c r="H140" t="s">
        <v>24</v>
      </c>
      <c r="I140" t="s">
        <v>80</v>
      </c>
      <c r="J140">
        <v>25.1</v>
      </c>
      <c r="K140">
        <v>8</v>
      </c>
      <c r="L140" t="s">
        <v>27</v>
      </c>
      <c r="M140">
        <v>3</v>
      </c>
      <c r="N140" t="s">
        <v>27</v>
      </c>
      <c r="O140" t="s">
        <v>28</v>
      </c>
      <c r="P140" t="s">
        <v>1670</v>
      </c>
      <c r="Q140" t="s">
        <v>58</v>
      </c>
      <c r="R140" t="str">
        <f>IF(Table1[[#This Row],[Resolution_Time_Hrs]]&gt;Table1[[#This Row],[SLA_Target_Hrs]],"No", "Yes")</f>
        <v>No</v>
      </c>
      <c r="S140" t="str">
        <f>IF(Table1[[#This Row],[Calculated_SLA]]=Table1[[#This Row],[SLA_Met]],"Match","Mismatch")</f>
        <v>Match</v>
      </c>
      <c r="T140">
        <f>IF(Table1[[#This Row],[Calculated_SLA]]="Yes",1,0)</f>
        <v>0</v>
      </c>
      <c r="U140" t="str">
        <f>IF(COUNTIFS(Reference_data!A:A,Table1[[#This Row],[Category]],Reference_data!B:B,Table1[[#This Row],[Sub_Category]])&gt;0,"Valid","Invalid")</f>
        <v>Valid</v>
      </c>
      <c r="V140" t="str">
        <f>_xlfn.XLOOKUP([1]!Table1[[#This Row],[Sub_Category]],[1]Reference_data!B:B,[1]Reference_data!A:A)</f>
        <v>Hardware &amp; Mechanical</v>
      </c>
      <c r="W140" t="str">
        <f>IF([1]!Table1[[#This Row],[Category]]=[1]!Table1[[#This Row],[Expected_Category ]],"Valid", "invalid")</f>
        <v>Valid</v>
      </c>
    </row>
    <row r="141" spans="1:23">
      <c r="A141" t="s">
        <v>490</v>
      </c>
      <c r="B141" t="s">
        <v>106</v>
      </c>
      <c r="C141" s="31" t="s">
        <v>491</v>
      </c>
      <c r="D141" s="32" t="s">
        <v>492</v>
      </c>
      <c r="E141" t="s">
        <v>78</v>
      </c>
      <c r="F141" t="s">
        <v>191</v>
      </c>
      <c r="G141" t="s">
        <v>46</v>
      </c>
      <c r="H141" t="s">
        <v>86</v>
      </c>
      <c r="I141" t="s">
        <v>38</v>
      </c>
      <c r="J141">
        <v>19.3</v>
      </c>
      <c r="K141">
        <v>8</v>
      </c>
      <c r="L141" t="s">
        <v>27</v>
      </c>
      <c r="M141">
        <v>3</v>
      </c>
      <c r="N141" t="s">
        <v>27</v>
      </c>
      <c r="O141" t="s">
        <v>28</v>
      </c>
      <c r="P141" t="s">
        <v>1670</v>
      </c>
      <c r="Q141" t="s">
        <v>101</v>
      </c>
      <c r="R141" t="str">
        <f>IF(Table1[[#This Row],[Resolution_Time_Hrs]]&gt;Table1[[#This Row],[SLA_Target_Hrs]],"No", "Yes")</f>
        <v>No</v>
      </c>
      <c r="S141" t="str">
        <f>IF(Table1[[#This Row],[Calculated_SLA]]=Table1[[#This Row],[SLA_Met]],"Match","Mismatch")</f>
        <v>Match</v>
      </c>
      <c r="T141">
        <f>IF(Table1[[#This Row],[Calculated_SLA]]="Yes",1,0)</f>
        <v>0</v>
      </c>
      <c r="U141" t="str">
        <f>IF(COUNTIFS(Reference_data!A:A,Table1[[#This Row],[Category]],Reference_data!B:B,Table1[[#This Row],[Sub_Category]])&gt;0,"Valid","Invalid")</f>
        <v>Valid</v>
      </c>
      <c r="V141" t="str">
        <f>_xlfn.XLOOKUP([1]!Table1[[#This Row],[Sub_Category]],[1]Reference_data!B:B,[1]Reference_data!A:A)</f>
        <v>Hardware &amp; Mechanical</v>
      </c>
      <c r="W141" t="str">
        <f>IF([1]!Table1[[#This Row],[Category]]=[1]!Table1[[#This Row],[Expected_Category ]],"Valid", "invalid")</f>
        <v>Valid</v>
      </c>
    </row>
    <row r="142" spans="1:23">
      <c r="A142" t="s">
        <v>493</v>
      </c>
      <c r="B142" t="s">
        <v>135</v>
      </c>
      <c r="C142" s="31" t="s">
        <v>494</v>
      </c>
      <c r="D142" s="32" t="s">
        <v>495</v>
      </c>
      <c r="E142" t="s">
        <v>35</v>
      </c>
      <c r="F142" t="s">
        <v>53</v>
      </c>
      <c r="G142" t="s">
        <v>23</v>
      </c>
      <c r="H142" t="s">
        <v>24</v>
      </c>
      <c r="I142" t="s">
        <v>56</v>
      </c>
      <c r="J142">
        <v>15.3</v>
      </c>
      <c r="K142">
        <v>24</v>
      </c>
      <c r="L142" t="s">
        <v>26</v>
      </c>
      <c r="M142">
        <v>5</v>
      </c>
      <c r="N142" t="s">
        <v>27</v>
      </c>
      <c r="O142" t="s">
        <v>28</v>
      </c>
      <c r="P142" t="s">
        <v>29</v>
      </c>
      <c r="Q142" t="s">
        <v>101</v>
      </c>
      <c r="R142" t="str">
        <f>IF(Table1[[#This Row],[Resolution_Time_Hrs]]&gt;Table1[[#This Row],[SLA_Target_Hrs]],"No", "Yes")</f>
        <v>Yes</v>
      </c>
      <c r="S142" t="str">
        <f>IF(Table1[[#This Row],[Calculated_SLA]]=Table1[[#This Row],[SLA_Met]],"Match","Mismatch")</f>
        <v>Match</v>
      </c>
      <c r="T142">
        <f>IF(Table1[[#This Row],[Calculated_SLA]]="Yes",1,0)</f>
        <v>1</v>
      </c>
      <c r="U142" t="str">
        <f>IF(COUNTIFS(Reference_data!A:A,Table1[[#This Row],[Category]],Reference_data!B:B,Table1[[#This Row],[Sub_Category]])&gt;0,"Valid","Invalid")</f>
        <v>Valid</v>
      </c>
      <c r="V142" t="str">
        <f>_xlfn.XLOOKUP([1]!Table1[[#This Row],[Sub_Category]],[1]Reference_data!B:B,[1]Reference_data!A:A)</f>
        <v>Print Quality</v>
      </c>
      <c r="W142" t="str">
        <f>IF([1]!Table1[[#This Row],[Category]]=[1]!Table1[[#This Row],[Expected_Category ]],"Valid", "invalid")</f>
        <v>Valid</v>
      </c>
    </row>
    <row r="143" spans="1:23">
      <c r="A143" t="s">
        <v>496</v>
      </c>
      <c r="B143" t="s">
        <v>106</v>
      </c>
      <c r="C143" s="31" t="s">
        <v>497</v>
      </c>
      <c r="D143" s="32" t="s">
        <v>498</v>
      </c>
      <c r="E143" t="s">
        <v>35</v>
      </c>
      <c r="F143" t="s">
        <v>53</v>
      </c>
      <c r="G143" t="s">
        <v>23</v>
      </c>
      <c r="H143" t="s">
        <v>47</v>
      </c>
      <c r="I143" t="s">
        <v>56</v>
      </c>
      <c r="J143">
        <v>5.9</v>
      </c>
      <c r="K143">
        <v>24</v>
      </c>
      <c r="L143" t="s">
        <v>26</v>
      </c>
      <c r="M143">
        <v>4</v>
      </c>
      <c r="N143" t="s">
        <v>27</v>
      </c>
      <c r="O143" t="s">
        <v>28</v>
      </c>
      <c r="P143" t="s">
        <v>29</v>
      </c>
      <c r="Q143" t="s">
        <v>30</v>
      </c>
      <c r="R143" t="str">
        <f>IF(Table1[[#This Row],[Resolution_Time_Hrs]]&gt;Table1[[#This Row],[SLA_Target_Hrs]],"No", "Yes")</f>
        <v>Yes</v>
      </c>
      <c r="S143" t="str">
        <f>IF(Table1[[#This Row],[Calculated_SLA]]=Table1[[#This Row],[SLA_Met]],"Match","Mismatch")</f>
        <v>Match</v>
      </c>
      <c r="T143">
        <f>IF(Table1[[#This Row],[Calculated_SLA]]="Yes",1,0)</f>
        <v>1</v>
      </c>
      <c r="U143" t="str">
        <f>IF(COUNTIFS(Reference_data!A:A,Table1[[#This Row],[Category]],Reference_data!B:B,Table1[[#This Row],[Sub_Category]])&gt;0,"Valid","Invalid")</f>
        <v>Valid</v>
      </c>
      <c r="V143" t="str">
        <f>_xlfn.XLOOKUP([1]!Table1[[#This Row],[Sub_Category]],[1]Reference_data!B:B,[1]Reference_data!A:A)</f>
        <v>Print Quality</v>
      </c>
      <c r="W143" t="str">
        <f>IF([1]!Table1[[#This Row],[Category]]=[1]!Table1[[#This Row],[Expected_Category ]],"Valid", "invalid")</f>
        <v>Valid</v>
      </c>
    </row>
    <row r="144" spans="1:23">
      <c r="A144" t="s">
        <v>499</v>
      </c>
      <c r="B144" t="s">
        <v>32</v>
      </c>
      <c r="C144" s="31" t="s">
        <v>500</v>
      </c>
      <c r="D144" s="32" t="s">
        <v>501</v>
      </c>
      <c r="E144" t="s">
        <v>35</v>
      </c>
      <c r="F144" t="s">
        <v>127</v>
      </c>
      <c r="G144" t="s">
        <v>46</v>
      </c>
      <c r="H144" t="s">
        <v>234</v>
      </c>
      <c r="I144" t="s">
        <v>56</v>
      </c>
      <c r="J144">
        <v>5.9</v>
      </c>
      <c r="K144">
        <v>8</v>
      </c>
      <c r="L144" t="s">
        <v>26</v>
      </c>
      <c r="M144">
        <v>4</v>
      </c>
      <c r="N144" t="s">
        <v>27</v>
      </c>
      <c r="O144" t="s">
        <v>28</v>
      </c>
      <c r="P144" t="s">
        <v>29</v>
      </c>
      <c r="Q144" t="s">
        <v>101</v>
      </c>
      <c r="R144" t="str">
        <f>IF(Table1[[#This Row],[Resolution_Time_Hrs]]&gt;Table1[[#This Row],[SLA_Target_Hrs]],"No", "Yes")</f>
        <v>Yes</v>
      </c>
      <c r="S144" t="str">
        <f>IF(Table1[[#This Row],[Calculated_SLA]]=Table1[[#This Row],[SLA_Met]],"Match","Mismatch")</f>
        <v>Match</v>
      </c>
      <c r="T144">
        <f>IF(Table1[[#This Row],[Calculated_SLA]]="Yes",1,0)</f>
        <v>1</v>
      </c>
      <c r="U144" t="str">
        <f>IF(COUNTIFS(Reference_data!A:A,Table1[[#This Row],[Category]],Reference_data!B:B,Table1[[#This Row],[Sub_Category]])&gt;0,"Valid","Invalid")</f>
        <v>Valid</v>
      </c>
      <c r="V144" t="str">
        <f>_xlfn.XLOOKUP([1]!Table1[[#This Row],[Sub_Category]],[1]Reference_data!B:B,[1]Reference_data!A:A)</f>
        <v>Print Quality</v>
      </c>
      <c r="W144" t="str">
        <f>IF([1]!Table1[[#This Row],[Category]]=[1]!Table1[[#This Row],[Expected_Category ]],"Valid", "invalid")</f>
        <v>Valid</v>
      </c>
    </row>
    <row r="145" spans="1:23">
      <c r="A145" t="s">
        <v>502</v>
      </c>
      <c r="B145" t="s">
        <v>135</v>
      </c>
      <c r="C145" s="31" t="s">
        <v>503</v>
      </c>
      <c r="D145" s="32" t="s">
        <v>504</v>
      </c>
      <c r="E145" t="s">
        <v>78</v>
      </c>
      <c r="F145" t="s">
        <v>79</v>
      </c>
      <c r="G145" t="s">
        <v>54</v>
      </c>
      <c r="H145" t="s">
        <v>24</v>
      </c>
      <c r="I145" t="s">
        <v>80</v>
      </c>
      <c r="J145">
        <v>23</v>
      </c>
      <c r="K145">
        <v>4</v>
      </c>
      <c r="L145" t="s">
        <v>27</v>
      </c>
      <c r="M145">
        <v>2</v>
      </c>
      <c r="N145" t="s">
        <v>27</v>
      </c>
      <c r="O145" t="s">
        <v>28</v>
      </c>
      <c r="P145" t="s">
        <v>57</v>
      </c>
      <c r="Q145" t="s">
        <v>58</v>
      </c>
      <c r="R145" t="str">
        <f>IF(Table1[[#This Row],[Resolution_Time_Hrs]]&gt;Table1[[#This Row],[SLA_Target_Hrs]],"No", "Yes")</f>
        <v>No</v>
      </c>
      <c r="S145" t="str">
        <f>IF(Table1[[#This Row],[Calculated_SLA]]=Table1[[#This Row],[SLA_Met]],"Match","Mismatch")</f>
        <v>Match</v>
      </c>
      <c r="T145">
        <f>IF(Table1[[#This Row],[Calculated_SLA]]="Yes",1,0)</f>
        <v>0</v>
      </c>
      <c r="U145" t="str">
        <f>IF(COUNTIFS(Reference_data!A:A,Table1[[#This Row],[Category]],Reference_data!B:B,Table1[[#This Row],[Sub_Category]])&gt;0,"Valid","Invalid")</f>
        <v>Valid</v>
      </c>
      <c r="V145" t="str">
        <f>_xlfn.XLOOKUP([1]!Table1[[#This Row],[Sub_Category]],[1]Reference_data!B:B,[1]Reference_data!A:A)</f>
        <v>Hardware &amp; Mechanical</v>
      </c>
      <c r="W145" t="str">
        <f>IF([1]!Table1[[#This Row],[Category]]=[1]!Table1[[#This Row],[Expected_Category ]],"Valid", "invalid")</f>
        <v>Valid</v>
      </c>
    </row>
    <row r="146" spans="1:23">
      <c r="A146" t="s">
        <v>505</v>
      </c>
      <c r="B146" t="s">
        <v>60</v>
      </c>
      <c r="C146" s="31" t="s">
        <v>506</v>
      </c>
      <c r="D146" s="32" t="s">
        <v>507</v>
      </c>
      <c r="E146" t="s">
        <v>35</v>
      </c>
      <c r="F146" t="s">
        <v>36</v>
      </c>
      <c r="G146" t="s">
        <v>54</v>
      </c>
      <c r="H146" t="s">
        <v>138</v>
      </c>
      <c r="I146" t="s">
        <v>38</v>
      </c>
      <c r="J146">
        <v>4.8</v>
      </c>
      <c r="K146">
        <v>4</v>
      </c>
      <c r="L146" t="s">
        <v>27</v>
      </c>
      <c r="M146">
        <v>1</v>
      </c>
      <c r="N146" t="s">
        <v>27</v>
      </c>
      <c r="O146" t="s">
        <v>28</v>
      </c>
      <c r="P146" t="s">
        <v>1670</v>
      </c>
      <c r="Q146" t="s">
        <v>30</v>
      </c>
      <c r="R146" t="str">
        <f>IF(Table1[[#This Row],[Resolution_Time_Hrs]]&gt;Table1[[#This Row],[SLA_Target_Hrs]],"No", "Yes")</f>
        <v>No</v>
      </c>
      <c r="S146" t="str">
        <f>IF(Table1[[#This Row],[Calculated_SLA]]=Table1[[#This Row],[SLA_Met]],"Match","Mismatch")</f>
        <v>Match</v>
      </c>
      <c r="T146">
        <f>IF(Table1[[#This Row],[Calculated_SLA]]="Yes",1,0)</f>
        <v>0</v>
      </c>
      <c r="U146" t="str">
        <f>IF(COUNTIFS(Reference_data!A:A,Table1[[#This Row],[Category]],Reference_data!B:B,Table1[[#This Row],[Sub_Category]])&gt;0,"Valid","Invalid")</f>
        <v>Valid</v>
      </c>
      <c r="V146" t="str">
        <f>_xlfn.XLOOKUP([1]!Table1[[#This Row],[Sub_Category]],[1]Reference_data!B:B,[1]Reference_data!A:A)</f>
        <v>Print Quality</v>
      </c>
      <c r="W146" t="str">
        <f>IF([1]!Table1[[#This Row],[Category]]=[1]!Table1[[#This Row],[Expected_Category ]],"Valid", "invalid")</f>
        <v>Valid</v>
      </c>
    </row>
    <row r="147" spans="1:23">
      <c r="A147" t="s">
        <v>508</v>
      </c>
      <c r="B147" t="s">
        <v>60</v>
      </c>
      <c r="C147" s="31" t="s">
        <v>509</v>
      </c>
      <c r="D147" s="32" t="s">
        <v>510</v>
      </c>
      <c r="E147" t="s">
        <v>78</v>
      </c>
      <c r="F147" t="s">
        <v>166</v>
      </c>
      <c r="G147" t="s">
        <v>23</v>
      </c>
      <c r="H147" t="s">
        <v>24</v>
      </c>
      <c r="I147" t="s">
        <v>80</v>
      </c>
      <c r="J147">
        <v>18.3</v>
      </c>
      <c r="K147">
        <v>24</v>
      </c>
      <c r="L147" t="s">
        <v>26</v>
      </c>
      <c r="M147">
        <v>4</v>
      </c>
      <c r="N147" t="s">
        <v>27</v>
      </c>
      <c r="O147" t="s">
        <v>28</v>
      </c>
      <c r="P147" t="s">
        <v>29</v>
      </c>
      <c r="Q147" t="s">
        <v>101</v>
      </c>
      <c r="R147" t="str">
        <f>IF(Table1[[#This Row],[Resolution_Time_Hrs]]&gt;Table1[[#This Row],[SLA_Target_Hrs]],"No", "Yes")</f>
        <v>Yes</v>
      </c>
      <c r="S147" t="str">
        <f>IF(Table1[[#This Row],[Calculated_SLA]]=Table1[[#This Row],[SLA_Met]],"Match","Mismatch")</f>
        <v>Match</v>
      </c>
      <c r="T147">
        <f>IF(Table1[[#This Row],[Calculated_SLA]]="Yes",1,0)</f>
        <v>1</v>
      </c>
      <c r="U147" t="str">
        <f>IF(COUNTIFS(Reference_data!A:A,Table1[[#This Row],[Category]],Reference_data!B:B,Table1[[#This Row],[Sub_Category]])&gt;0,"Valid","Invalid")</f>
        <v>Valid</v>
      </c>
      <c r="V147" t="str">
        <f>_xlfn.XLOOKUP([1]!Table1[[#This Row],[Sub_Category]],[1]Reference_data!B:B,[1]Reference_data!A:A)</f>
        <v>Hardware &amp; Mechanical</v>
      </c>
      <c r="W147" t="str">
        <f>IF([1]!Table1[[#This Row],[Category]]=[1]!Table1[[#This Row],[Expected_Category ]],"Valid", "invalid")</f>
        <v>Valid</v>
      </c>
    </row>
    <row r="148" spans="1:23">
      <c r="A148" t="s">
        <v>511</v>
      </c>
      <c r="B148" t="s">
        <v>75</v>
      </c>
      <c r="C148" s="31" t="s">
        <v>512</v>
      </c>
      <c r="D148" s="32" t="s">
        <v>513</v>
      </c>
      <c r="E148" t="s">
        <v>21</v>
      </c>
      <c r="F148" t="s">
        <v>22</v>
      </c>
      <c r="G148" t="s">
        <v>46</v>
      </c>
      <c r="H148" t="s">
        <v>70</v>
      </c>
      <c r="I148" t="s">
        <v>25</v>
      </c>
      <c r="J148">
        <v>14</v>
      </c>
      <c r="K148">
        <v>8</v>
      </c>
      <c r="L148" t="s">
        <v>27</v>
      </c>
      <c r="M148">
        <v>2</v>
      </c>
      <c r="N148" t="s">
        <v>26</v>
      </c>
      <c r="O148" t="s">
        <v>28</v>
      </c>
      <c r="P148" t="s">
        <v>1670</v>
      </c>
      <c r="Q148" t="s">
        <v>101</v>
      </c>
      <c r="R148" t="str">
        <f>IF(Table1[[#This Row],[Resolution_Time_Hrs]]&gt;Table1[[#This Row],[SLA_Target_Hrs]],"No", "Yes")</f>
        <v>No</v>
      </c>
      <c r="S148" t="str">
        <f>IF(Table1[[#This Row],[Calculated_SLA]]=Table1[[#This Row],[SLA_Met]],"Match","Mismatch")</f>
        <v>Match</v>
      </c>
      <c r="T148">
        <f>IF(Table1[[#This Row],[Calculated_SLA]]="Yes",1,0)</f>
        <v>0</v>
      </c>
      <c r="U148" t="str">
        <f>IF(COUNTIFS(Reference_data!A:A,Table1[[#This Row],[Category]],Reference_data!B:B,Table1[[#This Row],[Sub_Category]])&gt;0,"Valid","Invalid")</f>
        <v>Valid</v>
      </c>
      <c r="V148" t="str">
        <f>_xlfn.XLOOKUP([1]!Table1[[#This Row],[Sub_Category]],[1]Reference_data!B:B,[1]Reference_data!A:A)</f>
        <v>Connectivity &amp; Software</v>
      </c>
      <c r="W148" t="str">
        <f>IF([1]!Table1[[#This Row],[Category]]=[1]!Table1[[#This Row],[Expected_Category ]],"Valid", "invalid")</f>
        <v>Valid</v>
      </c>
    </row>
    <row r="149" spans="1:23">
      <c r="A149" t="s">
        <v>514</v>
      </c>
      <c r="B149" t="s">
        <v>32</v>
      </c>
      <c r="C149" s="31" t="s">
        <v>515</v>
      </c>
      <c r="D149" s="32" t="s">
        <v>516</v>
      </c>
      <c r="E149" t="s">
        <v>35</v>
      </c>
      <c r="F149" t="s">
        <v>127</v>
      </c>
      <c r="G149" t="s">
        <v>54</v>
      </c>
      <c r="H149" t="s">
        <v>64</v>
      </c>
      <c r="I149" t="s">
        <v>56</v>
      </c>
      <c r="J149">
        <v>7</v>
      </c>
      <c r="K149">
        <v>4</v>
      </c>
      <c r="L149" t="s">
        <v>27</v>
      </c>
      <c r="M149">
        <v>2</v>
      </c>
      <c r="N149" t="s">
        <v>27</v>
      </c>
      <c r="O149" t="s">
        <v>28</v>
      </c>
      <c r="P149" t="s">
        <v>57</v>
      </c>
      <c r="Q149" t="s">
        <v>58</v>
      </c>
      <c r="R149" t="str">
        <f>IF(Table1[[#This Row],[Resolution_Time_Hrs]]&gt;Table1[[#This Row],[SLA_Target_Hrs]],"No", "Yes")</f>
        <v>No</v>
      </c>
      <c r="S149" t="str">
        <f>IF(Table1[[#This Row],[Calculated_SLA]]=Table1[[#This Row],[SLA_Met]],"Match","Mismatch")</f>
        <v>Match</v>
      </c>
      <c r="T149">
        <f>IF(Table1[[#This Row],[Calculated_SLA]]="Yes",1,0)</f>
        <v>0</v>
      </c>
      <c r="U149" t="str">
        <f>IF(COUNTIFS(Reference_data!A:A,Table1[[#This Row],[Category]],Reference_data!B:B,Table1[[#This Row],[Sub_Category]])&gt;0,"Valid","Invalid")</f>
        <v>Valid</v>
      </c>
      <c r="V149" t="str">
        <f>_xlfn.XLOOKUP([1]!Table1[[#This Row],[Sub_Category]],[1]Reference_data!B:B,[1]Reference_data!A:A)</f>
        <v>Print Quality</v>
      </c>
      <c r="W149" t="str">
        <f>IF([1]!Table1[[#This Row],[Category]]=[1]!Table1[[#This Row],[Expected_Category ]],"Valid", "invalid")</f>
        <v>Valid</v>
      </c>
    </row>
    <row r="150" spans="1:23">
      <c r="A150" t="s">
        <v>517</v>
      </c>
      <c r="B150" t="s">
        <v>50</v>
      </c>
      <c r="C150" s="31" t="s">
        <v>518</v>
      </c>
      <c r="D150" s="32" t="s">
        <v>519</v>
      </c>
      <c r="E150" t="s">
        <v>78</v>
      </c>
      <c r="F150" t="s">
        <v>79</v>
      </c>
      <c r="G150" t="s">
        <v>23</v>
      </c>
      <c r="H150" t="s">
        <v>234</v>
      </c>
      <c r="I150" t="s">
        <v>80</v>
      </c>
      <c r="J150">
        <v>8.9</v>
      </c>
      <c r="K150">
        <v>24</v>
      </c>
      <c r="L150" t="s">
        <v>26</v>
      </c>
      <c r="M150">
        <v>4</v>
      </c>
      <c r="N150" t="s">
        <v>27</v>
      </c>
      <c r="O150" t="s">
        <v>28</v>
      </c>
      <c r="P150" t="s">
        <v>29</v>
      </c>
      <c r="Q150" t="s">
        <v>58</v>
      </c>
      <c r="R150" t="str">
        <f>IF(Table1[[#This Row],[Resolution_Time_Hrs]]&gt;Table1[[#This Row],[SLA_Target_Hrs]],"No", "Yes")</f>
        <v>Yes</v>
      </c>
      <c r="S150" t="str">
        <f>IF(Table1[[#This Row],[Calculated_SLA]]=Table1[[#This Row],[SLA_Met]],"Match","Mismatch")</f>
        <v>Match</v>
      </c>
      <c r="T150">
        <f>IF(Table1[[#This Row],[Calculated_SLA]]="Yes",1,0)</f>
        <v>1</v>
      </c>
      <c r="U150" t="str">
        <f>IF(COUNTIFS(Reference_data!A:A,Table1[[#This Row],[Category]],Reference_data!B:B,Table1[[#This Row],[Sub_Category]])&gt;0,"Valid","Invalid")</f>
        <v>Valid</v>
      </c>
      <c r="V150" t="str">
        <f>_xlfn.XLOOKUP([1]!Table1[[#This Row],[Sub_Category]],[1]Reference_data!B:B,[1]Reference_data!A:A)</f>
        <v>Hardware &amp; Mechanical</v>
      </c>
      <c r="W150" t="str">
        <f>IF([1]!Table1[[#This Row],[Category]]=[1]!Table1[[#This Row],[Expected_Category ]],"Valid", "invalid")</f>
        <v>Valid</v>
      </c>
    </row>
    <row r="151" spans="1:23">
      <c r="A151" t="s">
        <v>520</v>
      </c>
      <c r="B151" t="s">
        <v>135</v>
      </c>
      <c r="C151" s="31" t="s">
        <v>521</v>
      </c>
      <c r="D151" s="32" t="s">
        <v>522</v>
      </c>
      <c r="E151" t="s">
        <v>21</v>
      </c>
      <c r="F151" t="s">
        <v>63</v>
      </c>
      <c r="G151" t="s">
        <v>54</v>
      </c>
      <c r="H151" t="s">
        <v>47</v>
      </c>
      <c r="I151" t="s">
        <v>25</v>
      </c>
      <c r="J151">
        <v>9.1999999999999993</v>
      </c>
      <c r="K151">
        <v>4</v>
      </c>
      <c r="L151" t="s">
        <v>27</v>
      </c>
      <c r="M151">
        <v>1</v>
      </c>
      <c r="N151" t="s">
        <v>27</v>
      </c>
      <c r="O151" t="s">
        <v>28</v>
      </c>
      <c r="P151" t="s">
        <v>1670</v>
      </c>
      <c r="Q151" t="s">
        <v>39</v>
      </c>
      <c r="R151" t="str">
        <f>IF(Table1[[#This Row],[Resolution_Time_Hrs]]&gt;Table1[[#This Row],[SLA_Target_Hrs]],"No", "Yes")</f>
        <v>No</v>
      </c>
      <c r="S151" t="str">
        <f>IF(Table1[[#This Row],[Calculated_SLA]]=Table1[[#This Row],[SLA_Met]],"Match","Mismatch")</f>
        <v>Match</v>
      </c>
      <c r="T151">
        <f>IF(Table1[[#This Row],[Calculated_SLA]]="Yes",1,0)</f>
        <v>0</v>
      </c>
      <c r="U151" t="str">
        <f>IF(COUNTIFS(Reference_data!A:A,Table1[[#This Row],[Category]],Reference_data!B:B,Table1[[#This Row],[Sub_Category]])&gt;0,"Valid","Invalid")</f>
        <v>Valid</v>
      </c>
      <c r="V151" t="str">
        <f>_xlfn.XLOOKUP([1]!Table1[[#This Row],[Sub_Category]],[1]Reference_data!B:B,[1]Reference_data!A:A)</f>
        <v>Connectivity &amp; Software</v>
      </c>
      <c r="W151" t="str">
        <f>IF([1]!Table1[[#This Row],[Category]]=[1]!Table1[[#This Row],[Expected_Category ]],"Valid", "invalid")</f>
        <v>Valid</v>
      </c>
    </row>
    <row r="152" spans="1:23">
      <c r="A152" t="s">
        <v>523</v>
      </c>
      <c r="B152" t="s">
        <v>75</v>
      </c>
      <c r="C152" s="31" t="s">
        <v>524</v>
      </c>
      <c r="D152" s="32" t="s">
        <v>525</v>
      </c>
      <c r="E152" t="s">
        <v>35</v>
      </c>
      <c r="F152" t="s">
        <v>36</v>
      </c>
      <c r="G152" t="s">
        <v>46</v>
      </c>
      <c r="H152" t="s">
        <v>86</v>
      </c>
      <c r="I152" t="s">
        <v>38</v>
      </c>
      <c r="J152">
        <v>5.2</v>
      </c>
      <c r="K152">
        <v>8</v>
      </c>
      <c r="L152" t="s">
        <v>26</v>
      </c>
      <c r="M152">
        <v>5</v>
      </c>
      <c r="N152" t="s">
        <v>27</v>
      </c>
      <c r="O152" t="s">
        <v>28</v>
      </c>
      <c r="P152" t="s">
        <v>29</v>
      </c>
      <c r="Q152" t="s">
        <v>101</v>
      </c>
      <c r="R152" t="str">
        <f>IF(Table1[[#This Row],[Resolution_Time_Hrs]]&gt;Table1[[#This Row],[SLA_Target_Hrs]],"No", "Yes")</f>
        <v>Yes</v>
      </c>
      <c r="S152" t="str">
        <f>IF(Table1[[#This Row],[Calculated_SLA]]=Table1[[#This Row],[SLA_Met]],"Match","Mismatch")</f>
        <v>Match</v>
      </c>
      <c r="T152">
        <f>IF(Table1[[#This Row],[Calculated_SLA]]="Yes",1,0)</f>
        <v>1</v>
      </c>
      <c r="U152" t="str">
        <f>IF(COUNTIFS(Reference_data!A:A,Table1[[#This Row],[Category]],Reference_data!B:B,Table1[[#This Row],[Sub_Category]])&gt;0,"Valid","Invalid")</f>
        <v>Valid</v>
      </c>
      <c r="V152" t="str">
        <f>_xlfn.XLOOKUP([1]!Table1[[#This Row],[Sub_Category]],[1]Reference_data!B:B,[1]Reference_data!A:A)</f>
        <v>Print Quality</v>
      </c>
      <c r="W152" t="str">
        <f>IF([1]!Table1[[#This Row],[Category]]=[1]!Table1[[#This Row],[Expected_Category ]],"Valid", "invalid")</f>
        <v>Valid</v>
      </c>
    </row>
    <row r="153" spans="1:23">
      <c r="A153" t="s">
        <v>526</v>
      </c>
      <c r="B153" t="s">
        <v>32</v>
      </c>
      <c r="C153" s="31" t="s">
        <v>527</v>
      </c>
      <c r="D153" s="32" t="s">
        <v>528</v>
      </c>
      <c r="E153" t="s">
        <v>21</v>
      </c>
      <c r="F153" t="s">
        <v>69</v>
      </c>
      <c r="G153" t="s">
        <v>46</v>
      </c>
      <c r="H153" t="s">
        <v>64</v>
      </c>
      <c r="I153" t="s">
        <v>25</v>
      </c>
      <c r="J153">
        <v>8.5</v>
      </c>
      <c r="K153">
        <v>8</v>
      </c>
      <c r="L153" t="s">
        <v>27</v>
      </c>
      <c r="M153">
        <v>1</v>
      </c>
      <c r="N153" t="s">
        <v>26</v>
      </c>
      <c r="O153" t="s">
        <v>28</v>
      </c>
      <c r="P153" t="s">
        <v>1670</v>
      </c>
      <c r="Q153" t="s">
        <v>39</v>
      </c>
      <c r="R153" t="str">
        <f>IF(Table1[[#This Row],[Resolution_Time_Hrs]]&gt;Table1[[#This Row],[SLA_Target_Hrs]],"No", "Yes")</f>
        <v>No</v>
      </c>
      <c r="S153" t="str">
        <f>IF(Table1[[#This Row],[Calculated_SLA]]=Table1[[#This Row],[SLA_Met]],"Match","Mismatch")</f>
        <v>Match</v>
      </c>
      <c r="T153">
        <f>IF(Table1[[#This Row],[Calculated_SLA]]="Yes",1,0)</f>
        <v>0</v>
      </c>
      <c r="U153" t="str">
        <f>IF(COUNTIFS(Reference_data!A:A,Table1[[#This Row],[Category]],Reference_data!B:B,Table1[[#This Row],[Sub_Category]])&gt;0,"Valid","Invalid")</f>
        <v>Valid</v>
      </c>
      <c r="V153" t="str">
        <f>_xlfn.XLOOKUP([1]!Table1[[#This Row],[Sub_Category]],[1]Reference_data!B:B,[1]Reference_data!A:A)</f>
        <v>Connectivity &amp; Software</v>
      </c>
      <c r="W153" t="str">
        <f>IF([1]!Table1[[#This Row],[Category]]=[1]!Table1[[#This Row],[Expected_Category ]],"Valid", "invalid")</f>
        <v>Valid</v>
      </c>
    </row>
    <row r="154" spans="1:23">
      <c r="A154" t="s">
        <v>529</v>
      </c>
      <c r="B154" t="s">
        <v>106</v>
      </c>
      <c r="C154" s="31" t="s">
        <v>530</v>
      </c>
      <c r="D154" s="32" t="s">
        <v>531</v>
      </c>
      <c r="E154" t="s">
        <v>35</v>
      </c>
      <c r="F154" t="s">
        <v>127</v>
      </c>
      <c r="G154" t="s">
        <v>23</v>
      </c>
      <c r="H154" t="s">
        <v>24</v>
      </c>
      <c r="I154" t="s">
        <v>56</v>
      </c>
      <c r="J154">
        <v>10.4</v>
      </c>
      <c r="K154">
        <v>24</v>
      </c>
      <c r="L154" t="s">
        <v>26</v>
      </c>
      <c r="M154">
        <v>5</v>
      </c>
      <c r="N154" t="s">
        <v>27</v>
      </c>
      <c r="O154" t="s">
        <v>28</v>
      </c>
      <c r="P154" t="s">
        <v>29</v>
      </c>
      <c r="Q154" t="s">
        <v>30</v>
      </c>
      <c r="R154" t="str">
        <f>IF(Table1[[#This Row],[Resolution_Time_Hrs]]&gt;Table1[[#This Row],[SLA_Target_Hrs]],"No", "Yes")</f>
        <v>Yes</v>
      </c>
      <c r="S154" t="str">
        <f>IF(Table1[[#This Row],[Calculated_SLA]]=Table1[[#This Row],[SLA_Met]],"Match","Mismatch")</f>
        <v>Match</v>
      </c>
      <c r="T154">
        <f>IF(Table1[[#This Row],[Calculated_SLA]]="Yes",1,0)</f>
        <v>1</v>
      </c>
      <c r="U154" t="str">
        <f>IF(COUNTIFS(Reference_data!A:A,Table1[[#This Row],[Category]],Reference_data!B:B,Table1[[#This Row],[Sub_Category]])&gt;0,"Valid","Invalid")</f>
        <v>Valid</v>
      </c>
      <c r="V154" t="str">
        <f>_xlfn.XLOOKUP([1]!Table1[[#This Row],[Sub_Category]],[1]Reference_data!B:B,[1]Reference_data!A:A)</f>
        <v>Print Quality</v>
      </c>
      <c r="W154" t="str">
        <f>IF([1]!Table1[[#This Row],[Category]]=[1]!Table1[[#This Row],[Expected_Category ]],"Valid", "invalid")</f>
        <v>Valid</v>
      </c>
    </row>
    <row r="155" spans="1:23">
      <c r="A155" t="s">
        <v>532</v>
      </c>
      <c r="B155" t="s">
        <v>106</v>
      </c>
      <c r="C155" s="31" t="s">
        <v>533</v>
      </c>
      <c r="D155" s="32" t="s">
        <v>534</v>
      </c>
      <c r="E155" t="s">
        <v>21</v>
      </c>
      <c r="F155" t="s">
        <v>22</v>
      </c>
      <c r="G155" t="s">
        <v>23</v>
      </c>
      <c r="H155" t="s">
        <v>91</v>
      </c>
      <c r="I155" t="s">
        <v>25</v>
      </c>
      <c r="J155">
        <v>13.9</v>
      </c>
      <c r="K155">
        <v>24</v>
      </c>
      <c r="L155" t="s">
        <v>26</v>
      </c>
      <c r="M155">
        <v>5</v>
      </c>
      <c r="N155" t="s">
        <v>27</v>
      </c>
      <c r="O155" t="s">
        <v>28</v>
      </c>
      <c r="P155" t="s">
        <v>29</v>
      </c>
      <c r="Q155" t="s">
        <v>30</v>
      </c>
      <c r="R155" t="str">
        <f>IF(Table1[[#This Row],[Resolution_Time_Hrs]]&gt;Table1[[#This Row],[SLA_Target_Hrs]],"No", "Yes")</f>
        <v>Yes</v>
      </c>
      <c r="S155" t="str">
        <f>IF(Table1[[#This Row],[Calculated_SLA]]=Table1[[#This Row],[SLA_Met]],"Match","Mismatch")</f>
        <v>Match</v>
      </c>
      <c r="T155">
        <f>IF(Table1[[#This Row],[Calculated_SLA]]="Yes",1,0)</f>
        <v>1</v>
      </c>
      <c r="U155" t="str">
        <f>IF(COUNTIFS(Reference_data!A:A,Table1[[#This Row],[Category]],Reference_data!B:B,Table1[[#This Row],[Sub_Category]])&gt;0,"Valid","Invalid")</f>
        <v>Valid</v>
      </c>
      <c r="V155" t="str">
        <f>_xlfn.XLOOKUP([1]!Table1[[#This Row],[Sub_Category]],[1]Reference_data!B:B,[1]Reference_data!A:A)</f>
        <v>Connectivity &amp; Software</v>
      </c>
      <c r="W155" t="str">
        <f>IF([1]!Table1[[#This Row],[Category]]=[1]!Table1[[#This Row],[Expected_Category ]],"Valid", "invalid")</f>
        <v>Valid</v>
      </c>
    </row>
    <row r="156" spans="1:23">
      <c r="A156" t="s">
        <v>535</v>
      </c>
      <c r="B156" t="s">
        <v>121</v>
      </c>
      <c r="C156" s="31" t="s">
        <v>536</v>
      </c>
      <c r="D156" s="32" t="s">
        <v>537</v>
      </c>
      <c r="E156" t="s">
        <v>21</v>
      </c>
      <c r="F156" t="s">
        <v>22</v>
      </c>
      <c r="G156" t="s">
        <v>23</v>
      </c>
      <c r="H156" t="s">
        <v>91</v>
      </c>
      <c r="I156" t="s">
        <v>25</v>
      </c>
      <c r="J156">
        <v>12.3</v>
      </c>
      <c r="K156">
        <v>24</v>
      </c>
      <c r="L156" t="s">
        <v>26</v>
      </c>
      <c r="M156">
        <v>5</v>
      </c>
      <c r="N156" t="s">
        <v>27</v>
      </c>
      <c r="O156" t="s">
        <v>28</v>
      </c>
      <c r="P156" t="s">
        <v>29</v>
      </c>
      <c r="Q156" t="s">
        <v>30</v>
      </c>
      <c r="R156" t="str">
        <f>IF(Table1[[#This Row],[Resolution_Time_Hrs]]&gt;Table1[[#This Row],[SLA_Target_Hrs]],"No", "Yes")</f>
        <v>Yes</v>
      </c>
      <c r="S156" t="str">
        <f>IF(Table1[[#This Row],[Calculated_SLA]]=Table1[[#This Row],[SLA_Met]],"Match","Mismatch")</f>
        <v>Match</v>
      </c>
      <c r="T156">
        <f>IF(Table1[[#This Row],[Calculated_SLA]]="Yes",1,0)</f>
        <v>1</v>
      </c>
      <c r="U156" t="str">
        <f>IF(COUNTIFS(Reference_data!A:A,Table1[[#This Row],[Category]],Reference_data!B:B,Table1[[#This Row],[Sub_Category]])&gt;0,"Valid","Invalid")</f>
        <v>Valid</v>
      </c>
      <c r="V156" t="str">
        <f>_xlfn.XLOOKUP([1]!Table1[[#This Row],[Sub_Category]],[1]Reference_data!B:B,[1]Reference_data!A:A)</f>
        <v>Connectivity &amp; Software</v>
      </c>
      <c r="W156" t="str">
        <f>IF([1]!Table1[[#This Row],[Category]]=[1]!Table1[[#This Row],[Expected_Category ]],"Valid", "invalid")</f>
        <v>Valid</v>
      </c>
    </row>
    <row r="157" spans="1:23">
      <c r="A157" t="s">
        <v>538</v>
      </c>
      <c r="B157" t="s">
        <v>106</v>
      </c>
      <c r="C157" s="31" t="s">
        <v>539</v>
      </c>
      <c r="D157" s="32" t="s">
        <v>540</v>
      </c>
      <c r="E157" t="s">
        <v>78</v>
      </c>
      <c r="F157" t="s">
        <v>166</v>
      </c>
      <c r="G157" t="s">
        <v>46</v>
      </c>
      <c r="H157" t="s">
        <v>91</v>
      </c>
      <c r="I157" t="s">
        <v>80</v>
      </c>
      <c r="J157">
        <v>8.6</v>
      </c>
      <c r="K157">
        <v>8</v>
      </c>
      <c r="L157" t="s">
        <v>27</v>
      </c>
      <c r="M157">
        <v>2</v>
      </c>
      <c r="N157" t="s">
        <v>26</v>
      </c>
      <c r="O157" t="s">
        <v>28</v>
      </c>
      <c r="P157" t="s">
        <v>57</v>
      </c>
      <c r="Q157" t="s">
        <v>30</v>
      </c>
      <c r="R157" t="str">
        <f>IF(Table1[[#This Row],[Resolution_Time_Hrs]]&gt;Table1[[#This Row],[SLA_Target_Hrs]],"No", "Yes")</f>
        <v>No</v>
      </c>
      <c r="S157" t="str">
        <f>IF(Table1[[#This Row],[Calculated_SLA]]=Table1[[#This Row],[SLA_Met]],"Match","Mismatch")</f>
        <v>Match</v>
      </c>
      <c r="T157">
        <f>IF(Table1[[#This Row],[Calculated_SLA]]="Yes",1,0)</f>
        <v>0</v>
      </c>
      <c r="U157" t="str">
        <f>IF(COUNTIFS(Reference_data!A:A,Table1[[#This Row],[Category]],Reference_data!B:B,Table1[[#This Row],[Sub_Category]])&gt;0,"Valid","Invalid")</f>
        <v>Valid</v>
      </c>
      <c r="V157" t="str">
        <f>_xlfn.XLOOKUP([1]!Table1[[#This Row],[Sub_Category]],[1]Reference_data!B:B,[1]Reference_data!A:A)</f>
        <v>Hardware &amp; Mechanical</v>
      </c>
      <c r="W157" t="str">
        <f>IF([1]!Table1[[#This Row],[Category]]=[1]!Table1[[#This Row],[Expected_Category ]],"Valid", "invalid")</f>
        <v>Valid</v>
      </c>
    </row>
    <row r="158" spans="1:23">
      <c r="A158" t="s">
        <v>541</v>
      </c>
      <c r="B158" t="s">
        <v>32</v>
      </c>
      <c r="C158" s="31" t="s">
        <v>542</v>
      </c>
      <c r="D158" s="32" t="s">
        <v>543</v>
      </c>
      <c r="E158" t="s">
        <v>21</v>
      </c>
      <c r="F158" t="s">
        <v>69</v>
      </c>
      <c r="G158" t="s">
        <v>23</v>
      </c>
      <c r="H158" t="s">
        <v>70</v>
      </c>
      <c r="I158" t="s">
        <v>25</v>
      </c>
      <c r="J158">
        <v>14.3</v>
      </c>
      <c r="K158">
        <v>24</v>
      </c>
      <c r="L158" t="s">
        <v>26</v>
      </c>
      <c r="M158">
        <v>4</v>
      </c>
      <c r="N158" t="s">
        <v>27</v>
      </c>
      <c r="O158" t="s">
        <v>28</v>
      </c>
      <c r="P158" t="s">
        <v>29</v>
      </c>
      <c r="Q158" t="s">
        <v>101</v>
      </c>
      <c r="R158" t="str">
        <f>IF(Table1[[#This Row],[Resolution_Time_Hrs]]&gt;Table1[[#This Row],[SLA_Target_Hrs]],"No", "Yes")</f>
        <v>Yes</v>
      </c>
      <c r="S158" t="str">
        <f>IF(Table1[[#This Row],[Calculated_SLA]]=Table1[[#This Row],[SLA_Met]],"Match","Mismatch")</f>
        <v>Match</v>
      </c>
      <c r="T158">
        <f>IF(Table1[[#This Row],[Calculated_SLA]]="Yes",1,0)</f>
        <v>1</v>
      </c>
      <c r="U158" t="str">
        <f>IF(COUNTIFS(Reference_data!A:A,Table1[[#This Row],[Category]],Reference_data!B:B,Table1[[#This Row],[Sub_Category]])&gt;0,"Valid","Invalid")</f>
        <v>Valid</v>
      </c>
      <c r="V158" t="str">
        <f>_xlfn.XLOOKUP([1]!Table1[[#This Row],[Sub_Category]],[1]Reference_data!B:B,[1]Reference_data!A:A)</f>
        <v>Connectivity &amp; Software</v>
      </c>
      <c r="W158" t="str">
        <f>IF([1]!Table1[[#This Row],[Category]]=[1]!Table1[[#This Row],[Expected_Category ]],"Valid", "invalid")</f>
        <v>Valid</v>
      </c>
    </row>
    <row r="159" spans="1:23">
      <c r="A159" t="s">
        <v>544</v>
      </c>
      <c r="B159" t="s">
        <v>60</v>
      </c>
      <c r="C159" s="31" t="s">
        <v>545</v>
      </c>
      <c r="D159" s="32" t="s">
        <v>546</v>
      </c>
      <c r="E159" t="s">
        <v>84</v>
      </c>
      <c r="F159" t="s">
        <v>85</v>
      </c>
      <c r="G159" t="s">
        <v>23</v>
      </c>
      <c r="H159" t="s">
        <v>55</v>
      </c>
      <c r="I159" t="s">
        <v>87</v>
      </c>
      <c r="J159">
        <v>5.3</v>
      </c>
      <c r="K159">
        <v>24</v>
      </c>
      <c r="L159" t="s">
        <v>26</v>
      </c>
      <c r="M159">
        <v>4</v>
      </c>
      <c r="N159" t="s">
        <v>27</v>
      </c>
      <c r="O159" t="s">
        <v>28</v>
      </c>
      <c r="P159" t="s">
        <v>29</v>
      </c>
      <c r="Q159" t="s">
        <v>101</v>
      </c>
      <c r="R159" t="str">
        <f>IF(Table1[[#This Row],[Resolution_Time_Hrs]]&gt;Table1[[#This Row],[SLA_Target_Hrs]],"No", "Yes")</f>
        <v>Yes</v>
      </c>
      <c r="S159" t="str">
        <f>IF(Table1[[#This Row],[Calculated_SLA]]=Table1[[#This Row],[SLA_Met]],"Match","Mismatch")</f>
        <v>Match</v>
      </c>
      <c r="T159">
        <f>IF(Table1[[#This Row],[Calculated_SLA]]="Yes",1,0)</f>
        <v>1</v>
      </c>
      <c r="U159" t="str">
        <f>IF(COUNTIFS(Reference_data!A:A,Table1[[#This Row],[Category]],Reference_data!B:B,Table1[[#This Row],[Sub_Category]])&gt;0,"Valid","Invalid")</f>
        <v>Valid</v>
      </c>
      <c r="V159" t="str">
        <f>_xlfn.XLOOKUP([1]!Table1[[#This Row],[Sub_Category]],[1]Reference_data!B:B,[1]Reference_data!A:A)</f>
        <v>Supplies &amp; Logistics</v>
      </c>
      <c r="W159" t="str">
        <f>IF([1]!Table1[[#This Row],[Category]]=[1]!Table1[[#This Row],[Expected_Category ]],"Valid", "invalid")</f>
        <v>Valid</v>
      </c>
    </row>
    <row r="160" spans="1:23">
      <c r="A160" t="s">
        <v>547</v>
      </c>
      <c r="B160" t="s">
        <v>18</v>
      </c>
      <c r="C160" s="31" t="s">
        <v>548</v>
      </c>
      <c r="D160" s="32" t="s">
        <v>549</v>
      </c>
      <c r="E160" t="s">
        <v>78</v>
      </c>
      <c r="F160" t="s">
        <v>166</v>
      </c>
      <c r="G160" t="s">
        <v>54</v>
      </c>
      <c r="H160" t="s">
        <v>37</v>
      </c>
      <c r="I160" t="s">
        <v>80</v>
      </c>
      <c r="J160">
        <v>17</v>
      </c>
      <c r="K160">
        <v>4</v>
      </c>
      <c r="L160" t="s">
        <v>27</v>
      </c>
      <c r="M160">
        <v>2</v>
      </c>
      <c r="N160" t="s">
        <v>26</v>
      </c>
      <c r="O160" t="s">
        <v>28</v>
      </c>
      <c r="P160" t="s">
        <v>1670</v>
      </c>
      <c r="Q160" t="s">
        <v>101</v>
      </c>
      <c r="R160" t="str">
        <f>IF(Table1[[#This Row],[Resolution_Time_Hrs]]&gt;Table1[[#This Row],[SLA_Target_Hrs]],"No", "Yes")</f>
        <v>No</v>
      </c>
      <c r="S160" t="str">
        <f>IF(Table1[[#This Row],[Calculated_SLA]]=Table1[[#This Row],[SLA_Met]],"Match","Mismatch")</f>
        <v>Match</v>
      </c>
      <c r="T160">
        <f>IF(Table1[[#This Row],[Calculated_SLA]]="Yes",1,0)</f>
        <v>0</v>
      </c>
      <c r="U160" t="str">
        <f>IF(COUNTIFS(Reference_data!A:A,Table1[[#This Row],[Category]],Reference_data!B:B,Table1[[#This Row],[Sub_Category]])&gt;0,"Valid","Invalid")</f>
        <v>Valid</v>
      </c>
      <c r="V160" t="str">
        <f>_xlfn.XLOOKUP([1]!Table1[[#This Row],[Sub_Category]],[1]Reference_data!B:B,[1]Reference_data!A:A)</f>
        <v>Hardware &amp; Mechanical</v>
      </c>
      <c r="W160" t="str">
        <f>IF([1]!Table1[[#This Row],[Category]]=[1]!Table1[[#This Row],[Expected_Category ]],"Valid", "invalid")</f>
        <v>Valid</v>
      </c>
    </row>
    <row r="161" spans="1:23">
      <c r="A161" t="s">
        <v>550</v>
      </c>
      <c r="B161" t="s">
        <v>60</v>
      </c>
      <c r="C161" s="31" t="s">
        <v>551</v>
      </c>
      <c r="D161" s="32" t="s">
        <v>552</v>
      </c>
      <c r="E161" t="s">
        <v>78</v>
      </c>
      <c r="F161" t="s">
        <v>79</v>
      </c>
      <c r="G161" t="s">
        <v>54</v>
      </c>
      <c r="H161" t="s">
        <v>37</v>
      </c>
      <c r="I161" t="s">
        <v>80</v>
      </c>
      <c r="J161">
        <v>13.8</v>
      </c>
      <c r="K161">
        <v>4</v>
      </c>
      <c r="L161" t="s">
        <v>27</v>
      </c>
      <c r="M161">
        <v>3</v>
      </c>
      <c r="N161" t="s">
        <v>27</v>
      </c>
      <c r="O161" t="s">
        <v>28</v>
      </c>
      <c r="P161" t="s">
        <v>1670</v>
      </c>
      <c r="Q161" t="s">
        <v>101</v>
      </c>
      <c r="R161" t="str">
        <f>IF(Table1[[#This Row],[Resolution_Time_Hrs]]&gt;Table1[[#This Row],[SLA_Target_Hrs]],"No", "Yes")</f>
        <v>No</v>
      </c>
      <c r="S161" t="str">
        <f>IF(Table1[[#This Row],[Calculated_SLA]]=Table1[[#This Row],[SLA_Met]],"Match","Mismatch")</f>
        <v>Match</v>
      </c>
      <c r="T161">
        <f>IF(Table1[[#This Row],[Calculated_SLA]]="Yes",1,0)</f>
        <v>0</v>
      </c>
      <c r="U161" t="str">
        <f>IF(COUNTIFS(Reference_data!A:A,Table1[[#This Row],[Category]],Reference_data!B:B,Table1[[#This Row],[Sub_Category]])&gt;0,"Valid","Invalid")</f>
        <v>Valid</v>
      </c>
      <c r="V161" t="str">
        <f>_xlfn.XLOOKUP([1]!Table1[[#This Row],[Sub_Category]],[1]Reference_data!B:B,[1]Reference_data!A:A)</f>
        <v>Hardware &amp; Mechanical</v>
      </c>
      <c r="W161" t="str">
        <f>IF([1]!Table1[[#This Row],[Category]]=[1]!Table1[[#This Row],[Expected_Category ]],"Valid", "invalid")</f>
        <v>Valid</v>
      </c>
    </row>
    <row r="162" spans="1:23">
      <c r="A162" t="s">
        <v>553</v>
      </c>
      <c r="B162" t="s">
        <v>106</v>
      </c>
      <c r="C162" s="31" t="s">
        <v>554</v>
      </c>
      <c r="D162" s="32" t="s">
        <v>555</v>
      </c>
      <c r="E162" t="s">
        <v>78</v>
      </c>
      <c r="F162" t="s">
        <v>79</v>
      </c>
      <c r="G162" t="s">
        <v>23</v>
      </c>
      <c r="H162" t="s">
        <v>91</v>
      </c>
      <c r="I162" t="s">
        <v>80</v>
      </c>
      <c r="J162">
        <v>15.4</v>
      </c>
      <c r="K162">
        <v>24</v>
      </c>
      <c r="L162" t="s">
        <v>26</v>
      </c>
      <c r="M162">
        <v>4</v>
      </c>
      <c r="N162" t="s">
        <v>27</v>
      </c>
      <c r="O162" t="s">
        <v>28</v>
      </c>
      <c r="P162" t="s">
        <v>29</v>
      </c>
      <c r="Q162" t="s">
        <v>30</v>
      </c>
      <c r="R162" t="str">
        <f>IF(Table1[[#This Row],[Resolution_Time_Hrs]]&gt;Table1[[#This Row],[SLA_Target_Hrs]],"No", "Yes")</f>
        <v>Yes</v>
      </c>
      <c r="S162" t="str">
        <f>IF(Table1[[#This Row],[Calculated_SLA]]=Table1[[#This Row],[SLA_Met]],"Match","Mismatch")</f>
        <v>Match</v>
      </c>
      <c r="T162">
        <f>IF(Table1[[#This Row],[Calculated_SLA]]="Yes",1,0)</f>
        <v>1</v>
      </c>
      <c r="U162" t="str">
        <f>IF(COUNTIFS(Reference_data!A:A,Table1[[#This Row],[Category]],Reference_data!B:B,Table1[[#This Row],[Sub_Category]])&gt;0,"Valid","Invalid")</f>
        <v>Valid</v>
      </c>
      <c r="V162" t="str">
        <f>_xlfn.XLOOKUP([1]!Table1[[#This Row],[Sub_Category]],[1]Reference_data!B:B,[1]Reference_data!A:A)</f>
        <v>Hardware &amp; Mechanical</v>
      </c>
      <c r="W162" t="str">
        <f>IF([1]!Table1[[#This Row],[Category]]=[1]!Table1[[#This Row],[Expected_Category ]],"Valid", "invalid")</f>
        <v>Valid</v>
      </c>
    </row>
    <row r="163" spans="1:23">
      <c r="A163" t="s">
        <v>556</v>
      </c>
      <c r="B163" t="s">
        <v>32</v>
      </c>
      <c r="C163" s="31" t="s">
        <v>557</v>
      </c>
      <c r="D163" s="32" t="s">
        <v>558</v>
      </c>
      <c r="E163" t="s">
        <v>21</v>
      </c>
      <c r="F163" t="s">
        <v>22</v>
      </c>
      <c r="G163" t="s">
        <v>23</v>
      </c>
      <c r="H163" t="s">
        <v>138</v>
      </c>
      <c r="I163" t="s">
        <v>25</v>
      </c>
      <c r="J163">
        <v>7</v>
      </c>
      <c r="K163">
        <v>24</v>
      </c>
      <c r="L163" t="s">
        <v>27</v>
      </c>
      <c r="M163">
        <v>1</v>
      </c>
      <c r="N163" t="s">
        <v>27</v>
      </c>
      <c r="O163" t="s">
        <v>28</v>
      </c>
      <c r="P163" t="s">
        <v>1670</v>
      </c>
      <c r="Q163" t="s">
        <v>39</v>
      </c>
      <c r="R163" t="str">
        <f>IF(Table1[[#This Row],[Resolution_Time_Hrs]]&gt;Table1[[#This Row],[SLA_Target_Hrs]],"No", "Yes")</f>
        <v>Yes</v>
      </c>
      <c r="S163" t="str">
        <f>IF(Table1[[#This Row],[Calculated_SLA]]=Table1[[#This Row],[SLA_Met]],"Match","Mismatch")</f>
        <v>Mismatch</v>
      </c>
      <c r="T163">
        <f>IF(Table1[[#This Row],[Calculated_SLA]]="Yes",1,0)</f>
        <v>1</v>
      </c>
      <c r="U163" t="str">
        <f>IF(COUNTIFS(Reference_data!A:A,Table1[[#This Row],[Category]],Reference_data!B:B,Table1[[#This Row],[Sub_Category]])&gt;0,"Valid","Invalid")</f>
        <v>Valid</v>
      </c>
      <c r="V163" t="str">
        <f>_xlfn.XLOOKUP([1]!Table1[[#This Row],[Sub_Category]],[1]Reference_data!B:B,[1]Reference_data!A:A)</f>
        <v>Connectivity &amp; Software</v>
      </c>
      <c r="W163" t="str">
        <f>IF([1]!Table1[[#This Row],[Category]]=[1]!Table1[[#This Row],[Expected_Category ]],"Valid", "invalid")</f>
        <v>Valid</v>
      </c>
    </row>
    <row r="164" spans="1:23">
      <c r="A164" t="s">
        <v>559</v>
      </c>
      <c r="B164" t="s">
        <v>135</v>
      </c>
      <c r="C164" s="31" t="s">
        <v>560</v>
      </c>
      <c r="D164" s="32" t="s">
        <v>561</v>
      </c>
      <c r="E164" t="s">
        <v>21</v>
      </c>
      <c r="F164" t="s">
        <v>69</v>
      </c>
      <c r="G164" t="s">
        <v>46</v>
      </c>
      <c r="H164" t="s">
        <v>64</v>
      </c>
      <c r="I164" t="s">
        <v>25</v>
      </c>
      <c r="J164">
        <v>5.2</v>
      </c>
      <c r="K164">
        <v>8</v>
      </c>
      <c r="L164" t="s">
        <v>26</v>
      </c>
      <c r="M164">
        <v>4</v>
      </c>
      <c r="N164" t="s">
        <v>27</v>
      </c>
      <c r="O164" t="s">
        <v>28</v>
      </c>
      <c r="P164" t="s">
        <v>29</v>
      </c>
      <c r="Q164" t="s">
        <v>58</v>
      </c>
      <c r="R164" t="str">
        <f>IF(Table1[[#This Row],[Resolution_Time_Hrs]]&gt;Table1[[#This Row],[SLA_Target_Hrs]],"No", "Yes")</f>
        <v>Yes</v>
      </c>
      <c r="S164" t="str">
        <f>IF(Table1[[#This Row],[Calculated_SLA]]=Table1[[#This Row],[SLA_Met]],"Match","Mismatch")</f>
        <v>Match</v>
      </c>
      <c r="T164">
        <f>IF(Table1[[#This Row],[Calculated_SLA]]="Yes",1,0)</f>
        <v>1</v>
      </c>
      <c r="U164" t="str">
        <f>IF(COUNTIFS(Reference_data!A:A,Table1[[#This Row],[Category]],Reference_data!B:B,Table1[[#This Row],[Sub_Category]])&gt;0,"Valid","Invalid")</f>
        <v>Valid</v>
      </c>
      <c r="V164" t="str">
        <f>_xlfn.XLOOKUP([1]!Table1[[#This Row],[Sub_Category]],[1]Reference_data!B:B,[1]Reference_data!A:A)</f>
        <v>Connectivity &amp; Software</v>
      </c>
      <c r="W164" t="str">
        <f>IF([1]!Table1[[#This Row],[Category]]=[1]!Table1[[#This Row],[Expected_Category ]],"Valid", "invalid")</f>
        <v>Valid</v>
      </c>
    </row>
    <row r="165" spans="1:23">
      <c r="A165" t="s">
        <v>562</v>
      </c>
      <c r="B165" t="s">
        <v>50</v>
      </c>
      <c r="C165" s="31" t="s">
        <v>563</v>
      </c>
      <c r="D165" s="32" t="s">
        <v>564</v>
      </c>
      <c r="E165" t="s">
        <v>78</v>
      </c>
      <c r="F165" t="s">
        <v>166</v>
      </c>
      <c r="G165" t="s">
        <v>23</v>
      </c>
      <c r="H165" t="s">
        <v>91</v>
      </c>
      <c r="I165" t="s">
        <v>80</v>
      </c>
      <c r="J165">
        <v>19.5</v>
      </c>
      <c r="K165">
        <v>24</v>
      </c>
      <c r="L165" t="s">
        <v>26</v>
      </c>
      <c r="M165">
        <v>4</v>
      </c>
      <c r="N165" t="s">
        <v>27</v>
      </c>
      <c r="O165" t="s">
        <v>28</v>
      </c>
      <c r="P165" t="s">
        <v>29</v>
      </c>
      <c r="Q165" t="s">
        <v>101</v>
      </c>
      <c r="R165" t="str">
        <f>IF(Table1[[#This Row],[Resolution_Time_Hrs]]&gt;Table1[[#This Row],[SLA_Target_Hrs]],"No", "Yes")</f>
        <v>Yes</v>
      </c>
      <c r="S165" t="str">
        <f>IF(Table1[[#This Row],[Calculated_SLA]]=Table1[[#This Row],[SLA_Met]],"Match","Mismatch")</f>
        <v>Match</v>
      </c>
      <c r="T165">
        <f>IF(Table1[[#This Row],[Calculated_SLA]]="Yes",1,0)</f>
        <v>1</v>
      </c>
      <c r="U165" t="str">
        <f>IF(COUNTIFS(Reference_data!A:A,Table1[[#This Row],[Category]],Reference_data!B:B,Table1[[#This Row],[Sub_Category]])&gt;0,"Valid","Invalid")</f>
        <v>Valid</v>
      </c>
      <c r="V165" t="str">
        <f>_xlfn.XLOOKUP([1]!Table1[[#This Row],[Sub_Category]],[1]Reference_data!B:B,[1]Reference_data!A:A)</f>
        <v>Hardware &amp; Mechanical</v>
      </c>
      <c r="W165" t="str">
        <f>IF([1]!Table1[[#This Row],[Category]]=[1]!Table1[[#This Row],[Expected_Category ]],"Valid", "invalid")</f>
        <v>Valid</v>
      </c>
    </row>
    <row r="166" spans="1:23">
      <c r="A166" t="s">
        <v>565</v>
      </c>
      <c r="B166" t="s">
        <v>41</v>
      </c>
      <c r="C166" s="31" t="s">
        <v>566</v>
      </c>
      <c r="D166" s="32" t="s">
        <v>567</v>
      </c>
      <c r="E166" t="s">
        <v>78</v>
      </c>
      <c r="F166" t="s">
        <v>191</v>
      </c>
      <c r="G166" t="s">
        <v>46</v>
      </c>
      <c r="H166" t="s">
        <v>70</v>
      </c>
      <c r="I166" t="s">
        <v>38</v>
      </c>
      <c r="J166">
        <v>17</v>
      </c>
      <c r="K166">
        <v>8</v>
      </c>
      <c r="L166" t="s">
        <v>27</v>
      </c>
      <c r="M166">
        <v>3</v>
      </c>
      <c r="N166" t="s">
        <v>27</v>
      </c>
      <c r="O166" t="s">
        <v>28</v>
      </c>
      <c r="P166" t="s">
        <v>1670</v>
      </c>
      <c r="Q166" t="s">
        <v>58</v>
      </c>
      <c r="R166" t="str">
        <f>IF(Table1[[#This Row],[Resolution_Time_Hrs]]&gt;Table1[[#This Row],[SLA_Target_Hrs]],"No", "Yes")</f>
        <v>No</v>
      </c>
      <c r="S166" t="str">
        <f>IF(Table1[[#This Row],[Calculated_SLA]]=Table1[[#This Row],[SLA_Met]],"Match","Mismatch")</f>
        <v>Match</v>
      </c>
      <c r="T166">
        <f>IF(Table1[[#This Row],[Calculated_SLA]]="Yes",1,0)</f>
        <v>0</v>
      </c>
      <c r="U166" t="str">
        <f>IF(COUNTIFS(Reference_data!A:A,Table1[[#This Row],[Category]],Reference_data!B:B,Table1[[#This Row],[Sub_Category]])&gt;0,"Valid","Invalid")</f>
        <v>Valid</v>
      </c>
      <c r="V166" t="str">
        <f>_xlfn.XLOOKUP([1]!Table1[[#This Row],[Sub_Category]],[1]Reference_data!B:B,[1]Reference_data!A:A)</f>
        <v>Hardware &amp; Mechanical</v>
      </c>
      <c r="W166" t="str">
        <f>IF([1]!Table1[[#This Row],[Category]]=[1]!Table1[[#This Row],[Expected_Category ]],"Valid", "invalid")</f>
        <v>Valid</v>
      </c>
    </row>
    <row r="167" spans="1:23">
      <c r="A167" t="s">
        <v>568</v>
      </c>
      <c r="B167" t="s">
        <v>135</v>
      </c>
      <c r="C167" s="31" t="s">
        <v>569</v>
      </c>
      <c r="D167" s="32" t="s">
        <v>570</v>
      </c>
      <c r="E167" t="s">
        <v>78</v>
      </c>
      <c r="F167" t="s">
        <v>191</v>
      </c>
      <c r="G167" t="s">
        <v>46</v>
      </c>
      <c r="H167" t="s">
        <v>47</v>
      </c>
      <c r="I167" t="s">
        <v>38</v>
      </c>
      <c r="J167">
        <v>12.3</v>
      </c>
      <c r="K167">
        <v>8</v>
      </c>
      <c r="L167" t="s">
        <v>27</v>
      </c>
      <c r="M167">
        <v>3</v>
      </c>
      <c r="N167" t="s">
        <v>27</v>
      </c>
      <c r="O167" t="s">
        <v>28</v>
      </c>
      <c r="P167" t="s">
        <v>57</v>
      </c>
      <c r="Q167" t="s">
        <v>30</v>
      </c>
      <c r="R167" t="str">
        <f>IF(Table1[[#This Row],[Resolution_Time_Hrs]]&gt;Table1[[#This Row],[SLA_Target_Hrs]],"No", "Yes")</f>
        <v>No</v>
      </c>
      <c r="S167" t="str">
        <f>IF(Table1[[#This Row],[Calculated_SLA]]=Table1[[#This Row],[SLA_Met]],"Match","Mismatch")</f>
        <v>Match</v>
      </c>
      <c r="T167">
        <f>IF(Table1[[#This Row],[Calculated_SLA]]="Yes",1,0)</f>
        <v>0</v>
      </c>
      <c r="U167" t="str">
        <f>IF(COUNTIFS(Reference_data!A:A,Table1[[#This Row],[Category]],Reference_data!B:B,Table1[[#This Row],[Sub_Category]])&gt;0,"Valid","Invalid")</f>
        <v>Valid</v>
      </c>
      <c r="V167" t="str">
        <f>_xlfn.XLOOKUP([1]!Table1[[#This Row],[Sub_Category]],[1]Reference_data!B:B,[1]Reference_data!A:A)</f>
        <v>Hardware &amp; Mechanical</v>
      </c>
      <c r="W167" t="str">
        <f>IF([1]!Table1[[#This Row],[Category]]=[1]!Table1[[#This Row],[Expected_Category ]],"Valid", "invalid")</f>
        <v>Valid</v>
      </c>
    </row>
    <row r="168" spans="1:23">
      <c r="A168" t="s">
        <v>571</v>
      </c>
      <c r="B168" t="s">
        <v>121</v>
      </c>
      <c r="C168" s="31" t="s">
        <v>572</v>
      </c>
      <c r="D168" s="32" t="s">
        <v>573</v>
      </c>
      <c r="E168" t="s">
        <v>78</v>
      </c>
      <c r="F168" t="s">
        <v>79</v>
      </c>
      <c r="G168" t="s">
        <v>54</v>
      </c>
      <c r="H168" t="s">
        <v>47</v>
      </c>
      <c r="I168" t="s">
        <v>80</v>
      </c>
      <c r="J168">
        <v>9.4</v>
      </c>
      <c r="K168">
        <v>4</v>
      </c>
      <c r="L168" t="s">
        <v>27</v>
      </c>
      <c r="M168">
        <v>1</v>
      </c>
      <c r="N168" t="s">
        <v>26</v>
      </c>
      <c r="O168" t="s">
        <v>28</v>
      </c>
      <c r="P168" t="s">
        <v>57</v>
      </c>
      <c r="Q168" t="s">
        <v>30</v>
      </c>
      <c r="R168" t="str">
        <f>IF(Table1[[#This Row],[Resolution_Time_Hrs]]&gt;Table1[[#This Row],[SLA_Target_Hrs]],"No", "Yes")</f>
        <v>No</v>
      </c>
      <c r="S168" t="str">
        <f>IF(Table1[[#This Row],[Calculated_SLA]]=Table1[[#This Row],[SLA_Met]],"Match","Mismatch")</f>
        <v>Match</v>
      </c>
      <c r="T168">
        <f>IF(Table1[[#This Row],[Calculated_SLA]]="Yes",1,0)</f>
        <v>0</v>
      </c>
      <c r="U168" t="str">
        <f>IF(COUNTIFS(Reference_data!A:A,Table1[[#This Row],[Category]],Reference_data!B:B,Table1[[#This Row],[Sub_Category]])&gt;0,"Valid","Invalid")</f>
        <v>Valid</v>
      </c>
      <c r="V168" t="str">
        <f>_xlfn.XLOOKUP([1]!Table1[[#This Row],[Sub_Category]],[1]Reference_data!B:B,[1]Reference_data!A:A)</f>
        <v>Hardware &amp; Mechanical</v>
      </c>
      <c r="W168" t="str">
        <f>IF([1]!Table1[[#This Row],[Category]]=[1]!Table1[[#This Row],[Expected_Category ]],"Valid", "invalid")</f>
        <v>Valid</v>
      </c>
    </row>
    <row r="169" spans="1:23">
      <c r="A169" t="s">
        <v>574</v>
      </c>
      <c r="B169" t="s">
        <v>32</v>
      </c>
      <c r="C169" s="31" t="s">
        <v>575</v>
      </c>
      <c r="D169" s="32" t="s">
        <v>576</v>
      </c>
      <c r="E169" t="s">
        <v>21</v>
      </c>
      <c r="F169" t="s">
        <v>22</v>
      </c>
      <c r="G169" t="s">
        <v>46</v>
      </c>
      <c r="H169" t="s">
        <v>86</v>
      </c>
      <c r="I169" t="s">
        <v>25</v>
      </c>
      <c r="J169">
        <v>7.2</v>
      </c>
      <c r="K169">
        <v>8</v>
      </c>
      <c r="L169" t="s">
        <v>26</v>
      </c>
      <c r="M169">
        <v>4</v>
      </c>
      <c r="N169" t="s">
        <v>27</v>
      </c>
      <c r="O169" t="s">
        <v>28</v>
      </c>
      <c r="P169" t="s">
        <v>29</v>
      </c>
      <c r="Q169" t="s">
        <v>58</v>
      </c>
      <c r="R169" t="str">
        <f>IF(Table1[[#This Row],[Resolution_Time_Hrs]]&gt;Table1[[#This Row],[SLA_Target_Hrs]],"No", "Yes")</f>
        <v>Yes</v>
      </c>
      <c r="S169" t="str">
        <f>IF(Table1[[#This Row],[Calculated_SLA]]=Table1[[#This Row],[SLA_Met]],"Match","Mismatch")</f>
        <v>Match</v>
      </c>
      <c r="T169">
        <f>IF(Table1[[#This Row],[Calculated_SLA]]="Yes",1,0)</f>
        <v>1</v>
      </c>
      <c r="U169" t="str">
        <f>IF(COUNTIFS(Reference_data!A:A,Table1[[#This Row],[Category]],Reference_data!B:B,Table1[[#This Row],[Sub_Category]])&gt;0,"Valid","Invalid")</f>
        <v>Valid</v>
      </c>
      <c r="V169" t="str">
        <f>_xlfn.XLOOKUP([1]!Table1[[#This Row],[Sub_Category]],[1]Reference_data!B:B,[1]Reference_data!A:A)</f>
        <v>Connectivity &amp; Software</v>
      </c>
      <c r="W169" t="str">
        <f>IF([1]!Table1[[#This Row],[Category]]=[1]!Table1[[#This Row],[Expected_Category ]],"Valid", "invalid")</f>
        <v>Valid</v>
      </c>
    </row>
    <row r="170" spans="1:23">
      <c r="A170" t="s">
        <v>577</v>
      </c>
      <c r="B170" t="s">
        <v>32</v>
      </c>
      <c r="C170" s="31" t="s">
        <v>578</v>
      </c>
      <c r="D170" s="32" t="s">
        <v>579</v>
      </c>
      <c r="E170" t="s">
        <v>84</v>
      </c>
      <c r="F170" t="s">
        <v>116</v>
      </c>
      <c r="G170" t="s">
        <v>46</v>
      </c>
      <c r="H170" t="s">
        <v>47</v>
      </c>
      <c r="I170" t="s">
        <v>87</v>
      </c>
      <c r="J170">
        <v>5.7</v>
      </c>
      <c r="K170">
        <v>8</v>
      </c>
      <c r="L170" t="s">
        <v>26</v>
      </c>
      <c r="M170">
        <v>4</v>
      </c>
      <c r="N170" t="s">
        <v>27</v>
      </c>
      <c r="O170" t="s">
        <v>28</v>
      </c>
      <c r="P170" t="s">
        <v>29</v>
      </c>
      <c r="Q170" t="s">
        <v>58</v>
      </c>
      <c r="R170" t="str">
        <f>IF(Table1[[#This Row],[Resolution_Time_Hrs]]&gt;Table1[[#This Row],[SLA_Target_Hrs]],"No", "Yes")</f>
        <v>Yes</v>
      </c>
      <c r="S170" t="str">
        <f>IF(Table1[[#This Row],[Calculated_SLA]]=Table1[[#This Row],[SLA_Met]],"Match","Mismatch")</f>
        <v>Match</v>
      </c>
      <c r="T170">
        <f>IF(Table1[[#This Row],[Calculated_SLA]]="Yes",1,0)</f>
        <v>1</v>
      </c>
      <c r="U170" t="str">
        <f>IF(COUNTIFS(Reference_data!A:A,Table1[[#This Row],[Category]],Reference_data!B:B,Table1[[#This Row],[Sub_Category]])&gt;0,"Valid","Invalid")</f>
        <v>Valid</v>
      </c>
      <c r="V170" t="str">
        <f>_xlfn.XLOOKUP([1]!Table1[[#This Row],[Sub_Category]],[1]Reference_data!B:B,[1]Reference_data!A:A)</f>
        <v>Supplies &amp; Logistics</v>
      </c>
      <c r="W170" t="str">
        <f>IF([1]!Table1[[#This Row],[Category]]=[1]!Table1[[#This Row],[Expected_Category ]],"Valid", "invalid")</f>
        <v>Valid</v>
      </c>
    </row>
    <row r="171" spans="1:23">
      <c r="A171" t="s">
        <v>580</v>
      </c>
      <c r="B171" t="s">
        <v>60</v>
      </c>
      <c r="C171" s="31" t="s">
        <v>581</v>
      </c>
      <c r="D171" s="32" t="s">
        <v>582</v>
      </c>
      <c r="E171" t="s">
        <v>21</v>
      </c>
      <c r="F171" t="s">
        <v>22</v>
      </c>
      <c r="G171" t="s">
        <v>54</v>
      </c>
      <c r="H171" t="s">
        <v>91</v>
      </c>
      <c r="I171" t="s">
        <v>25</v>
      </c>
      <c r="J171">
        <v>11</v>
      </c>
      <c r="K171">
        <v>4</v>
      </c>
      <c r="L171" t="s">
        <v>27</v>
      </c>
      <c r="M171">
        <v>2</v>
      </c>
      <c r="N171" t="s">
        <v>27</v>
      </c>
      <c r="O171" t="s">
        <v>28</v>
      </c>
      <c r="P171" t="s">
        <v>57</v>
      </c>
      <c r="Q171" t="s">
        <v>30</v>
      </c>
      <c r="R171" t="str">
        <f>IF(Table1[[#This Row],[Resolution_Time_Hrs]]&gt;Table1[[#This Row],[SLA_Target_Hrs]],"No", "Yes")</f>
        <v>No</v>
      </c>
      <c r="S171" t="str">
        <f>IF(Table1[[#This Row],[Calculated_SLA]]=Table1[[#This Row],[SLA_Met]],"Match","Mismatch")</f>
        <v>Match</v>
      </c>
      <c r="T171">
        <f>IF(Table1[[#This Row],[Calculated_SLA]]="Yes",1,0)</f>
        <v>0</v>
      </c>
      <c r="U171" t="str">
        <f>IF(COUNTIFS(Reference_data!A:A,Table1[[#This Row],[Category]],Reference_data!B:B,Table1[[#This Row],[Sub_Category]])&gt;0,"Valid","Invalid")</f>
        <v>Valid</v>
      </c>
      <c r="V171" t="str">
        <f>_xlfn.XLOOKUP([1]!Table1[[#This Row],[Sub_Category]],[1]Reference_data!B:B,[1]Reference_data!A:A)</f>
        <v>Connectivity &amp; Software</v>
      </c>
      <c r="W171" t="str">
        <f>IF([1]!Table1[[#This Row],[Category]]=[1]!Table1[[#This Row],[Expected_Category ]],"Valid", "invalid")</f>
        <v>Valid</v>
      </c>
    </row>
    <row r="172" spans="1:23">
      <c r="A172" t="s">
        <v>583</v>
      </c>
      <c r="B172" t="s">
        <v>41</v>
      </c>
      <c r="C172" s="31" t="s">
        <v>584</v>
      </c>
      <c r="D172" s="32" t="s">
        <v>585</v>
      </c>
      <c r="E172" t="s">
        <v>21</v>
      </c>
      <c r="F172" t="s">
        <v>63</v>
      </c>
      <c r="G172" t="s">
        <v>23</v>
      </c>
      <c r="H172" t="s">
        <v>138</v>
      </c>
      <c r="I172" t="s">
        <v>25</v>
      </c>
      <c r="J172">
        <v>9.6</v>
      </c>
      <c r="K172">
        <v>24</v>
      </c>
      <c r="L172" t="s">
        <v>26</v>
      </c>
      <c r="M172">
        <v>5</v>
      </c>
      <c r="N172" t="s">
        <v>27</v>
      </c>
      <c r="O172" t="s">
        <v>28</v>
      </c>
      <c r="P172" t="s">
        <v>29</v>
      </c>
      <c r="Q172" t="s">
        <v>58</v>
      </c>
      <c r="R172" t="str">
        <f>IF(Table1[[#This Row],[Resolution_Time_Hrs]]&gt;Table1[[#This Row],[SLA_Target_Hrs]],"No", "Yes")</f>
        <v>Yes</v>
      </c>
      <c r="S172" t="str">
        <f>IF(Table1[[#This Row],[Calculated_SLA]]=Table1[[#This Row],[SLA_Met]],"Match","Mismatch")</f>
        <v>Match</v>
      </c>
      <c r="T172">
        <f>IF(Table1[[#This Row],[Calculated_SLA]]="Yes",1,0)</f>
        <v>1</v>
      </c>
      <c r="U172" t="str">
        <f>IF(COUNTIFS(Reference_data!A:A,Table1[[#This Row],[Category]],Reference_data!B:B,Table1[[#This Row],[Sub_Category]])&gt;0,"Valid","Invalid")</f>
        <v>Valid</v>
      </c>
      <c r="V172" t="str">
        <f>_xlfn.XLOOKUP([1]!Table1[[#This Row],[Sub_Category]],[1]Reference_data!B:B,[1]Reference_data!A:A)</f>
        <v>Connectivity &amp; Software</v>
      </c>
      <c r="W172" t="str">
        <f>IF([1]!Table1[[#This Row],[Category]]=[1]!Table1[[#This Row],[Expected_Category ]],"Valid", "invalid")</f>
        <v>Valid</v>
      </c>
    </row>
    <row r="173" spans="1:23">
      <c r="A173" t="s">
        <v>586</v>
      </c>
      <c r="B173" t="s">
        <v>75</v>
      </c>
      <c r="C173" s="31" t="s">
        <v>587</v>
      </c>
      <c r="D173" s="32" t="s">
        <v>588</v>
      </c>
      <c r="E173" t="s">
        <v>44</v>
      </c>
      <c r="F173" t="s">
        <v>109</v>
      </c>
      <c r="G173" t="s">
        <v>46</v>
      </c>
      <c r="H173" t="s">
        <v>70</v>
      </c>
      <c r="I173" t="s">
        <v>48</v>
      </c>
      <c r="J173">
        <v>3.7</v>
      </c>
      <c r="K173">
        <v>8</v>
      </c>
      <c r="L173" t="s">
        <v>26</v>
      </c>
      <c r="M173">
        <v>5</v>
      </c>
      <c r="N173" t="s">
        <v>27</v>
      </c>
      <c r="O173" t="s">
        <v>28</v>
      </c>
      <c r="P173" t="s">
        <v>29</v>
      </c>
      <c r="Q173" t="s">
        <v>30</v>
      </c>
      <c r="R173" t="str">
        <f>IF(Table1[[#This Row],[Resolution_Time_Hrs]]&gt;Table1[[#This Row],[SLA_Target_Hrs]],"No", "Yes")</f>
        <v>Yes</v>
      </c>
      <c r="S173" t="str">
        <f>IF(Table1[[#This Row],[Calculated_SLA]]=Table1[[#This Row],[SLA_Met]],"Match","Mismatch")</f>
        <v>Match</v>
      </c>
      <c r="T173">
        <f>IF(Table1[[#This Row],[Calculated_SLA]]="Yes",1,0)</f>
        <v>1</v>
      </c>
      <c r="U173" t="str">
        <f>IF(COUNTIFS(Reference_data!A:A,Table1[[#This Row],[Category]],Reference_data!B:B,Table1[[#This Row],[Sub_Category]])&gt;0,"Valid","Invalid")</f>
        <v>Valid</v>
      </c>
      <c r="V173" t="str">
        <f>_xlfn.XLOOKUP([1]!Table1[[#This Row],[Sub_Category]],[1]Reference_data!B:B,[1]Reference_data!A:A)</f>
        <v>Contract &amp; Billing</v>
      </c>
      <c r="W173" t="str">
        <f>IF([1]!Table1[[#This Row],[Category]]=[1]!Table1[[#This Row],[Expected_Category ]],"Valid", "invalid")</f>
        <v>Valid</v>
      </c>
    </row>
    <row r="174" spans="1:23">
      <c r="A174" t="s">
        <v>589</v>
      </c>
      <c r="B174" t="s">
        <v>60</v>
      </c>
      <c r="C174" s="31" t="s">
        <v>590</v>
      </c>
      <c r="D174" s="32" t="s">
        <v>591</v>
      </c>
      <c r="E174" t="s">
        <v>44</v>
      </c>
      <c r="F174" t="s">
        <v>45</v>
      </c>
      <c r="G174" t="s">
        <v>23</v>
      </c>
      <c r="H174" t="s">
        <v>55</v>
      </c>
      <c r="I174" t="s">
        <v>48</v>
      </c>
      <c r="J174">
        <v>2.5</v>
      </c>
      <c r="K174">
        <v>24</v>
      </c>
      <c r="L174" t="s">
        <v>26</v>
      </c>
      <c r="M174">
        <v>5</v>
      </c>
      <c r="N174" t="s">
        <v>27</v>
      </c>
      <c r="O174" t="s">
        <v>28</v>
      </c>
      <c r="P174" t="s">
        <v>29</v>
      </c>
      <c r="Q174" t="s">
        <v>30</v>
      </c>
      <c r="R174" t="str">
        <f>IF(Table1[[#This Row],[Resolution_Time_Hrs]]&gt;Table1[[#This Row],[SLA_Target_Hrs]],"No", "Yes")</f>
        <v>Yes</v>
      </c>
      <c r="S174" t="str">
        <f>IF(Table1[[#This Row],[Calculated_SLA]]=Table1[[#This Row],[SLA_Met]],"Match","Mismatch")</f>
        <v>Match</v>
      </c>
      <c r="T174">
        <f>IF(Table1[[#This Row],[Calculated_SLA]]="Yes",1,0)</f>
        <v>1</v>
      </c>
      <c r="U174" t="str">
        <f>IF(COUNTIFS(Reference_data!A:A,Table1[[#This Row],[Category]],Reference_data!B:B,Table1[[#This Row],[Sub_Category]])&gt;0,"Valid","Invalid")</f>
        <v>Valid</v>
      </c>
      <c r="V174" t="str">
        <f>_xlfn.XLOOKUP([1]!Table1[[#This Row],[Sub_Category]],[1]Reference_data!B:B,[1]Reference_data!A:A)</f>
        <v>Contract &amp; Billing</v>
      </c>
      <c r="W174" t="str">
        <f>IF([1]!Table1[[#This Row],[Category]]=[1]!Table1[[#This Row],[Expected_Category ]],"Valid", "invalid")</f>
        <v>Valid</v>
      </c>
    </row>
    <row r="175" spans="1:23">
      <c r="A175" t="s">
        <v>592</v>
      </c>
      <c r="B175" t="s">
        <v>50</v>
      </c>
      <c r="C175" s="31" t="s">
        <v>593</v>
      </c>
      <c r="D175" s="32" t="s">
        <v>594</v>
      </c>
      <c r="E175" t="s">
        <v>21</v>
      </c>
      <c r="F175" t="s">
        <v>22</v>
      </c>
      <c r="G175" t="s">
        <v>23</v>
      </c>
      <c r="H175" t="s">
        <v>138</v>
      </c>
      <c r="I175" t="s">
        <v>25</v>
      </c>
      <c r="J175">
        <v>6</v>
      </c>
      <c r="K175">
        <v>24</v>
      </c>
      <c r="L175" t="s">
        <v>26</v>
      </c>
      <c r="M175">
        <v>5</v>
      </c>
      <c r="N175" t="s">
        <v>27</v>
      </c>
      <c r="O175" t="s">
        <v>28</v>
      </c>
      <c r="P175" t="s">
        <v>29</v>
      </c>
      <c r="Q175" t="s">
        <v>58</v>
      </c>
      <c r="R175" t="str">
        <f>IF(Table1[[#This Row],[Resolution_Time_Hrs]]&gt;Table1[[#This Row],[SLA_Target_Hrs]],"No", "Yes")</f>
        <v>Yes</v>
      </c>
      <c r="S175" t="str">
        <f>IF(Table1[[#This Row],[Calculated_SLA]]=Table1[[#This Row],[SLA_Met]],"Match","Mismatch")</f>
        <v>Match</v>
      </c>
      <c r="T175">
        <f>IF(Table1[[#This Row],[Calculated_SLA]]="Yes",1,0)</f>
        <v>1</v>
      </c>
      <c r="U175" t="str">
        <f>IF(COUNTIFS(Reference_data!A:A,Table1[[#This Row],[Category]],Reference_data!B:B,Table1[[#This Row],[Sub_Category]])&gt;0,"Valid","Invalid")</f>
        <v>Valid</v>
      </c>
      <c r="V175" t="str">
        <f>_xlfn.XLOOKUP([1]!Table1[[#This Row],[Sub_Category]],[1]Reference_data!B:B,[1]Reference_data!A:A)</f>
        <v>Connectivity &amp; Software</v>
      </c>
      <c r="W175" t="str">
        <f>IF([1]!Table1[[#This Row],[Category]]=[1]!Table1[[#This Row],[Expected_Category ]],"Valid", "invalid")</f>
        <v>Valid</v>
      </c>
    </row>
    <row r="176" spans="1:23">
      <c r="A176" t="s">
        <v>595</v>
      </c>
      <c r="B176" t="s">
        <v>50</v>
      </c>
      <c r="C176" s="31" t="s">
        <v>596</v>
      </c>
      <c r="D176" s="32" t="s">
        <v>597</v>
      </c>
      <c r="E176" t="s">
        <v>21</v>
      </c>
      <c r="F176" t="s">
        <v>69</v>
      </c>
      <c r="G176" t="s">
        <v>46</v>
      </c>
      <c r="H176" t="s">
        <v>37</v>
      </c>
      <c r="I176" t="s">
        <v>25</v>
      </c>
      <c r="J176">
        <v>8.8000000000000007</v>
      </c>
      <c r="K176">
        <v>8</v>
      </c>
      <c r="L176" t="s">
        <v>27</v>
      </c>
      <c r="M176">
        <v>3</v>
      </c>
      <c r="N176" t="s">
        <v>27</v>
      </c>
      <c r="O176" t="s">
        <v>28</v>
      </c>
      <c r="P176" t="s">
        <v>1670</v>
      </c>
      <c r="Q176" t="s">
        <v>30</v>
      </c>
      <c r="R176" t="str">
        <f>IF(Table1[[#This Row],[Resolution_Time_Hrs]]&gt;Table1[[#This Row],[SLA_Target_Hrs]],"No", "Yes")</f>
        <v>No</v>
      </c>
      <c r="S176" t="str">
        <f>IF(Table1[[#This Row],[Calculated_SLA]]=Table1[[#This Row],[SLA_Met]],"Match","Mismatch")</f>
        <v>Match</v>
      </c>
      <c r="T176">
        <f>IF(Table1[[#This Row],[Calculated_SLA]]="Yes",1,0)</f>
        <v>0</v>
      </c>
      <c r="U176" t="str">
        <f>IF(COUNTIFS(Reference_data!A:A,Table1[[#This Row],[Category]],Reference_data!B:B,Table1[[#This Row],[Sub_Category]])&gt;0,"Valid","Invalid")</f>
        <v>Valid</v>
      </c>
      <c r="V176" t="str">
        <f>_xlfn.XLOOKUP([1]!Table1[[#This Row],[Sub_Category]],[1]Reference_data!B:B,[1]Reference_data!A:A)</f>
        <v>Connectivity &amp; Software</v>
      </c>
      <c r="W176" t="str">
        <f>IF([1]!Table1[[#This Row],[Category]]=[1]!Table1[[#This Row],[Expected_Category ]],"Valid", "invalid")</f>
        <v>Valid</v>
      </c>
    </row>
    <row r="177" spans="1:23">
      <c r="A177" t="s">
        <v>598</v>
      </c>
      <c r="B177" t="s">
        <v>106</v>
      </c>
      <c r="C177" s="31" t="s">
        <v>599</v>
      </c>
      <c r="D177" s="32" t="s">
        <v>600</v>
      </c>
      <c r="E177" t="s">
        <v>21</v>
      </c>
      <c r="F177" t="s">
        <v>22</v>
      </c>
      <c r="G177" t="s">
        <v>46</v>
      </c>
      <c r="H177" t="s">
        <v>234</v>
      </c>
      <c r="I177" t="s">
        <v>25</v>
      </c>
      <c r="J177">
        <v>11.5</v>
      </c>
      <c r="K177">
        <v>8</v>
      </c>
      <c r="L177" t="s">
        <v>27</v>
      </c>
      <c r="M177">
        <v>2</v>
      </c>
      <c r="N177" t="s">
        <v>27</v>
      </c>
      <c r="O177" t="s">
        <v>28</v>
      </c>
      <c r="P177" t="s">
        <v>1670</v>
      </c>
      <c r="Q177" t="s">
        <v>39</v>
      </c>
      <c r="R177" t="str">
        <f>IF(Table1[[#This Row],[Resolution_Time_Hrs]]&gt;Table1[[#This Row],[SLA_Target_Hrs]],"No", "Yes")</f>
        <v>No</v>
      </c>
      <c r="S177" t="str">
        <f>IF(Table1[[#This Row],[Calculated_SLA]]=Table1[[#This Row],[SLA_Met]],"Match","Mismatch")</f>
        <v>Match</v>
      </c>
      <c r="T177">
        <f>IF(Table1[[#This Row],[Calculated_SLA]]="Yes",1,0)</f>
        <v>0</v>
      </c>
      <c r="U177" t="str">
        <f>IF(COUNTIFS(Reference_data!A:A,Table1[[#This Row],[Category]],Reference_data!B:B,Table1[[#This Row],[Sub_Category]])&gt;0,"Valid","Invalid")</f>
        <v>Valid</v>
      </c>
      <c r="V177" t="str">
        <f>_xlfn.XLOOKUP([1]!Table1[[#This Row],[Sub_Category]],[1]Reference_data!B:B,[1]Reference_data!A:A)</f>
        <v>Connectivity &amp; Software</v>
      </c>
      <c r="W177" t="str">
        <f>IF([1]!Table1[[#This Row],[Category]]=[1]!Table1[[#This Row],[Expected_Category ]],"Valid", "invalid")</f>
        <v>Valid</v>
      </c>
    </row>
    <row r="178" spans="1:23">
      <c r="A178" t="s">
        <v>601</v>
      </c>
      <c r="B178" t="s">
        <v>66</v>
      </c>
      <c r="C178" s="31" t="s">
        <v>602</v>
      </c>
      <c r="D178" s="32" t="s">
        <v>603</v>
      </c>
      <c r="E178" t="s">
        <v>21</v>
      </c>
      <c r="F178" t="s">
        <v>63</v>
      </c>
      <c r="G178" t="s">
        <v>54</v>
      </c>
      <c r="H178" t="s">
        <v>47</v>
      </c>
      <c r="I178" t="s">
        <v>25</v>
      </c>
      <c r="J178">
        <v>5.5</v>
      </c>
      <c r="K178">
        <v>4</v>
      </c>
      <c r="L178" t="s">
        <v>27</v>
      </c>
      <c r="M178">
        <v>1</v>
      </c>
      <c r="N178" t="s">
        <v>26</v>
      </c>
      <c r="O178" t="s">
        <v>28</v>
      </c>
      <c r="P178" t="s">
        <v>1670</v>
      </c>
      <c r="Q178" t="s">
        <v>58</v>
      </c>
      <c r="R178" t="str">
        <f>IF(Table1[[#This Row],[Resolution_Time_Hrs]]&gt;Table1[[#This Row],[SLA_Target_Hrs]],"No", "Yes")</f>
        <v>No</v>
      </c>
      <c r="S178" t="str">
        <f>IF(Table1[[#This Row],[Calculated_SLA]]=Table1[[#This Row],[SLA_Met]],"Match","Mismatch")</f>
        <v>Match</v>
      </c>
      <c r="T178">
        <f>IF(Table1[[#This Row],[Calculated_SLA]]="Yes",1,0)</f>
        <v>0</v>
      </c>
      <c r="U178" t="str">
        <f>IF(COUNTIFS(Reference_data!A:A,Table1[[#This Row],[Category]],Reference_data!B:B,Table1[[#This Row],[Sub_Category]])&gt;0,"Valid","Invalid")</f>
        <v>Valid</v>
      </c>
      <c r="V178" t="str">
        <f>_xlfn.XLOOKUP([1]!Table1[[#This Row],[Sub_Category]],[1]Reference_data!B:B,[1]Reference_data!A:A)</f>
        <v>Connectivity &amp; Software</v>
      </c>
      <c r="W178" t="str">
        <f>IF([1]!Table1[[#This Row],[Category]]=[1]!Table1[[#This Row],[Expected_Category ]],"Valid", "invalid")</f>
        <v>Valid</v>
      </c>
    </row>
    <row r="179" spans="1:23">
      <c r="A179" t="s">
        <v>604</v>
      </c>
      <c r="B179" t="s">
        <v>135</v>
      </c>
      <c r="C179" s="31" t="s">
        <v>605</v>
      </c>
      <c r="D179" s="32" t="s">
        <v>606</v>
      </c>
      <c r="E179" t="s">
        <v>35</v>
      </c>
      <c r="F179" t="s">
        <v>53</v>
      </c>
      <c r="G179" t="s">
        <v>46</v>
      </c>
      <c r="H179" t="s">
        <v>86</v>
      </c>
      <c r="I179" t="s">
        <v>56</v>
      </c>
      <c r="J179">
        <v>12</v>
      </c>
      <c r="K179">
        <v>8</v>
      </c>
      <c r="L179" t="s">
        <v>27</v>
      </c>
      <c r="M179">
        <v>3</v>
      </c>
      <c r="N179" t="s">
        <v>26</v>
      </c>
      <c r="O179" t="s">
        <v>28</v>
      </c>
      <c r="P179" t="s">
        <v>57</v>
      </c>
      <c r="Q179" t="s">
        <v>101</v>
      </c>
      <c r="R179" t="str">
        <f>IF(Table1[[#This Row],[Resolution_Time_Hrs]]&gt;Table1[[#This Row],[SLA_Target_Hrs]],"No", "Yes")</f>
        <v>No</v>
      </c>
      <c r="S179" t="str">
        <f>IF(Table1[[#This Row],[Calculated_SLA]]=Table1[[#This Row],[SLA_Met]],"Match","Mismatch")</f>
        <v>Match</v>
      </c>
      <c r="T179">
        <f>IF(Table1[[#This Row],[Calculated_SLA]]="Yes",1,0)</f>
        <v>0</v>
      </c>
      <c r="U179" t="str">
        <f>IF(COUNTIFS(Reference_data!A:A,Table1[[#This Row],[Category]],Reference_data!B:B,Table1[[#This Row],[Sub_Category]])&gt;0,"Valid","Invalid")</f>
        <v>Valid</v>
      </c>
      <c r="V179" t="str">
        <f>_xlfn.XLOOKUP([1]!Table1[[#This Row],[Sub_Category]],[1]Reference_data!B:B,[1]Reference_data!A:A)</f>
        <v>Print Quality</v>
      </c>
      <c r="W179" t="str">
        <f>IF([1]!Table1[[#This Row],[Category]]=[1]!Table1[[#This Row],[Expected_Category ]],"Valid", "invalid")</f>
        <v>Valid</v>
      </c>
    </row>
    <row r="180" spans="1:23">
      <c r="A180" t="s">
        <v>607</v>
      </c>
      <c r="B180" t="s">
        <v>121</v>
      </c>
      <c r="C180" s="31" t="s">
        <v>608</v>
      </c>
      <c r="D180" s="32" t="s">
        <v>609</v>
      </c>
      <c r="E180" t="s">
        <v>84</v>
      </c>
      <c r="F180" t="s">
        <v>85</v>
      </c>
      <c r="G180" t="s">
        <v>46</v>
      </c>
      <c r="H180" t="s">
        <v>64</v>
      </c>
      <c r="I180" t="s">
        <v>87</v>
      </c>
      <c r="J180">
        <v>3.3</v>
      </c>
      <c r="K180">
        <v>8</v>
      </c>
      <c r="L180" t="s">
        <v>26</v>
      </c>
      <c r="M180">
        <v>4</v>
      </c>
      <c r="N180" t="s">
        <v>27</v>
      </c>
      <c r="O180" t="s">
        <v>28</v>
      </c>
      <c r="P180" t="s">
        <v>29</v>
      </c>
      <c r="Q180" t="s">
        <v>101</v>
      </c>
      <c r="R180" t="str">
        <f>IF(Table1[[#This Row],[Resolution_Time_Hrs]]&gt;Table1[[#This Row],[SLA_Target_Hrs]],"No", "Yes")</f>
        <v>Yes</v>
      </c>
      <c r="S180" t="str">
        <f>IF(Table1[[#This Row],[Calculated_SLA]]=Table1[[#This Row],[SLA_Met]],"Match","Mismatch")</f>
        <v>Match</v>
      </c>
      <c r="T180">
        <f>IF(Table1[[#This Row],[Calculated_SLA]]="Yes",1,0)</f>
        <v>1</v>
      </c>
      <c r="U180" t="str">
        <f>IF(COUNTIFS(Reference_data!A:A,Table1[[#This Row],[Category]],Reference_data!B:B,Table1[[#This Row],[Sub_Category]])&gt;0,"Valid","Invalid")</f>
        <v>Valid</v>
      </c>
      <c r="V180" t="str">
        <f>_xlfn.XLOOKUP([1]!Table1[[#This Row],[Sub_Category]],[1]Reference_data!B:B,[1]Reference_data!A:A)</f>
        <v>Supplies &amp; Logistics</v>
      </c>
      <c r="W180" t="str">
        <f>IF([1]!Table1[[#This Row],[Category]]=[1]!Table1[[#This Row],[Expected_Category ]],"Valid", "invalid")</f>
        <v>Valid</v>
      </c>
    </row>
    <row r="181" spans="1:23">
      <c r="A181" t="s">
        <v>610</v>
      </c>
      <c r="B181" t="s">
        <v>32</v>
      </c>
      <c r="C181" s="31" t="s">
        <v>611</v>
      </c>
      <c r="D181" s="32" t="s">
        <v>612</v>
      </c>
      <c r="E181" t="s">
        <v>21</v>
      </c>
      <c r="F181" t="s">
        <v>22</v>
      </c>
      <c r="G181" t="s">
        <v>23</v>
      </c>
      <c r="H181" t="s">
        <v>24</v>
      </c>
      <c r="I181" t="s">
        <v>25</v>
      </c>
      <c r="J181">
        <v>15.1</v>
      </c>
      <c r="K181">
        <v>24</v>
      </c>
      <c r="L181" t="s">
        <v>26</v>
      </c>
      <c r="M181">
        <v>4</v>
      </c>
      <c r="N181" t="s">
        <v>27</v>
      </c>
      <c r="O181" t="s">
        <v>28</v>
      </c>
      <c r="P181" t="s">
        <v>29</v>
      </c>
      <c r="Q181" t="s">
        <v>30</v>
      </c>
      <c r="R181" t="str">
        <f>IF(Table1[[#This Row],[Resolution_Time_Hrs]]&gt;Table1[[#This Row],[SLA_Target_Hrs]],"No", "Yes")</f>
        <v>Yes</v>
      </c>
      <c r="S181" t="str">
        <f>IF(Table1[[#This Row],[Calculated_SLA]]=Table1[[#This Row],[SLA_Met]],"Match","Mismatch")</f>
        <v>Match</v>
      </c>
      <c r="T181">
        <f>IF(Table1[[#This Row],[Calculated_SLA]]="Yes",1,0)</f>
        <v>1</v>
      </c>
      <c r="U181" t="str">
        <f>IF(COUNTIFS(Reference_data!A:A,Table1[[#This Row],[Category]],Reference_data!B:B,Table1[[#This Row],[Sub_Category]])&gt;0,"Valid","Invalid")</f>
        <v>Valid</v>
      </c>
      <c r="V181" t="str">
        <f>_xlfn.XLOOKUP([1]!Table1[[#This Row],[Sub_Category]],[1]Reference_data!B:B,[1]Reference_data!A:A)</f>
        <v>Connectivity &amp; Software</v>
      </c>
      <c r="W181" t="str">
        <f>IF([1]!Table1[[#This Row],[Category]]=[1]!Table1[[#This Row],[Expected_Category ]],"Valid", "invalid")</f>
        <v>Valid</v>
      </c>
    </row>
    <row r="182" spans="1:23">
      <c r="A182" t="s">
        <v>613</v>
      </c>
      <c r="B182" t="s">
        <v>18</v>
      </c>
      <c r="C182" s="31" t="s">
        <v>614</v>
      </c>
      <c r="D182" s="32" t="s">
        <v>615</v>
      </c>
      <c r="E182" t="s">
        <v>21</v>
      </c>
      <c r="F182" t="s">
        <v>69</v>
      </c>
      <c r="G182" t="s">
        <v>23</v>
      </c>
      <c r="H182" t="s">
        <v>70</v>
      </c>
      <c r="I182" t="s">
        <v>25</v>
      </c>
      <c r="J182">
        <v>7.9</v>
      </c>
      <c r="K182">
        <v>24</v>
      </c>
      <c r="L182" t="s">
        <v>26</v>
      </c>
      <c r="M182">
        <v>4</v>
      </c>
      <c r="N182" t="s">
        <v>27</v>
      </c>
      <c r="O182" t="s">
        <v>28</v>
      </c>
      <c r="P182" t="s">
        <v>29</v>
      </c>
      <c r="Q182" t="s">
        <v>30</v>
      </c>
      <c r="R182" t="str">
        <f>IF(Table1[[#This Row],[Resolution_Time_Hrs]]&gt;Table1[[#This Row],[SLA_Target_Hrs]],"No", "Yes")</f>
        <v>Yes</v>
      </c>
      <c r="S182" t="str">
        <f>IF(Table1[[#This Row],[Calculated_SLA]]=Table1[[#This Row],[SLA_Met]],"Match","Mismatch")</f>
        <v>Match</v>
      </c>
      <c r="T182">
        <f>IF(Table1[[#This Row],[Calculated_SLA]]="Yes",1,0)</f>
        <v>1</v>
      </c>
      <c r="U182" t="str">
        <f>IF(COUNTIFS(Reference_data!A:A,Table1[[#This Row],[Category]],Reference_data!B:B,Table1[[#This Row],[Sub_Category]])&gt;0,"Valid","Invalid")</f>
        <v>Valid</v>
      </c>
      <c r="V182" t="str">
        <f>_xlfn.XLOOKUP([1]!Table1[[#This Row],[Sub_Category]],[1]Reference_data!B:B,[1]Reference_data!A:A)</f>
        <v>Connectivity &amp; Software</v>
      </c>
      <c r="W182" t="str">
        <f>IF([1]!Table1[[#This Row],[Category]]=[1]!Table1[[#This Row],[Expected_Category ]],"Valid", "invalid")</f>
        <v>Valid</v>
      </c>
    </row>
    <row r="183" spans="1:23">
      <c r="A183" t="s">
        <v>616</v>
      </c>
      <c r="B183" t="s">
        <v>75</v>
      </c>
      <c r="C183" s="31" t="s">
        <v>617</v>
      </c>
      <c r="D183" s="32" t="s">
        <v>618</v>
      </c>
      <c r="E183" t="s">
        <v>21</v>
      </c>
      <c r="F183" t="s">
        <v>63</v>
      </c>
      <c r="G183" t="s">
        <v>46</v>
      </c>
      <c r="H183" t="s">
        <v>64</v>
      </c>
      <c r="I183" t="s">
        <v>25</v>
      </c>
      <c r="J183">
        <v>9</v>
      </c>
      <c r="K183">
        <v>8</v>
      </c>
      <c r="L183" t="s">
        <v>27</v>
      </c>
      <c r="M183">
        <v>3</v>
      </c>
      <c r="N183" t="s">
        <v>26</v>
      </c>
      <c r="O183" t="s">
        <v>28</v>
      </c>
      <c r="P183" t="s">
        <v>57</v>
      </c>
      <c r="Q183" t="s">
        <v>58</v>
      </c>
      <c r="R183" t="str">
        <f>IF(Table1[[#This Row],[Resolution_Time_Hrs]]&gt;Table1[[#This Row],[SLA_Target_Hrs]],"No", "Yes")</f>
        <v>No</v>
      </c>
      <c r="S183" t="str">
        <f>IF(Table1[[#This Row],[Calculated_SLA]]=Table1[[#This Row],[SLA_Met]],"Match","Mismatch")</f>
        <v>Match</v>
      </c>
      <c r="T183">
        <f>IF(Table1[[#This Row],[Calculated_SLA]]="Yes",1,0)</f>
        <v>0</v>
      </c>
      <c r="U183" t="str">
        <f>IF(COUNTIFS(Reference_data!A:A,Table1[[#This Row],[Category]],Reference_data!B:B,Table1[[#This Row],[Sub_Category]])&gt;0,"Valid","Invalid")</f>
        <v>Valid</v>
      </c>
      <c r="V183" t="str">
        <f>_xlfn.XLOOKUP([1]!Table1[[#This Row],[Sub_Category]],[1]Reference_data!B:B,[1]Reference_data!A:A)</f>
        <v>Connectivity &amp; Software</v>
      </c>
      <c r="W183" t="str">
        <f>IF([1]!Table1[[#This Row],[Category]]=[1]!Table1[[#This Row],[Expected_Category ]],"Valid", "invalid")</f>
        <v>Valid</v>
      </c>
    </row>
    <row r="184" spans="1:23">
      <c r="A184" t="s">
        <v>619</v>
      </c>
      <c r="B184" t="s">
        <v>75</v>
      </c>
      <c r="C184" s="31" t="s">
        <v>620</v>
      </c>
      <c r="D184" s="32" t="s">
        <v>621</v>
      </c>
      <c r="E184" t="s">
        <v>21</v>
      </c>
      <c r="F184" t="s">
        <v>63</v>
      </c>
      <c r="G184" t="s">
        <v>46</v>
      </c>
      <c r="H184" t="s">
        <v>91</v>
      </c>
      <c r="I184" t="s">
        <v>25</v>
      </c>
      <c r="J184">
        <v>6.7</v>
      </c>
      <c r="K184">
        <v>8</v>
      </c>
      <c r="L184" t="s">
        <v>27</v>
      </c>
      <c r="M184">
        <v>1</v>
      </c>
      <c r="N184" t="s">
        <v>27</v>
      </c>
      <c r="O184" t="s">
        <v>28</v>
      </c>
      <c r="P184" t="s">
        <v>1670</v>
      </c>
      <c r="Q184" t="s">
        <v>39</v>
      </c>
      <c r="R184" t="str">
        <f>IF(Table1[[#This Row],[Resolution_Time_Hrs]]&gt;Table1[[#This Row],[SLA_Target_Hrs]],"No", "Yes")</f>
        <v>Yes</v>
      </c>
      <c r="S184" t="str">
        <f>IF(Table1[[#This Row],[Calculated_SLA]]=Table1[[#This Row],[SLA_Met]],"Match","Mismatch")</f>
        <v>Mismatch</v>
      </c>
      <c r="T184">
        <f>IF(Table1[[#This Row],[Calculated_SLA]]="Yes",1,0)</f>
        <v>1</v>
      </c>
      <c r="U184" t="str">
        <f>IF(COUNTIFS(Reference_data!A:A,Table1[[#This Row],[Category]],Reference_data!B:B,Table1[[#This Row],[Sub_Category]])&gt;0,"Valid","Invalid")</f>
        <v>Valid</v>
      </c>
      <c r="V184" t="str">
        <f>_xlfn.XLOOKUP([1]!Table1[[#This Row],[Sub_Category]],[1]Reference_data!B:B,[1]Reference_data!A:A)</f>
        <v>Connectivity &amp; Software</v>
      </c>
      <c r="W184" t="str">
        <f>IF([1]!Table1[[#This Row],[Category]]=[1]!Table1[[#This Row],[Expected_Category ]],"Valid", "invalid")</f>
        <v>Valid</v>
      </c>
    </row>
    <row r="185" spans="1:23">
      <c r="A185" t="s">
        <v>622</v>
      </c>
      <c r="B185" t="s">
        <v>106</v>
      </c>
      <c r="C185" s="31" t="s">
        <v>623</v>
      </c>
      <c r="D185" s="32" t="s">
        <v>434</v>
      </c>
      <c r="E185" t="s">
        <v>21</v>
      </c>
      <c r="F185" t="s">
        <v>69</v>
      </c>
      <c r="G185" t="s">
        <v>46</v>
      </c>
      <c r="H185" t="s">
        <v>64</v>
      </c>
      <c r="I185" t="s">
        <v>25</v>
      </c>
      <c r="J185">
        <v>4.7</v>
      </c>
      <c r="K185">
        <v>8</v>
      </c>
      <c r="L185" t="s">
        <v>26</v>
      </c>
      <c r="M185">
        <v>4</v>
      </c>
      <c r="N185" t="s">
        <v>27</v>
      </c>
      <c r="O185" t="s">
        <v>28</v>
      </c>
      <c r="P185" t="s">
        <v>29</v>
      </c>
      <c r="Q185" t="s">
        <v>39</v>
      </c>
      <c r="R185" t="str">
        <f>IF(Table1[[#This Row],[Resolution_Time_Hrs]]&gt;Table1[[#This Row],[SLA_Target_Hrs]],"No", "Yes")</f>
        <v>Yes</v>
      </c>
      <c r="S185" t="str">
        <f>IF(Table1[[#This Row],[Calculated_SLA]]=Table1[[#This Row],[SLA_Met]],"Match","Mismatch")</f>
        <v>Match</v>
      </c>
      <c r="T185">
        <f>IF(Table1[[#This Row],[Calculated_SLA]]="Yes",1,0)</f>
        <v>1</v>
      </c>
      <c r="U185" t="str">
        <f>IF(COUNTIFS(Reference_data!A:A,Table1[[#This Row],[Category]],Reference_data!B:B,Table1[[#This Row],[Sub_Category]])&gt;0,"Valid","Invalid")</f>
        <v>Valid</v>
      </c>
      <c r="V185" t="str">
        <f>_xlfn.XLOOKUP([1]!Table1[[#This Row],[Sub_Category]],[1]Reference_data!B:B,[1]Reference_data!A:A)</f>
        <v>Connectivity &amp; Software</v>
      </c>
      <c r="W185" t="str">
        <f>IF([1]!Table1[[#This Row],[Category]]=[1]!Table1[[#This Row],[Expected_Category ]],"Valid", "invalid")</f>
        <v>Valid</v>
      </c>
    </row>
    <row r="186" spans="1:23">
      <c r="A186" t="s">
        <v>624</v>
      </c>
      <c r="B186" t="s">
        <v>18</v>
      </c>
      <c r="C186" s="31" t="s">
        <v>625</v>
      </c>
      <c r="D186" s="32" t="s">
        <v>626</v>
      </c>
      <c r="E186" t="s">
        <v>44</v>
      </c>
      <c r="F186" t="s">
        <v>109</v>
      </c>
      <c r="G186" t="s">
        <v>46</v>
      </c>
      <c r="H186" t="s">
        <v>55</v>
      </c>
      <c r="I186" t="s">
        <v>48</v>
      </c>
      <c r="J186">
        <v>2.8</v>
      </c>
      <c r="K186">
        <v>8</v>
      </c>
      <c r="L186" t="s">
        <v>26</v>
      </c>
      <c r="M186">
        <v>4</v>
      </c>
      <c r="N186" t="s">
        <v>27</v>
      </c>
      <c r="O186" t="s">
        <v>28</v>
      </c>
      <c r="P186" t="s">
        <v>29</v>
      </c>
      <c r="Q186" t="s">
        <v>101</v>
      </c>
      <c r="R186" t="str">
        <f>IF(Table1[[#This Row],[Resolution_Time_Hrs]]&gt;Table1[[#This Row],[SLA_Target_Hrs]],"No", "Yes")</f>
        <v>Yes</v>
      </c>
      <c r="S186" t="str">
        <f>IF(Table1[[#This Row],[Calculated_SLA]]=Table1[[#This Row],[SLA_Met]],"Match","Mismatch")</f>
        <v>Match</v>
      </c>
      <c r="T186">
        <f>IF(Table1[[#This Row],[Calculated_SLA]]="Yes",1,0)</f>
        <v>1</v>
      </c>
      <c r="U186" t="str">
        <f>IF(COUNTIFS(Reference_data!A:A,Table1[[#This Row],[Category]],Reference_data!B:B,Table1[[#This Row],[Sub_Category]])&gt;0,"Valid","Invalid")</f>
        <v>Valid</v>
      </c>
      <c r="V186" t="str">
        <f>_xlfn.XLOOKUP([1]!Table1[[#This Row],[Sub_Category]],[1]Reference_data!B:B,[1]Reference_data!A:A)</f>
        <v>Contract &amp; Billing</v>
      </c>
      <c r="W186" t="str">
        <f>IF([1]!Table1[[#This Row],[Category]]=[1]!Table1[[#This Row],[Expected_Category ]],"Valid", "invalid")</f>
        <v>Valid</v>
      </c>
    </row>
    <row r="187" spans="1:23">
      <c r="A187" t="s">
        <v>627</v>
      </c>
      <c r="B187" t="s">
        <v>18</v>
      </c>
      <c r="C187" s="31" t="s">
        <v>628</v>
      </c>
      <c r="D187" s="32" t="s">
        <v>629</v>
      </c>
      <c r="E187" t="s">
        <v>21</v>
      </c>
      <c r="F187" t="s">
        <v>69</v>
      </c>
      <c r="G187" t="s">
        <v>46</v>
      </c>
      <c r="H187" t="s">
        <v>234</v>
      </c>
      <c r="I187" t="s">
        <v>25</v>
      </c>
      <c r="J187">
        <v>9.3000000000000007</v>
      </c>
      <c r="K187">
        <v>8</v>
      </c>
      <c r="L187" t="s">
        <v>27</v>
      </c>
      <c r="M187">
        <v>3</v>
      </c>
      <c r="N187" t="s">
        <v>26</v>
      </c>
      <c r="O187" t="s">
        <v>28</v>
      </c>
      <c r="P187" t="s">
        <v>57</v>
      </c>
      <c r="Q187" t="s">
        <v>30</v>
      </c>
      <c r="R187" t="str">
        <f>IF(Table1[[#This Row],[Resolution_Time_Hrs]]&gt;Table1[[#This Row],[SLA_Target_Hrs]],"No", "Yes")</f>
        <v>No</v>
      </c>
      <c r="S187" t="str">
        <f>IF(Table1[[#This Row],[Calculated_SLA]]=Table1[[#This Row],[SLA_Met]],"Match","Mismatch")</f>
        <v>Match</v>
      </c>
      <c r="T187">
        <f>IF(Table1[[#This Row],[Calculated_SLA]]="Yes",1,0)</f>
        <v>0</v>
      </c>
      <c r="U187" t="str">
        <f>IF(COUNTIFS(Reference_data!A:A,Table1[[#This Row],[Category]],Reference_data!B:B,Table1[[#This Row],[Sub_Category]])&gt;0,"Valid","Invalid")</f>
        <v>Valid</v>
      </c>
      <c r="V187" t="str">
        <f>_xlfn.XLOOKUP([1]!Table1[[#This Row],[Sub_Category]],[1]Reference_data!B:B,[1]Reference_data!A:A)</f>
        <v>Connectivity &amp; Software</v>
      </c>
      <c r="W187" t="str">
        <f>IF([1]!Table1[[#This Row],[Category]]=[1]!Table1[[#This Row],[Expected_Category ]],"Valid", "invalid")</f>
        <v>Valid</v>
      </c>
    </row>
    <row r="188" spans="1:23">
      <c r="A188" t="s">
        <v>630</v>
      </c>
      <c r="B188" t="s">
        <v>121</v>
      </c>
      <c r="C188" s="31" t="s">
        <v>631</v>
      </c>
      <c r="D188" s="32" t="s">
        <v>632</v>
      </c>
      <c r="E188" t="s">
        <v>78</v>
      </c>
      <c r="F188" t="s">
        <v>191</v>
      </c>
      <c r="G188" t="s">
        <v>54</v>
      </c>
      <c r="H188" t="s">
        <v>37</v>
      </c>
      <c r="I188" t="s">
        <v>38</v>
      </c>
      <c r="J188">
        <v>11.7</v>
      </c>
      <c r="K188">
        <v>4</v>
      </c>
      <c r="L188" t="s">
        <v>27</v>
      </c>
      <c r="M188">
        <v>3</v>
      </c>
      <c r="N188" t="s">
        <v>27</v>
      </c>
      <c r="O188" t="s">
        <v>28</v>
      </c>
      <c r="P188" t="s">
        <v>1670</v>
      </c>
      <c r="Q188" t="s">
        <v>30</v>
      </c>
      <c r="R188" t="str">
        <f>IF(Table1[[#This Row],[Resolution_Time_Hrs]]&gt;Table1[[#This Row],[SLA_Target_Hrs]],"No", "Yes")</f>
        <v>No</v>
      </c>
      <c r="S188" t="str">
        <f>IF(Table1[[#This Row],[Calculated_SLA]]=Table1[[#This Row],[SLA_Met]],"Match","Mismatch")</f>
        <v>Match</v>
      </c>
      <c r="T188">
        <f>IF(Table1[[#This Row],[Calculated_SLA]]="Yes",1,0)</f>
        <v>0</v>
      </c>
      <c r="U188" t="str">
        <f>IF(COUNTIFS(Reference_data!A:A,Table1[[#This Row],[Category]],Reference_data!B:B,Table1[[#This Row],[Sub_Category]])&gt;0,"Valid","Invalid")</f>
        <v>Valid</v>
      </c>
      <c r="V188" t="str">
        <f>_xlfn.XLOOKUP([1]!Table1[[#This Row],[Sub_Category]],[1]Reference_data!B:B,[1]Reference_data!A:A)</f>
        <v>Hardware &amp; Mechanical</v>
      </c>
      <c r="W188" t="str">
        <f>IF([1]!Table1[[#This Row],[Category]]=[1]!Table1[[#This Row],[Expected_Category ]],"Valid", "invalid")</f>
        <v>Valid</v>
      </c>
    </row>
    <row r="189" spans="1:23">
      <c r="A189" t="s">
        <v>633</v>
      </c>
      <c r="B189" t="s">
        <v>41</v>
      </c>
      <c r="C189" s="31" t="s">
        <v>634</v>
      </c>
      <c r="D189" s="32" t="s">
        <v>635</v>
      </c>
      <c r="E189" t="s">
        <v>78</v>
      </c>
      <c r="F189" t="s">
        <v>79</v>
      </c>
      <c r="G189" t="s">
        <v>54</v>
      </c>
      <c r="H189" t="s">
        <v>91</v>
      </c>
      <c r="I189" t="s">
        <v>80</v>
      </c>
      <c r="J189">
        <v>19.100000000000001</v>
      </c>
      <c r="K189">
        <v>4</v>
      </c>
      <c r="L189" t="s">
        <v>27</v>
      </c>
      <c r="M189">
        <v>3</v>
      </c>
      <c r="N189" t="s">
        <v>27</v>
      </c>
      <c r="O189" t="s">
        <v>28</v>
      </c>
      <c r="P189" t="s">
        <v>1670</v>
      </c>
      <c r="Q189" t="s">
        <v>101</v>
      </c>
      <c r="R189" t="str">
        <f>IF(Table1[[#This Row],[Resolution_Time_Hrs]]&gt;Table1[[#This Row],[SLA_Target_Hrs]],"No", "Yes")</f>
        <v>No</v>
      </c>
      <c r="S189" t="str">
        <f>IF(Table1[[#This Row],[Calculated_SLA]]=Table1[[#This Row],[SLA_Met]],"Match","Mismatch")</f>
        <v>Match</v>
      </c>
      <c r="T189">
        <f>IF(Table1[[#This Row],[Calculated_SLA]]="Yes",1,0)</f>
        <v>0</v>
      </c>
      <c r="U189" t="str">
        <f>IF(COUNTIFS(Reference_data!A:A,Table1[[#This Row],[Category]],Reference_data!B:B,Table1[[#This Row],[Sub_Category]])&gt;0,"Valid","Invalid")</f>
        <v>Valid</v>
      </c>
      <c r="V189" t="str">
        <f>_xlfn.XLOOKUP([1]!Table1[[#This Row],[Sub_Category]],[1]Reference_data!B:B,[1]Reference_data!A:A)</f>
        <v>Hardware &amp; Mechanical</v>
      </c>
      <c r="W189" t="str">
        <f>IF([1]!Table1[[#This Row],[Category]]=[1]!Table1[[#This Row],[Expected_Category ]],"Valid", "invalid")</f>
        <v>Valid</v>
      </c>
    </row>
    <row r="190" spans="1:23">
      <c r="A190" t="s">
        <v>636</v>
      </c>
      <c r="B190" t="s">
        <v>50</v>
      </c>
      <c r="C190" s="31" t="s">
        <v>637</v>
      </c>
      <c r="D190" s="32" t="s">
        <v>638</v>
      </c>
      <c r="E190" t="s">
        <v>78</v>
      </c>
      <c r="F190" t="s">
        <v>191</v>
      </c>
      <c r="G190" t="s">
        <v>54</v>
      </c>
      <c r="H190" t="s">
        <v>47</v>
      </c>
      <c r="I190" t="s">
        <v>38</v>
      </c>
      <c r="J190">
        <v>15.5</v>
      </c>
      <c r="K190">
        <v>4</v>
      </c>
      <c r="L190" t="s">
        <v>27</v>
      </c>
      <c r="N190" t="s">
        <v>27</v>
      </c>
      <c r="O190" t="s">
        <v>28</v>
      </c>
      <c r="P190" t="s">
        <v>57</v>
      </c>
      <c r="Q190" t="s">
        <v>101</v>
      </c>
      <c r="R190" t="str">
        <f>IF(Table1[[#This Row],[Resolution_Time_Hrs]]&gt;Table1[[#This Row],[SLA_Target_Hrs]],"No", "Yes")</f>
        <v>No</v>
      </c>
      <c r="S190" t="str">
        <f>IF(Table1[[#This Row],[Calculated_SLA]]=Table1[[#This Row],[SLA_Met]],"Match","Mismatch")</f>
        <v>Match</v>
      </c>
      <c r="T190">
        <f>IF(Table1[[#This Row],[Calculated_SLA]]="Yes",1,0)</f>
        <v>0</v>
      </c>
      <c r="U190" t="str">
        <f>IF(COUNTIFS(Reference_data!A:A,Table1[[#This Row],[Category]],Reference_data!B:B,Table1[[#This Row],[Sub_Category]])&gt;0,"Valid","Invalid")</f>
        <v>Valid</v>
      </c>
      <c r="V190" t="str">
        <f>_xlfn.XLOOKUP([1]!Table1[[#This Row],[Sub_Category]],[1]Reference_data!B:B,[1]Reference_data!A:A)</f>
        <v>Hardware &amp; Mechanical</v>
      </c>
      <c r="W190" t="str">
        <f>IF([1]!Table1[[#This Row],[Category]]=[1]!Table1[[#This Row],[Expected_Category ]],"Valid", "invalid")</f>
        <v>Valid</v>
      </c>
    </row>
    <row r="191" spans="1:23">
      <c r="A191" t="s">
        <v>639</v>
      </c>
      <c r="B191" t="s">
        <v>32</v>
      </c>
      <c r="C191" s="31" t="s">
        <v>640</v>
      </c>
      <c r="D191" s="32" t="s">
        <v>641</v>
      </c>
      <c r="E191" t="s">
        <v>84</v>
      </c>
      <c r="F191" t="s">
        <v>85</v>
      </c>
      <c r="G191" t="s">
        <v>46</v>
      </c>
      <c r="H191" t="s">
        <v>24</v>
      </c>
      <c r="I191" t="s">
        <v>87</v>
      </c>
      <c r="J191">
        <v>13</v>
      </c>
      <c r="K191">
        <v>8</v>
      </c>
      <c r="L191" t="s">
        <v>27</v>
      </c>
      <c r="M191">
        <v>3</v>
      </c>
      <c r="N191" t="s">
        <v>27</v>
      </c>
      <c r="O191" t="s">
        <v>28</v>
      </c>
      <c r="P191" t="s">
        <v>1670</v>
      </c>
      <c r="Q191" t="s">
        <v>39</v>
      </c>
      <c r="R191" t="str">
        <f>IF(Table1[[#This Row],[Resolution_Time_Hrs]]&gt;Table1[[#This Row],[SLA_Target_Hrs]],"No", "Yes")</f>
        <v>No</v>
      </c>
      <c r="S191" t="str">
        <f>IF(Table1[[#This Row],[Calculated_SLA]]=Table1[[#This Row],[SLA_Met]],"Match","Mismatch")</f>
        <v>Match</v>
      </c>
      <c r="T191">
        <f>IF(Table1[[#This Row],[Calculated_SLA]]="Yes",1,0)</f>
        <v>0</v>
      </c>
      <c r="U191" t="str">
        <f>IF(COUNTIFS(Reference_data!A:A,Table1[[#This Row],[Category]],Reference_data!B:B,Table1[[#This Row],[Sub_Category]])&gt;0,"Valid","Invalid")</f>
        <v>Valid</v>
      </c>
      <c r="V191" t="str">
        <f>_xlfn.XLOOKUP([1]!Table1[[#This Row],[Sub_Category]],[1]Reference_data!B:B,[1]Reference_data!A:A)</f>
        <v>Supplies &amp; Logistics</v>
      </c>
      <c r="W191" t="str">
        <f>IF([1]!Table1[[#This Row],[Category]]=[1]!Table1[[#This Row],[Expected_Category ]],"Valid", "invalid")</f>
        <v>Valid</v>
      </c>
    </row>
    <row r="192" spans="1:23">
      <c r="A192" t="s">
        <v>642</v>
      </c>
      <c r="B192" t="s">
        <v>75</v>
      </c>
      <c r="C192" s="31" t="s">
        <v>643</v>
      </c>
      <c r="D192" s="32" t="s">
        <v>644</v>
      </c>
      <c r="E192" t="s">
        <v>21</v>
      </c>
      <c r="F192" t="s">
        <v>69</v>
      </c>
      <c r="G192" t="s">
        <v>46</v>
      </c>
      <c r="H192" t="s">
        <v>86</v>
      </c>
      <c r="I192" t="s">
        <v>25</v>
      </c>
      <c r="J192">
        <v>11.3</v>
      </c>
      <c r="K192">
        <v>8</v>
      </c>
      <c r="L192" t="s">
        <v>27</v>
      </c>
      <c r="M192">
        <v>2</v>
      </c>
      <c r="N192" t="s">
        <v>27</v>
      </c>
      <c r="O192" t="s">
        <v>28</v>
      </c>
      <c r="P192" t="s">
        <v>1670</v>
      </c>
      <c r="Q192" t="s">
        <v>58</v>
      </c>
      <c r="R192" t="str">
        <f>IF(Table1[[#This Row],[Resolution_Time_Hrs]]&gt;Table1[[#This Row],[SLA_Target_Hrs]],"No", "Yes")</f>
        <v>No</v>
      </c>
      <c r="S192" t="str">
        <f>IF(Table1[[#This Row],[Calculated_SLA]]=Table1[[#This Row],[SLA_Met]],"Match","Mismatch")</f>
        <v>Match</v>
      </c>
      <c r="T192">
        <f>IF(Table1[[#This Row],[Calculated_SLA]]="Yes",1,0)</f>
        <v>0</v>
      </c>
      <c r="U192" t="str">
        <f>IF(COUNTIFS(Reference_data!A:A,Table1[[#This Row],[Category]],Reference_data!B:B,Table1[[#This Row],[Sub_Category]])&gt;0,"Valid","Invalid")</f>
        <v>Valid</v>
      </c>
      <c r="V192" t="str">
        <f>_xlfn.XLOOKUP([1]!Table1[[#This Row],[Sub_Category]],[1]Reference_data!B:B,[1]Reference_data!A:A)</f>
        <v>Connectivity &amp; Software</v>
      </c>
      <c r="W192" t="str">
        <f>IF([1]!Table1[[#This Row],[Category]]=[1]!Table1[[#This Row],[Expected_Category ]],"Valid", "invalid")</f>
        <v>Valid</v>
      </c>
    </row>
    <row r="193" spans="1:23">
      <c r="A193" t="s">
        <v>645</v>
      </c>
      <c r="B193" t="s">
        <v>135</v>
      </c>
      <c r="C193" s="31" t="s">
        <v>646</v>
      </c>
      <c r="D193" s="32" t="s">
        <v>647</v>
      </c>
      <c r="E193" t="s">
        <v>21</v>
      </c>
      <c r="F193" t="s">
        <v>22</v>
      </c>
      <c r="G193" t="s">
        <v>54</v>
      </c>
      <c r="H193" t="s">
        <v>55</v>
      </c>
      <c r="I193" t="s">
        <v>25</v>
      </c>
      <c r="J193">
        <v>7.1</v>
      </c>
      <c r="K193">
        <v>4</v>
      </c>
      <c r="L193" t="s">
        <v>27</v>
      </c>
      <c r="M193">
        <v>3</v>
      </c>
      <c r="N193" t="s">
        <v>27</v>
      </c>
      <c r="O193" t="s">
        <v>28</v>
      </c>
      <c r="P193" t="s">
        <v>1670</v>
      </c>
      <c r="Q193" t="s">
        <v>30</v>
      </c>
      <c r="R193" t="str">
        <f>IF(Table1[[#This Row],[Resolution_Time_Hrs]]&gt;Table1[[#This Row],[SLA_Target_Hrs]],"No", "Yes")</f>
        <v>No</v>
      </c>
      <c r="S193" t="str">
        <f>IF(Table1[[#This Row],[Calculated_SLA]]=Table1[[#This Row],[SLA_Met]],"Match","Mismatch")</f>
        <v>Match</v>
      </c>
      <c r="T193">
        <f>IF(Table1[[#This Row],[Calculated_SLA]]="Yes",1,0)</f>
        <v>0</v>
      </c>
      <c r="U193" t="str">
        <f>IF(COUNTIFS(Reference_data!A:A,Table1[[#This Row],[Category]],Reference_data!B:B,Table1[[#This Row],[Sub_Category]])&gt;0,"Valid","Invalid")</f>
        <v>Valid</v>
      </c>
      <c r="V193" t="str">
        <f>_xlfn.XLOOKUP([1]!Table1[[#This Row],[Sub_Category]],[1]Reference_data!B:B,[1]Reference_data!A:A)</f>
        <v>Connectivity &amp; Software</v>
      </c>
      <c r="W193" t="str">
        <f>IF([1]!Table1[[#This Row],[Category]]=[1]!Table1[[#This Row],[Expected_Category ]],"Valid", "invalid")</f>
        <v>Valid</v>
      </c>
    </row>
    <row r="194" spans="1:23">
      <c r="A194" t="s">
        <v>648</v>
      </c>
      <c r="B194" t="s">
        <v>121</v>
      </c>
      <c r="C194" s="31" t="s">
        <v>649</v>
      </c>
      <c r="D194" s="32" t="s">
        <v>650</v>
      </c>
      <c r="E194" t="s">
        <v>84</v>
      </c>
      <c r="F194" t="s">
        <v>116</v>
      </c>
      <c r="G194" t="s">
        <v>23</v>
      </c>
      <c r="H194" t="s">
        <v>86</v>
      </c>
      <c r="I194" t="s">
        <v>87</v>
      </c>
      <c r="J194">
        <v>8.4</v>
      </c>
      <c r="K194">
        <v>24</v>
      </c>
      <c r="L194" t="s">
        <v>26</v>
      </c>
      <c r="M194">
        <v>5</v>
      </c>
      <c r="N194" t="s">
        <v>27</v>
      </c>
      <c r="O194" t="s">
        <v>28</v>
      </c>
      <c r="P194" t="s">
        <v>29</v>
      </c>
      <c r="Q194" t="s">
        <v>39</v>
      </c>
      <c r="R194" t="str">
        <f>IF(Table1[[#This Row],[Resolution_Time_Hrs]]&gt;Table1[[#This Row],[SLA_Target_Hrs]],"No", "Yes")</f>
        <v>Yes</v>
      </c>
      <c r="S194" t="str">
        <f>IF(Table1[[#This Row],[Calculated_SLA]]=Table1[[#This Row],[SLA_Met]],"Match","Mismatch")</f>
        <v>Match</v>
      </c>
      <c r="T194">
        <f>IF(Table1[[#This Row],[Calculated_SLA]]="Yes",1,0)</f>
        <v>1</v>
      </c>
      <c r="U194" t="str">
        <f>IF(COUNTIFS(Reference_data!A:A,Table1[[#This Row],[Category]],Reference_data!B:B,Table1[[#This Row],[Sub_Category]])&gt;0,"Valid","Invalid")</f>
        <v>Valid</v>
      </c>
      <c r="V194" t="str">
        <f>_xlfn.XLOOKUP([1]!Table1[[#This Row],[Sub_Category]],[1]Reference_data!B:B,[1]Reference_data!A:A)</f>
        <v>Supplies &amp; Logistics</v>
      </c>
      <c r="W194" t="str">
        <f>IF([1]!Table1[[#This Row],[Category]]=[1]!Table1[[#This Row],[Expected_Category ]],"Valid", "invalid")</f>
        <v>Valid</v>
      </c>
    </row>
    <row r="195" spans="1:23">
      <c r="A195" t="s">
        <v>651</v>
      </c>
      <c r="B195" t="s">
        <v>50</v>
      </c>
      <c r="C195" s="31" t="s">
        <v>652</v>
      </c>
      <c r="D195" s="32" t="s">
        <v>653</v>
      </c>
      <c r="E195" t="s">
        <v>84</v>
      </c>
      <c r="F195" t="s">
        <v>85</v>
      </c>
      <c r="G195" t="s">
        <v>46</v>
      </c>
      <c r="H195" t="s">
        <v>47</v>
      </c>
      <c r="I195" t="s">
        <v>87</v>
      </c>
      <c r="J195">
        <v>3.9</v>
      </c>
      <c r="K195">
        <v>8</v>
      </c>
      <c r="L195" t="s">
        <v>26</v>
      </c>
      <c r="M195">
        <v>4</v>
      </c>
      <c r="N195" t="s">
        <v>27</v>
      </c>
      <c r="O195" t="s">
        <v>28</v>
      </c>
      <c r="P195" t="s">
        <v>29</v>
      </c>
      <c r="Q195" t="s">
        <v>30</v>
      </c>
      <c r="R195" t="str">
        <f>IF(Table1[[#This Row],[Resolution_Time_Hrs]]&gt;Table1[[#This Row],[SLA_Target_Hrs]],"No", "Yes")</f>
        <v>Yes</v>
      </c>
      <c r="S195" t="str">
        <f>IF(Table1[[#This Row],[Calculated_SLA]]=Table1[[#This Row],[SLA_Met]],"Match","Mismatch")</f>
        <v>Match</v>
      </c>
      <c r="T195">
        <f>IF(Table1[[#This Row],[Calculated_SLA]]="Yes",1,0)</f>
        <v>1</v>
      </c>
      <c r="U195" t="str">
        <f>IF(COUNTIFS(Reference_data!A:A,Table1[[#This Row],[Category]],Reference_data!B:B,Table1[[#This Row],[Sub_Category]])&gt;0,"Valid","Invalid")</f>
        <v>Valid</v>
      </c>
      <c r="V195" t="str">
        <f>_xlfn.XLOOKUP([1]!Table1[[#This Row],[Sub_Category]],[1]Reference_data!B:B,[1]Reference_data!A:A)</f>
        <v>Supplies &amp; Logistics</v>
      </c>
      <c r="W195" t="str">
        <f>IF([1]!Table1[[#This Row],[Category]]=[1]!Table1[[#This Row],[Expected_Category ]],"Valid", "invalid")</f>
        <v>Valid</v>
      </c>
    </row>
    <row r="196" spans="1:23">
      <c r="A196" t="s">
        <v>654</v>
      </c>
      <c r="B196" t="s">
        <v>75</v>
      </c>
      <c r="C196" s="31" t="s">
        <v>655</v>
      </c>
      <c r="D196" s="32" t="s">
        <v>656</v>
      </c>
      <c r="E196" t="s">
        <v>21</v>
      </c>
      <c r="F196" t="s">
        <v>22</v>
      </c>
      <c r="G196" t="s">
        <v>23</v>
      </c>
      <c r="H196" t="s">
        <v>64</v>
      </c>
      <c r="I196" t="s">
        <v>25</v>
      </c>
      <c r="J196">
        <v>9.6999999999999993</v>
      </c>
      <c r="K196">
        <v>24</v>
      </c>
      <c r="L196" t="s">
        <v>26</v>
      </c>
      <c r="M196">
        <v>5</v>
      </c>
      <c r="N196" t="s">
        <v>27</v>
      </c>
      <c r="O196" t="s">
        <v>28</v>
      </c>
      <c r="P196" t="s">
        <v>29</v>
      </c>
      <c r="Q196" t="s">
        <v>30</v>
      </c>
      <c r="R196" t="str">
        <f>IF(Table1[[#This Row],[Resolution_Time_Hrs]]&gt;Table1[[#This Row],[SLA_Target_Hrs]],"No", "Yes")</f>
        <v>Yes</v>
      </c>
      <c r="S196" t="str">
        <f>IF(Table1[[#This Row],[Calculated_SLA]]=Table1[[#This Row],[SLA_Met]],"Match","Mismatch")</f>
        <v>Match</v>
      </c>
      <c r="T196">
        <f>IF(Table1[[#This Row],[Calculated_SLA]]="Yes",1,0)</f>
        <v>1</v>
      </c>
      <c r="U196" t="str">
        <f>IF(COUNTIFS(Reference_data!A:A,Table1[[#This Row],[Category]],Reference_data!B:B,Table1[[#This Row],[Sub_Category]])&gt;0,"Valid","Invalid")</f>
        <v>Valid</v>
      </c>
      <c r="V196" t="str">
        <f>_xlfn.XLOOKUP([1]!Table1[[#This Row],[Sub_Category]],[1]Reference_data!B:B,[1]Reference_data!A:A)</f>
        <v>Connectivity &amp; Software</v>
      </c>
      <c r="W196" t="str">
        <f>IF([1]!Table1[[#This Row],[Category]]=[1]!Table1[[#This Row],[Expected_Category ]],"Valid", "invalid")</f>
        <v>Valid</v>
      </c>
    </row>
    <row r="197" spans="1:23">
      <c r="A197" t="s">
        <v>657</v>
      </c>
      <c r="B197" t="s">
        <v>75</v>
      </c>
      <c r="C197" s="31" t="s">
        <v>658</v>
      </c>
      <c r="D197" s="32" t="s">
        <v>659</v>
      </c>
      <c r="E197" t="s">
        <v>84</v>
      </c>
      <c r="F197" t="s">
        <v>116</v>
      </c>
      <c r="G197" t="s">
        <v>46</v>
      </c>
      <c r="H197" t="s">
        <v>91</v>
      </c>
      <c r="I197" t="s">
        <v>87</v>
      </c>
      <c r="J197">
        <v>3.9</v>
      </c>
      <c r="K197">
        <v>8</v>
      </c>
      <c r="L197" t="s">
        <v>26</v>
      </c>
      <c r="M197">
        <v>5</v>
      </c>
      <c r="N197" t="s">
        <v>27</v>
      </c>
      <c r="O197" t="s">
        <v>28</v>
      </c>
      <c r="P197" t="s">
        <v>29</v>
      </c>
      <c r="Q197" t="s">
        <v>30</v>
      </c>
      <c r="R197" t="str">
        <f>IF(Table1[[#This Row],[Resolution_Time_Hrs]]&gt;Table1[[#This Row],[SLA_Target_Hrs]],"No", "Yes")</f>
        <v>Yes</v>
      </c>
      <c r="S197" t="str">
        <f>IF(Table1[[#This Row],[Calculated_SLA]]=Table1[[#This Row],[SLA_Met]],"Match","Mismatch")</f>
        <v>Match</v>
      </c>
      <c r="T197">
        <f>IF(Table1[[#This Row],[Calculated_SLA]]="Yes",1,0)</f>
        <v>1</v>
      </c>
      <c r="U197" t="str">
        <f>IF(COUNTIFS(Reference_data!A:A,Table1[[#This Row],[Category]],Reference_data!B:B,Table1[[#This Row],[Sub_Category]])&gt;0,"Valid","Invalid")</f>
        <v>Valid</v>
      </c>
      <c r="V197" t="str">
        <f>_xlfn.XLOOKUP([1]!Table1[[#This Row],[Sub_Category]],[1]Reference_data!B:B,[1]Reference_data!A:A)</f>
        <v>Supplies &amp; Logistics</v>
      </c>
      <c r="W197" t="str">
        <f>IF([1]!Table1[[#This Row],[Category]]=[1]!Table1[[#This Row],[Expected_Category ]],"Valid", "invalid")</f>
        <v>Valid</v>
      </c>
    </row>
    <row r="198" spans="1:23">
      <c r="A198" t="s">
        <v>660</v>
      </c>
      <c r="B198" t="s">
        <v>60</v>
      </c>
      <c r="C198" s="31" t="s">
        <v>661</v>
      </c>
      <c r="D198" s="32" t="s">
        <v>662</v>
      </c>
      <c r="E198" t="s">
        <v>21</v>
      </c>
      <c r="F198" t="s">
        <v>22</v>
      </c>
      <c r="G198" t="s">
        <v>46</v>
      </c>
      <c r="H198" t="s">
        <v>55</v>
      </c>
      <c r="I198" t="s">
        <v>25</v>
      </c>
      <c r="J198">
        <v>9</v>
      </c>
      <c r="K198">
        <v>8</v>
      </c>
      <c r="L198" t="s">
        <v>27</v>
      </c>
      <c r="M198">
        <v>2</v>
      </c>
      <c r="N198" t="s">
        <v>27</v>
      </c>
      <c r="O198" t="s">
        <v>28</v>
      </c>
      <c r="P198" t="s">
        <v>57</v>
      </c>
      <c r="Q198" t="s">
        <v>101</v>
      </c>
      <c r="R198" t="str">
        <f>IF(Table1[[#This Row],[Resolution_Time_Hrs]]&gt;Table1[[#This Row],[SLA_Target_Hrs]],"No", "Yes")</f>
        <v>No</v>
      </c>
      <c r="S198" t="str">
        <f>IF(Table1[[#This Row],[Calculated_SLA]]=Table1[[#This Row],[SLA_Met]],"Match","Mismatch")</f>
        <v>Match</v>
      </c>
      <c r="T198">
        <f>IF(Table1[[#This Row],[Calculated_SLA]]="Yes",1,0)</f>
        <v>0</v>
      </c>
      <c r="U198" t="str">
        <f>IF(COUNTIFS(Reference_data!A:A,Table1[[#This Row],[Category]],Reference_data!B:B,Table1[[#This Row],[Sub_Category]])&gt;0,"Valid","Invalid")</f>
        <v>Valid</v>
      </c>
      <c r="V198" t="str">
        <f>_xlfn.XLOOKUP([1]!Table1[[#This Row],[Sub_Category]],[1]Reference_data!B:B,[1]Reference_data!A:A)</f>
        <v>Connectivity &amp; Software</v>
      </c>
      <c r="W198" t="str">
        <f>IF([1]!Table1[[#This Row],[Category]]=[1]!Table1[[#This Row],[Expected_Category ]],"Valid", "invalid")</f>
        <v>Valid</v>
      </c>
    </row>
    <row r="199" spans="1:23">
      <c r="A199" t="s">
        <v>663</v>
      </c>
      <c r="B199" t="s">
        <v>66</v>
      </c>
      <c r="C199" s="31" t="s">
        <v>664</v>
      </c>
      <c r="D199" s="32" t="s">
        <v>665</v>
      </c>
      <c r="E199" t="s">
        <v>35</v>
      </c>
      <c r="F199" t="s">
        <v>127</v>
      </c>
      <c r="G199" t="s">
        <v>46</v>
      </c>
      <c r="H199" t="s">
        <v>24</v>
      </c>
      <c r="I199" t="s">
        <v>56</v>
      </c>
      <c r="J199">
        <v>12.3</v>
      </c>
      <c r="K199">
        <v>8</v>
      </c>
      <c r="L199" t="s">
        <v>27</v>
      </c>
      <c r="M199">
        <v>2</v>
      </c>
      <c r="N199" t="s">
        <v>27</v>
      </c>
      <c r="O199" t="s">
        <v>28</v>
      </c>
      <c r="P199" t="s">
        <v>57</v>
      </c>
      <c r="Q199" t="s">
        <v>30</v>
      </c>
      <c r="R199" t="str">
        <f>IF(Table1[[#This Row],[Resolution_Time_Hrs]]&gt;Table1[[#This Row],[SLA_Target_Hrs]],"No", "Yes")</f>
        <v>No</v>
      </c>
      <c r="S199" t="str">
        <f>IF(Table1[[#This Row],[Calculated_SLA]]=Table1[[#This Row],[SLA_Met]],"Match","Mismatch")</f>
        <v>Match</v>
      </c>
      <c r="T199">
        <f>IF(Table1[[#This Row],[Calculated_SLA]]="Yes",1,0)</f>
        <v>0</v>
      </c>
      <c r="U199" t="str">
        <f>IF(COUNTIFS(Reference_data!A:A,Table1[[#This Row],[Category]],Reference_data!B:B,Table1[[#This Row],[Sub_Category]])&gt;0,"Valid","Invalid")</f>
        <v>Valid</v>
      </c>
      <c r="V199" t="str">
        <f>_xlfn.XLOOKUP([1]!Table1[[#This Row],[Sub_Category]],[1]Reference_data!B:B,[1]Reference_data!A:A)</f>
        <v>Print Quality</v>
      </c>
      <c r="W199" t="str">
        <f>IF([1]!Table1[[#This Row],[Category]]=[1]!Table1[[#This Row],[Expected_Category ]],"Valid", "invalid")</f>
        <v>Valid</v>
      </c>
    </row>
    <row r="200" spans="1:23">
      <c r="A200" t="s">
        <v>666</v>
      </c>
      <c r="B200" t="s">
        <v>135</v>
      </c>
      <c r="C200" s="31" t="s">
        <v>667</v>
      </c>
      <c r="D200" s="32" t="s">
        <v>668</v>
      </c>
      <c r="E200" t="s">
        <v>44</v>
      </c>
      <c r="F200" t="s">
        <v>109</v>
      </c>
      <c r="G200" t="s">
        <v>46</v>
      </c>
      <c r="H200" t="s">
        <v>37</v>
      </c>
      <c r="I200" t="s">
        <v>48</v>
      </c>
      <c r="J200">
        <v>3.2</v>
      </c>
      <c r="K200">
        <v>8</v>
      </c>
      <c r="L200" t="s">
        <v>26</v>
      </c>
      <c r="M200">
        <v>4</v>
      </c>
      <c r="N200" t="s">
        <v>27</v>
      </c>
      <c r="O200" t="s">
        <v>28</v>
      </c>
      <c r="P200" t="s">
        <v>29</v>
      </c>
      <c r="Q200" t="s">
        <v>30</v>
      </c>
      <c r="R200" t="str">
        <f>IF(Table1[[#This Row],[Resolution_Time_Hrs]]&gt;Table1[[#This Row],[SLA_Target_Hrs]],"No", "Yes")</f>
        <v>Yes</v>
      </c>
      <c r="S200" t="str">
        <f>IF(Table1[[#This Row],[Calculated_SLA]]=Table1[[#This Row],[SLA_Met]],"Match","Mismatch")</f>
        <v>Match</v>
      </c>
      <c r="T200">
        <f>IF(Table1[[#This Row],[Calculated_SLA]]="Yes",1,0)</f>
        <v>1</v>
      </c>
      <c r="U200" t="str">
        <f>IF(COUNTIFS(Reference_data!A:A,Table1[[#This Row],[Category]],Reference_data!B:B,Table1[[#This Row],[Sub_Category]])&gt;0,"Valid","Invalid")</f>
        <v>Valid</v>
      </c>
      <c r="V200" t="str">
        <f>_xlfn.XLOOKUP([1]!Table1[[#This Row],[Sub_Category]],[1]Reference_data!B:B,[1]Reference_data!A:A)</f>
        <v>Contract &amp; Billing</v>
      </c>
      <c r="W200" t="str">
        <f>IF([1]!Table1[[#This Row],[Category]]=[1]!Table1[[#This Row],[Expected_Category ]],"Valid", "invalid")</f>
        <v>Valid</v>
      </c>
    </row>
    <row r="201" spans="1:23">
      <c r="A201" t="s">
        <v>669</v>
      </c>
      <c r="B201" t="s">
        <v>121</v>
      </c>
      <c r="C201" s="31" t="s">
        <v>670</v>
      </c>
      <c r="D201" s="32" t="s">
        <v>671</v>
      </c>
      <c r="E201" t="s">
        <v>78</v>
      </c>
      <c r="F201" t="s">
        <v>191</v>
      </c>
      <c r="G201" t="s">
        <v>46</v>
      </c>
      <c r="H201" t="s">
        <v>47</v>
      </c>
      <c r="I201" t="s">
        <v>38</v>
      </c>
      <c r="J201">
        <v>12.3</v>
      </c>
      <c r="K201">
        <v>8</v>
      </c>
      <c r="L201" t="s">
        <v>27</v>
      </c>
      <c r="M201">
        <v>3</v>
      </c>
      <c r="N201" t="s">
        <v>26</v>
      </c>
      <c r="O201" t="s">
        <v>28</v>
      </c>
      <c r="P201" t="s">
        <v>1670</v>
      </c>
      <c r="Q201" t="s">
        <v>39</v>
      </c>
      <c r="R201" t="str">
        <f>IF(Table1[[#This Row],[Resolution_Time_Hrs]]&gt;Table1[[#This Row],[SLA_Target_Hrs]],"No", "Yes")</f>
        <v>No</v>
      </c>
      <c r="S201" t="str">
        <f>IF(Table1[[#This Row],[Calculated_SLA]]=Table1[[#This Row],[SLA_Met]],"Match","Mismatch")</f>
        <v>Match</v>
      </c>
      <c r="T201">
        <f>IF(Table1[[#This Row],[Calculated_SLA]]="Yes",1,0)</f>
        <v>0</v>
      </c>
      <c r="U201" t="str">
        <f>IF(COUNTIFS(Reference_data!A:A,Table1[[#This Row],[Category]],Reference_data!B:B,Table1[[#This Row],[Sub_Category]])&gt;0,"Valid","Invalid")</f>
        <v>Valid</v>
      </c>
      <c r="V201" t="str">
        <f>_xlfn.XLOOKUP([1]!Table1[[#This Row],[Sub_Category]],[1]Reference_data!B:B,[1]Reference_data!A:A)</f>
        <v>Hardware &amp; Mechanical</v>
      </c>
      <c r="W201" t="str">
        <f>IF([1]!Table1[[#This Row],[Category]]=[1]!Table1[[#This Row],[Expected_Category ]],"Valid", "invalid")</f>
        <v>Valid</v>
      </c>
    </row>
    <row r="202" spans="1:23">
      <c r="A202" t="s">
        <v>672</v>
      </c>
      <c r="B202" t="s">
        <v>106</v>
      </c>
      <c r="C202" s="31" t="s">
        <v>673</v>
      </c>
      <c r="D202" s="32" t="s">
        <v>674</v>
      </c>
      <c r="E202" t="s">
        <v>35</v>
      </c>
      <c r="F202" t="s">
        <v>36</v>
      </c>
      <c r="G202" t="s">
        <v>46</v>
      </c>
      <c r="H202" t="s">
        <v>47</v>
      </c>
      <c r="I202" t="s">
        <v>38</v>
      </c>
      <c r="J202">
        <v>4.3</v>
      </c>
      <c r="K202">
        <v>8</v>
      </c>
      <c r="L202" t="s">
        <v>26</v>
      </c>
      <c r="M202">
        <v>4</v>
      </c>
      <c r="N202" t="s">
        <v>27</v>
      </c>
      <c r="O202" t="s">
        <v>28</v>
      </c>
      <c r="P202" t="s">
        <v>29</v>
      </c>
      <c r="Q202" t="s">
        <v>30</v>
      </c>
      <c r="R202" t="str">
        <f>IF(Table1[[#This Row],[Resolution_Time_Hrs]]&gt;Table1[[#This Row],[SLA_Target_Hrs]],"No", "Yes")</f>
        <v>Yes</v>
      </c>
      <c r="S202" t="str">
        <f>IF(Table1[[#This Row],[Calculated_SLA]]=Table1[[#This Row],[SLA_Met]],"Match","Mismatch")</f>
        <v>Match</v>
      </c>
      <c r="T202">
        <f>IF(Table1[[#This Row],[Calculated_SLA]]="Yes",1,0)</f>
        <v>1</v>
      </c>
      <c r="U202" t="str">
        <f>IF(COUNTIFS(Reference_data!A:A,Table1[[#This Row],[Category]],Reference_data!B:B,Table1[[#This Row],[Sub_Category]])&gt;0,"Valid","Invalid")</f>
        <v>Valid</v>
      </c>
      <c r="V202" t="str">
        <f>_xlfn.XLOOKUP([1]!Table1[[#This Row],[Sub_Category]],[1]Reference_data!B:B,[1]Reference_data!A:A)</f>
        <v>Print Quality</v>
      </c>
      <c r="W202" t="str">
        <f>IF([1]!Table1[[#This Row],[Category]]=[1]!Table1[[#This Row],[Expected_Category ]],"Valid", "invalid")</f>
        <v>Valid</v>
      </c>
    </row>
    <row r="203" spans="1:23">
      <c r="A203" t="s">
        <v>675</v>
      </c>
      <c r="B203" t="s">
        <v>32</v>
      </c>
      <c r="C203" s="31" t="s">
        <v>676</v>
      </c>
      <c r="D203" s="32" t="s">
        <v>677</v>
      </c>
      <c r="E203" t="s">
        <v>35</v>
      </c>
      <c r="F203" t="s">
        <v>53</v>
      </c>
      <c r="G203" t="s">
        <v>46</v>
      </c>
      <c r="H203" t="s">
        <v>234</v>
      </c>
      <c r="I203" t="s">
        <v>56</v>
      </c>
      <c r="J203">
        <v>6.1</v>
      </c>
      <c r="K203">
        <v>8</v>
      </c>
      <c r="L203" t="s">
        <v>26</v>
      </c>
      <c r="M203">
        <v>4</v>
      </c>
      <c r="N203" t="s">
        <v>27</v>
      </c>
      <c r="O203" t="s">
        <v>28</v>
      </c>
      <c r="P203" t="s">
        <v>29</v>
      </c>
      <c r="Q203" t="s">
        <v>30</v>
      </c>
      <c r="R203" t="str">
        <f>IF(Table1[[#This Row],[Resolution_Time_Hrs]]&gt;Table1[[#This Row],[SLA_Target_Hrs]],"No", "Yes")</f>
        <v>Yes</v>
      </c>
      <c r="S203" t="str">
        <f>IF(Table1[[#This Row],[Calculated_SLA]]=Table1[[#This Row],[SLA_Met]],"Match","Mismatch")</f>
        <v>Match</v>
      </c>
      <c r="T203">
        <f>IF(Table1[[#This Row],[Calculated_SLA]]="Yes",1,0)</f>
        <v>1</v>
      </c>
      <c r="U203" t="str">
        <f>IF(COUNTIFS(Reference_data!A:A,Table1[[#This Row],[Category]],Reference_data!B:B,Table1[[#This Row],[Sub_Category]])&gt;0,"Valid","Invalid")</f>
        <v>Valid</v>
      </c>
      <c r="V203" t="str">
        <f>_xlfn.XLOOKUP([1]!Table1[[#This Row],[Sub_Category]],[1]Reference_data!B:B,[1]Reference_data!A:A)</f>
        <v>Print Quality</v>
      </c>
      <c r="W203" t="str">
        <f>IF([1]!Table1[[#This Row],[Category]]=[1]!Table1[[#This Row],[Expected_Category ]],"Valid", "invalid")</f>
        <v>Valid</v>
      </c>
    </row>
    <row r="204" spans="1:23">
      <c r="A204" t="s">
        <v>678</v>
      </c>
      <c r="B204" t="s">
        <v>32</v>
      </c>
      <c r="C204" s="31" t="s">
        <v>679</v>
      </c>
      <c r="D204" s="32" t="s">
        <v>680</v>
      </c>
      <c r="E204" t="s">
        <v>78</v>
      </c>
      <c r="F204" t="s">
        <v>79</v>
      </c>
      <c r="G204" t="s">
        <v>46</v>
      </c>
      <c r="H204" t="s">
        <v>37</v>
      </c>
      <c r="I204" t="s">
        <v>80</v>
      </c>
      <c r="J204">
        <v>11.4</v>
      </c>
      <c r="K204">
        <v>8</v>
      </c>
      <c r="L204" t="s">
        <v>27</v>
      </c>
      <c r="M204">
        <v>3</v>
      </c>
      <c r="N204" t="s">
        <v>26</v>
      </c>
      <c r="O204" t="s">
        <v>28</v>
      </c>
      <c r="P204" t="s">
        <v>1670</v>
      </c>
      <c r="Q204" t="s">
        <v>39</v>
      </c>
      <c r="R204" t="str">
        <f>IF(Table1[[#This Row],[Resolution_Time_Hrs]]&gt;Table1[[#This Row],[SLA_Target_Hrs]],"No", "Yes")</f>
        <v>No</v>
      </c>
      <c r="S204" t="str">
        <f>IF(Table1[[#This Row],[Calculated_SLA]]=Table1[[#This Row],[SLA_Met]],"Match","Mismatch")</f>
        <v>Match</v>
      </c>
      <c r="T204">
        <f>IF(Table1[[#This Row],[Calculated_SLA]]="Yes",1,0)</f>
        <v>0</v>
      </c>
      <c r="U204" t="str">
        <f>IF(COUNTIFS(Reference_data!A:A,Table1[[#This Row],[Category]],Reference_data!B:B,Table1[[#This Row],[Sub_Category]])&gt;0,"Valid","Invalid")</f>
        <v>Valid</v>
      </c>
      <c r="V204" t="str">
        <f>_xlfn.XLOOKUP([1]!Table1[[#This Row],[Sub_Category]],[1]Reference_data!B:B,[1]Reference_data!A:A)</f>
        <v>Hardware &amp; Mechanical</v>
      </c>
      <c r="W204" t="str">
        <f>IF([1]!Table1[[#This Row],[Category]]=[1]!Table1[[#This Row],[Expected_Category ]],"Valid", "invalid")</f>
        <v>Valid</v>
      </c>
    </row>
    <row r="205" spans="1:23">
      <c r="A205" t="s">
        <v>681</v>
      </c>
      <c r="B205" t="s">
        <v>18</v>
      </c>
      <c r="C205" s="31" t="s">
        <v>682</v>
      </c>
      <c r="D205" s="32" t="s">
        <v>683</v>
      </c>
      <c r="E205" t="s">
        <v>21</v>
      </c>
      <c r="F205" t="s">
        <v>22</v>
      </c>
      <c r="G205" t="s">
        <v>54</v>
      </c>
      <c r="H205" t="s">
        <v>234</v>
      </c>
      <c r="I205" t="s">
        <v>25</v>
      </c>
      <c r="J205">
        <v>7.5</v>
      </c>
      <c r="K205">
        <v>4</v>
      </c>
      <c r="L205" t="s">
        <v>27</v>
      </c>
      <c r="M205">
        <v>1</v>
      </c>
      <c r="N205" t="s">
        <v>27</v>
      </c>
      <c r="O205" t="s">
        <v>28</v>
      </c>
      <c r="P205" t="s">
        <v>1670</v>
      </c>
      <c r="Q205" t="s">
        <v>39</v>
      </c>
      <c r="R205" t="str">
        <f>IF(Table1[[#This Row],[Resolution_Time_Hrs]]&gt;Table1[[#This Row],[SLA_Target_Hrs]],"No", "Yes")</f>
        <v>No</v>
      </c>
      <c r="S205" t="str">
        <f>IF(Table1[[#This Row],[Calculated_SLA]]=Table1[[#This Row],[SLA_Met]],"Match","Mismatch")</f>
        <v>Match</v>
      </c>
      <c r="T205">
        <f>IF(Table1[[#This Row],[Calculated_SLA]]="Yes",1,0)</f>
        <v>0</v>
      </c>
      <c r="U205" t="str">
        <f>IF(COUNTIFS(Reference_data!A:A,Table1[[#This Row],[Category]],Reference_data!B:B,Table1[[#This Row],[Sub_Category]])&gt;0,"Valid","Invalid")</f>
        <v>Valid</v>
      </c>
      <c r="V205" t="str">
        <f>_xlfn.XLOOKUP([1]!Table1[[#This Row],[Sub_Category]],[1]Reference_data!B:B,[1]Reference_data!A:A)</f>
        <v>Connectivity &amp; Software</v>
      </c>
      <c r="W205" t="str">
        <f>IF([1]!Table1[[#This Row],[Category]]=[1]!Table1[[#This Row],[Expected_Category ]],"Valid", "invalid")</f>
        <v>Valid</v>
      </c>
    </row>
    <row r="206" spans="1:23">
      <c r="A206" t="s">
        <v>684</v>
      </c>
      <c r="B206" t="s">
        <v>32</v>
      </c>
      <c r="C206" s="31" t="s">
        <v>685</v>
      </c>
      <c r="D206" s="32" t="s">
        <v>686</v>
      </c>
      <c r="E206" t="s">
        <v>21</v>
      </c>
      <c r="F206" t="s">
        <v>22</v>
      </c>
      <c r="G206" t="s">
        <v>46</v>
      </c>
      <c r="H206" t="s">
        <v>64</v>
      </c>
      <c r="I206" t="s">
        <v>25</v>
      </c>
      <c r="J206">
        <v>5.2</v>
      </c>
      <c r="K206">
        <v>8</v>
      </c>
      <c r="L206" t="s">
        <v>26</v>
      </c>
      <c r="M206">
        <v>4</v>
      </c>
      <c r="N206" t="s">
        <v>27</v>
      </c>
      <c r="O206" t="s">
        <v>28</v>
      </c>
      <c r="P206" t="s">
        <v>29</v>
      </c>
      <c r="Q206" t="s">
        <v>101</v>
      </c>
      <c r="R206" t="str">
        <f>IF(Table1[[#This Row],[Resolution_Time_Hrs]]&gt;Table1[[#This Row],[SLA_Target_Hrs]],"No", "Yes")</f>
        <v>Yes</v>
      </c>
      <c r="S206" t="str">
        <f>IF(Table1[[#This Row],[Calculated_SLA]]=Table1[[#This Row],[SLA_Met]],"Match","Mismatch")</f>
        <v>Match</v>
      </c>
      <c r="T206">
        <f>IF(Table1[[#This Row],[Calculated_SLA]]="Yes",1,0)</f>
        <v>1</v>
      </c>
      <c r="U206" t="str">
        <f>IF(COUNTIFS(Reference_data!A:A,Table1[[#This Row],[Category]],Reference_data!B:B,Table1[[#This Row],[Sub_Category]])&gt;0,"Valid","Invalid")</f>
        <v>Valid</v>
      </c>
      <c r="V206" t="str">
        <f>_xlfn.XLOOKUP([1]!Table1[[#This Row],[Sub_Category]],[1]Reference_data!B:B,[1]Reference_data!A:A)</f>
        <v>Connectivity &amp; Software</v>
      </c>
      <c r="W206" t="str">
        <f>IF([1]!Table1[[#This Row],[Category]]=[1]!Table1[[#This Row],[Expected_Category ]],"Valid", "invalid")</f>
        <v>Valid</v>
      </c>
    </row>
    <row r="207" spans="1:23">
      <c r="A207" t="s">
        <v>687</v>
      </c>
      <c r="B207" t="s">
        <v>60</v>
      </c>
      <c r="C207" s="31" t="s">
        <v>688</v>
      </c>
      <c r="D207" s="32" t="s">
        <v>689</v>
      </c>
      <c r="E207" t="s">
        <v>78</v>
      </c>
      <c r="F207" t="s">
        <v>191</v>
      </c>
      <c r="G207" t="s">
        <v>54</v>
      </c>
      <c r="H207" t="s">
        <v>91</v>
      </c>
      <c r="I207" t="s">
        <v>38</v>
      </c>
      <c r="J207">
        <v>13.3</v>
      </c>
      <c r="K207">
        <v>4</v>
      </c>
      <c r="L207" t="s">
        <v>27</v>
      </c>
      <c r="M207">
        <v>2</v>
      </c>
      <c r="N207" t="s">
        <v>26</v>
      </c>
      <c r="O207" t="s">
        <v>28</v>
      </c>
      <c r="P207" t="s">
        <v>1670</v>
      </c>
      <c r="Q207" t="s">
        <v>30</v>
      </c>
      <c r="R207" t="str">
        <f>IF(Table1[[#This Row],[Resolution_Time_Hrs]]&gt;Table1[[#This Row],[SLA_Target_Hrs]],"No", "Yes")</f>
        <v>No</v>
      </c>
      <c r="S207" t="str">
        <f>IF(Table1[[#This Row],[Calculated_SLA]]=Table1[[#This Row],[SLA_Met]],"Match","Mismatch")</f>
        <v>Match</v>
      </c>
      <c r="T207">
        <f>IF(Table1[[#This Row],[Calculated_SLA]]="Yes",1,0)</f>
        <v>0</v>
      </c>
      <c r="U207" t="str">
        <f>IF(COUNTIFS(Reference_data!A:A,Table1[[#This Row],[Category]],Reference_data!B:B,Table1[[#This Row],[Sub_Category]])&gt;0,"Valid","Invalid")</f>
        <v>Valid</v>
      </c>
      <c r="V207" t="str">
        <f>_xlfn.XLOOKUP([1]!Table1[[#This Row],[Sub_Category]],[1]Reference_data!B:B,[1]Reference_data!A:A)</f>
        <v>Hardware &amp; Mechanical</v>
      </c>
      <c r="W207" t="str">
        <f>IF([1]!Table1[[#This Row],[Category]]=[1]!Table1[[#This Row],[Expected_Category ]],"Valid", "invalid")</f>
        <v>Valid</v>
      </c>
    </row>
    <row r="208" spans="1:23">
      <c r="A208" t="s">
        <v>690</v>
      </c>
      <c r="B208" t="s">
        <v>41</v>
      </c>
      <c r="C208" s="31" t="s">
        <v>653</v>
      </c>
      <c r="D208" s="32" t="s">
        <v>691</v>
      </c>
      <c r="E208" t="s">
        <v>78</v>
      </c>
      <c r="F208" t="s">
        <v>191</v>
      </c>
      <c r="G208" t="s">
        <v>46</v>
      </c>
      <c r="H208" t="s">
        <v>24</v>
      </c>
      <c r="I208" t="s">
        <v>38</v>
      </c>
      <c r="J208">
        <v>21.6</v>
      </c>
      <c r="K208">
        <v>8</v>
      </c>
      <c r="L208" t="s">
        <v>27</v>
      </c>
      <c r="M208">
        <v>3</v>
      </c>
      <c r="N208" t="s">
        <v>27</v>
      </c>
      <c r="O208" t="s">
        <v>28</v>
      </c>
      <c r="P208" t="s">
        <v>57</v>
      </c>
      <c r="Q208" t="s">
        <v>39</v>
      </c>
      <c r="R208" t="str">
        <f>IF(Table1[[#This Row],[Resolution_Time_Hrs]]&gt;Table1[[#This Row],[SLA_Target_Hrs]],"No", "Yes")</f>
        <v>No</v>
      </c>
      <c r="S208" t="str">
        <f>IF(Table1[[#This Row],[Calculated_SLA]]=Table1[[#This Row],[SLA_Met]],"Match","Mismatch")</f>
        <v>Match</v>
      </c>
      <c r="T208">
        <f>IF(Table1[[#This Row],[Calculated_SLA]]="Yes",1,0)</f>
        <v>0</v>
      </c>
      <c r="U208" t="str">
        <f>IF(COUNTIFS(Reference_data!A:A,Table1[[#This Row],[Category]],Reference_data!B:B,Table1[[#This Row],[Sub_Category]])&gt;0,"Valid","Invalid")</f>
        <v>Valid</v>
      </c>
      <c r="V208" t="str">
        <f>_xlfn.XLOOKUP([1]!Table1[[#This Row],[Sub_Category]],[1]Reference_data!B:B,[1]Reference_data!A:A)</f>
        <v>Hardware &amp; Mechanical</v>
      </c>
      <c r="W208" t="str">
        <f>IF([1]!Table1[[#This Row],[Category]]=[1]!Table1[[#This Row],[Expected_Category ]],"Valid", "invalid")</f>
        <v>Valid</v>
      </c>
    </row>
    <row r="209" spans="1:23">
      <c r="A209" t="s">
        <v>692</v>
      </c>
      <c r="B209" t="s">
        <v>66</v>
      </c>
      <c r="C209" s="31" t="s">
        <v>693</v>
      </c>
      <c r="D209" s="32" t="s">
        <v>694</v>
      </c>
      <c r="E209" t="s">
        <v>21</v>
      </c>
      <c r="F209" t="s">
        <v>63</v>
      </c>
      <c r="G209" t="s">
        <v>46</v>
      </c>
      <c r="H209" t="s">
        <v>37</v>
      </c>
      <c r="I209" t="s">
        <v>25</v>
      </c>
      <c r="J209">
        <v>12.4</v>
      </c>
      <c r="K209">
        <v>8</v>
      </c>
      <c r="L209" t="s">
        <v>27</v>
      </c>
      <c r="M209">
        <v>3</v>
      </c>
      <c r="N209" t="s">
        <v>26</v>
      </c>
      <c r="O209" t="s">
        <v>28</v>
      </c>
      <c r="P209" t="s">
        <v>57</v>
      </c>
      <c r="Q209" t="s">
        <v>30</v>
      </c>
      <c r="R209" t="str">
        <f>IF(Table1[[#This Row],[Resolution_Time_Hrs]]&gt;Table1[[#This Row],[SLA_Target_Hrs]],"No", "Yes")</f>
        <v>No</v>
      </c>
      <c r="S209" t="str">
        <f>IF(Table1[[#This Row],[Calculated_SLA]]=Table1[[#This Row],[SLA_Met]],"Match","Mismatch")</f>
        <v>Match</v>
      </c>
      <c r="T209">
        <f>IF(Table1[[#This Row],[Calculated_SLA]]="Yes",1,0)</f>
        <v>0</v>
      </c>
      <c r="U209" t="str">
        <f>IF(COUNTIFS(Reference_data!A:A,Table1[[#This Row],[Category]],Reference_data!B:B,Table1[[#This Row],[Sub_Category]])&gt;0,"Valid","Invalid")</f>
        <v>Valid</v>
      </c>
      <c r="V209" t="str">
        <f>_xlfn.XLOOKUP([1]!Table1[[#This Row],[Sub_Category]],[1]Reference_data!B:B,[1]Reference_data!A:A)</f>
        <v>Connectivity &amp; Software</v>
      </c>
      <c r="W209" t="str">
        <f>IF([1]!Table1[[#This Row],[Category]]=[1]!Table1[[#This Row],[Expected_Category ]],"Valid", "invalid")</f>
        <v>Valid</v>
      </c>
    </row>
    <row r="210" spans="1:23">
      <c r="A210" t="s">
        <v>695</v>
      </c>
      <c r="B210" t="s">
        <v>41</v>
      </c>
      <c r="C210" s="31" t="s">
        <v>521</v>
      </c>
      <c r="D210" s="32" t="s">
        <v>696</v>
      </c>
      <c r="E210" t="s">
        <v>78</v>
      </c>
      <c r="F210" t="s">
        <v>166</v>
      </c>
      <c r="G210" t="s">
        <v>23</v>
      </c>
      <c r="H210" t="s">
        <v>234</v>
      </c>
      <c r="I210" t="s">
        <v>80</v>
      </c>
      <c r="J210">
        <v>11.8</v>
      </c>
      <c r="K210">
        <v>24</v>
      </c>
      <c r="L210" t="s">
        <v>26</v>
      </c>
      <c r="M210">
        <v>5</v>
      </c>
      <c r="N210" t="s">
        <v>27</v>
      </c>
      <c r="O210" t="s">
        <v>28</v>
      </c>
      <c r="P210" t="s">
        <v>29</v>
      </c>
      <c r="Q210" t="s">
        <v>30</v>
      </c>
      <c r="R210" t="str">
        <f>IF(Table1[[#This Row],[Resolution_Time_Hrs]]&gt;Table1[[#This Row],[SLA_Target_Hrs]],"No", "Yes")</f>
        <v>Yes</v>
      </c>
      <c r="S210" t="str">
        <f>IF(Table1[[#This Row],[Calculated_SLA]]=Table1[[#This Row],[SLA_Met]],"Match","Mismatch")</f>
        <v>Match</v>
      </c>
      <c r="T210">
        <f>IF(Table1[[#This Row],[Calculated_SLA]]="Yes",1,0)</f>
        <v>1</v>
      </c>
      <c r="U210" t="str">
        <f>IF(COUNTIFS(Reference_data!A:A,Table1[[#This Row],[Category]],Reference_data!B:B,Table1[[#This Row],[Sub_Category]])&gt;0,"Valid","Invalid")</f>
        <v>Valid</v>
      </c>
      <c r="V210" t="str">
        <f>_xlfn.XLOOKUP([1]!Table1[[#This Row],[Sub_Category]],[1]Reference_data!B:B,[1]Reference_data!A:A)</f>
        <v>Hardware &amp; Mechanical</v>
      </c>
      <c r="W210" t="str">
        <f>IF([1]!Table1[[#This Row],[Category]]=[1]!Table1[[#This Row],[Expected_Category ]],"Valid", "invalid")</f>
        <v>Valid</v>
      </c>
    </row>
    <row r="211" spans="1:23">
      <c r="A211" t="s">
        <v>697</v>
      </c>
      <c r="B211" t="s">
        <v>135</v>
      </c>
      <c r="C211" s="31" t="s">
        <v>698</v>
      </c>
      <c r="D211" s="32" t="s">
        <v>699</v>
      </c>
      <c r="E211" t="s">
        <v>78</v>
      </c>
      <c r="F211" t="s">
        <v>166</v>
      </c>
      <c r="G211" t="s">
        <v>23</v>
      </c>
      <c r="H211" t="s">
        <v>70</v>
      </c>
      <c r="I211" t="s">
        <v>80</v>
      </c>
      <c r="J211">
        <v>14.4</v>
      </c>
      <c r="K211">
        <v>24</v>
      </c>
      <c r="L211" t="s">
        <v>26</v>
      </c>
      <c r="M211">
        <v>4</v>
      </c>
      <c r="N211" t="s">
        <v>27</v>
      </c>
      <c r="O211" t="s">
        <v>28</v>
      </c>
      <c r="P211" t="s">
        <v>29</v>
      </c>
      <c r="Q211" t="s">
        <v>58</v>
      </c>
      <c r="R211" t="str">
        <f>IF(Table1[[#This Row],[Resolution_Time_Hrs]]&gt;Table1[[#This Row],[SLA_Target_Hrs]],"No", "Yes")</f>
        <v>Yes</v>
      </c>
      <c r="S211" t="str">
        <f>IF(Table1[[#This Row],[Calculated_SLA]]=Table1[[#This Row],[SLA_Met]],"Match","Mismatch")</f>
        <v>Match</v>
      </c>
      <c r="T211">
        <f>IF(Table1[[#This Row],[Calculated_SLA]]="Yes",1,0)</f>
        <v>1</v>
      </c>
      <c r="U211" t="str">
        <f>IF(COUNTIFS(Reference_data!A:A,Table1[[#This Row],[Category]],Reference_data!B:B,Table1[[#This Row],[Sub_Category]])&gt;0,"Valid","Invalid")</f>
        <v>Valid</v>
      </c>
      <c r="V211" t="str">
        <f>_xlfn.XLOOKUP([1]!Table1[[#This Row],[Sub_Category]],[1]Reference_data!B:B,[1]Reference_data!A:A)</f>
        <v>Hardware &amp; Mechanical</v>
      </c>
      <c r="W211" t="str">
        <f>IF([1]!Table1[[#This Row],[Category]]=[1]!Table1[[#This Row],[Expected_Category ]],"Valid", "invalid")</f>
        <v>Valid</v>
      </c>
    </row>
    <row r="212" spans="1:23">
      <c r="A212" t="s">
        <v>700</v>
      </c>
      <c r="B212" t="s">
        <v>121</v>
      </c>
      <c r="C212" s="31" t="s">
        <v>701</v>
      </c>
      <c r="D212" s="32" t="s">
        <v>702</v>
      </c>
      <c r="E212" t="s">
        <v>44</v>
      </c>
      <c r="F212" t="s">
        <v>45</v>
      </c>
      <c r="G212" t="s">
        <v>54</v>
      </c>
      <c r="H212" t="s">
        <v>24</v>
      </c>
      <c r="I212" t="s">
        <v>48</v>
      </c>
      <c r="J212">
        <v>5.2</v>
      </c>
      <c r="K212">
        <v>4</v>
      </c>
      <c r="L212" t="s">
        <v>27</v>
      </c>
      <c r="M212">
        <v>3</v>
      </c>
      <c r="N212" t="s">
        <v>27</v>
      </c>
      <c r="O212" t="s">
        <v>28</v>
      </c>
      <c r="P212" t="s">
        <v>57</v>
      </c>
      <c r="Q212" t="s">
        <v>39</v>
      </c>
      <c r="R212" t="str">
        <f>IF(Table1[[#This Row],[Resolution_Time_Hrs]]&gt;Table1[[#This Row],[SLA_Target_Hrs]],"No", "Yes")</f>
        <v>No</v>
      </c>
      <c r="S212" t="str">
        <f>IF(Table1[[#This Row],[Calculated_SLA]]=Table1[[#This Row],[SLA_Met]],"Match","Mismatch")</f>
        <v>Match</v>
      </c>
      <c r="T212">
        <f>IF(Table1[[#This Row],[Calculated_SLA]]="Yes",1,0)</f>
        <v>0</v>
      </c>
      <c r="U212" t="str">
        <f>IF(COUNTIFS(Reference_data!A:A,Table1[[#This Row],[Category]],Reference_data!B:B,Table1[[#This Row],[Sub_Category]])&gt;0,"Valid","Invalid")</f>
        <v>Valid</v>
      </c>
      <c r="V212" t="str">
        <f>_xlfn.XLOOKUP([1]!Table1[[#This Row],[Sub_Category]],[1]Reference_data!B:B,[1]Reference_data!A:A)</f>
        <v>Contract &amp; Billing</v>
      </c>
      <c r="W212" t="str">
        <f>IF([1]!Table1[[#This Row],[Category]]=[1]!Table1[[#This Row],[Expected_Category ]],"Valid", "invalid")</f>
        <v>Valid</v>
      </c>
    </row>
    <row r="213" spans="1:23">
      <c r="A213" t="s">
        <v>703</v>
      </c>
      <c r="B213" t="s">
        <v>121</v>
      </c>
      <c r="C213" s="31" t="s">
        <v>704</v>
      </c>
      <c r="D213" s="32" t="s">
        <v>705</v>
      </c>
      <c r="E213" t="s">
        <v>35</v>
      </c>
      <c r="F213" t="s">
        <v>36</v>
      </c>
      <c r="G213" t="s">
        <v>46</v>
      </c>
      <c r="H213" t="s">
        <v>86</v>
      </c>
      <c r="I213" t="s">
        <v>38</v>
      </c>
      <c r="J213">
        <v>7.9</v>
      </c>
      <c r="K213">
        <v>8</v>
      </c>
      <c r="L213" t="s">
        <v>26</v>
      </c>
      <c r="M213">
        <v>4</v>
      </c>
      <c r="N213" t="s">
        <v>27</v>
      </c>
      <c r="O213" t="s">
        <v>28</v>
      </c>
      <c r="P213" t="s">
        <v>29</v>
      </c>
      <c r="Q213" t="s">
        <v>30</v>
      </c>
      <c r="R213" t="str">
        <f>IF(Table1[[#This Row],[Resolution_Time_Hrs]]&gt;Table1[[#This Row],[SLA_Target_Hrs]],"No", "Yes")</f>
        <v>Yes</v>
      </c>
      <c r="S213" t="str">
        <f>IF(Table1[[#This Row],[Calculated_SLA]]=Table1[[#This Row],[SLA_Met]],"Match","Mismatch")</f>
        <v>Match</v>
      </c>
      <c r="T213">
        <f>IF(Table1[[#This Row],[Calculated_SLA]]="Yes",1,0)</f>
        <v>1</v>
      </c>
      <c r="U213" t="str">
        <f>IF(COUNTIFS(Reference_data!A:A,Table1[[#This Row],[Category]],Reference_data!B:B,Table1[[#This Row],[Sub_Category]])&gt;0,"Valid","Invalid")</f>
        <v>Valid</v>
      </c>
      <c r="V213" t="str">
        <f>_xlfn.XLOOKUP([1]!Table1[[#This Row],[Sub_Category]],[1]Reference_data!B:B,[1]Reference_data!A:A)</f>
        <v>Print Quality</v>
      </c>
      <c r="W213" t="str">
        <f>IF([1]!Table1[[#This Row],[Category]]=[1]!Table1[[#This Row],[Expected_Category ]],"Valid", "invalid")</f>
        <v>Valid</v>
      </c>
    </row>
    <row r="214" spans="1:23">
      <c r="A214" t="s">
        <v>706</v>
      </c>
      <c r="B214" t="s">
        <v>75</v>
      </c>
      <c r="C214" s="31" t="s">
        <v>707</v>
      </c>
      <c r="D214" s="32" t="s">
        <v>708</v>
      </c>
      <c r="E214" t="s">
        <v>35</v>
      </c>
      <c r="F214" t="s">
        <v>36</v>
      </c>
      <c r="G214" t="s">
        <v>46</v>
      </c>
      <c r="H214" t="s">
        <v>37</v>
      </c>
      <c r="I214" t="s">
        <v>38</v>
      </c>
      <c r="J214">
        <v>9.5</v>
      </c>
      <c r="K214">
        <v>8</v>
      </c>
      <c r="L214" t="s">
        <v>27</v>
      </c>
      <c r="M214">
        <v>3</v>
      </c>
      <c r="N214" t="s">
        <v>26</v>
      </c>
      <c r="O214" t="s">
        <v>28</v>
      </c>
      <c r="P214" t="s">
        <v>57</v>
      </c>
      <c r="Q214" t="s">
        <v>39</v>
      </c>
      <c r="R214" t="str">
        <f>IF(Table1[[#This Row],[Resolution_Time_Hrs]]&gt;Table1[[#This Row],[SLA_Target_Hrs]],"No", "Yes")</f>
        <v>No</v>
      </c>
      <c r="S214" t="str">
        <f>IF(Table1[[#This Row],[Calculated_SLA]]=Table1[[#This Row],[SLA_Met]],"Match","Mismatch")</f>
        <v>Match</v>
      </c>
      <c r="T214">
        <f>IF(Table1[[#This Row],[Calculated_SLA]]="Yes",1,0)</f>
        <v>0</v>
      </c>
      <c r="U214" t="str">
        <f>IF(COUNTIFS(Reference_data!A:A,Table1[[#This Row],[Category]],Reference_data!B:B,Table1[[#This Row],[Sub_Category]])&gt;0,"Valid","Invalid")</f>
        <v>Valid</v>
      </c>
      <c r="V214" t="str">
        <f>_xlfn.XLOOKUP([1]!Table1[[#This Row],[Sub_Category]],[1]Reference_data!B:B,[1]Reference_data!A:A)</f>
        <v>Print Quality</v>
      </c>
      <c r="W214" t="str">
        <f>IF([1]!Table1[[#This Row],[Category]]=[1]!Table1[[#This Row],[Expected_Category ]],"Valid", "invalid")</f>
        <v>Valid</v>
      </c>
    </row>
    <row r="215" spans="1:23">
      <c r="A215" t="s">
        <v>709</v>
      </c>
      <c r="B215" t="s">
        <v>135</v>
      </c>
      <c r="C215" s="31" t="s">
        <v>710</v>
      </c>
      <c r="D215" s="32" t="s">
        <v>711</v>
      </c>
      <c r="E215" t="s">
        <v>35</v>
      </c>
      <c r="F215" t="s">
        <v>127</v>
      </c>
      <c r="G215" t="s">
        <v>46</v>
      </c>
      <c r="H215" t="s">
        <v>55</v>
      </c>
      <c r="I215" t="s">
        <v>56</v>
      </c>
      <c r="J215">
        <v>10.9</v>
      </c>
      <c r="K215">
        <v>8</v>
      </c>
      <c r="L215" t="s">
        <v>27</v>
      </c>
      <c r="M215">
        <v>3</v>
      </c>
      <c r="N215" t="s">
        <v>27</v>
      </c>
      <c r="O215" t="s">
        <v>28</v>
      </c>
      <c r="P215" t="s">
        <v>57</v>
      </c>
      <c r="Q215" t="s">
        <v>30</v>
      </c>
      <c r="R215" t="str">
        <f>IF(Table1[[#This Row],[Resolution_Time_Hrs]]&gt;Table1[[#This Row],[SLA_Target_Hrs]],"No", "Yes")</f>
        <v>No</v>
      </c>
      <c r="S215" t="str">
        <f>IF(Table1[[#This Row],[Calculated_SLA]]=Table1[[#This Row],[SLA_Met]],"Match","Mismatch")</f>
        <v>Match</v>
      </c>
      <c r="T215">
        <f>IF(Table1[[#This Row],[Calculated_SLA]]="Yes",1,0)</f>
        <v>0</v>
      </c>
      <c r="U215" t="str">
        <f>IF(COUNTIFS(Reference_data!A:A,Table1[[#This Row],[Category]],Reference_data!B:B,Table1[[#This Row],[Sub_Category]])&gt;0,"Valid","Invalid")</f>
        <v>Valid</v>
      </c>
      <c r="V215" t="str">
        <f>_xlfn.XLOOKUP([1]!Table1[[#This Row],[Sub_Category]],[1]Reference_data!B:B,[1]Reference_data!A:A)</f>
        <v>Print Quality</v>
      </c>
      <c r="W215" t="str">
        <f>IF([1]!Table1[[#This Row],[Category]]=[1]!Table1[[#This Row],[Expected_Category ]],"Valid", "invalid")</f>
        <v>Valid</v>
      </c>
    </row>
    <row r="216" spans="1:23">
      <c r="A216" t="s">
        <v>712</v>
      </c>
      <c r="B216" t="s">
        <v>135</v>
      </c>
      <c r="C216" s="31" t="s">
        <v>713</v>
      </c>
      <c r="D216" s="32" t="s">
        <v>714</v>
      </c>
      <c r="E216" t="s">
        <v>21</v>
      </c>
      <c r="F216" t="s">
        <v>63</v>
      </c>
      <c r="G216" t="s">
        <v>54</v>
      </c>
      <c r="H216" t="s">
        <v>86</v>
      </c>
      <c r="I216" t="s">
        <v>25</v>
      </c>
      <c r="J216">
        <v>11.7</v>
      </c>
      <c r="K216">
        <v>4</v>
      </c>
      <c r="L216" t="s">
        <v>27</v>
      </c>
      <c r="M216">
        <v>3</v>
      </c>
      <c r="N216" t="s">
        <v>27</v>
      </c>
      <c r="O216" t="s">
        <v>28</v>
      </c>
      <c r="P216" t="s">
        <v>57</v>
      </c>
      <c r="Q216" t="s">
        <v>101</v>
      </c>
      <c r="R216" t="str">
        <f>IF(Table1[[#This Row],[Resolution_Time_Hrs]]&gt;Table1[[#This Row],[SLA_Target_Hrs]],"No", "Yes")</f>
        <v>No</v>
      </c>
      <c r="S216" t="str">
        <f>IF(Table1[[#This Row],[Calculated_SLA]]=Table1[[#This Row],[SLA_Met]],"Match","Mismatch")</f>
        <v>Match</v>
      </c>
      <c r="T216">
        <f>IF(Table1[[#This Row],[Calculated_SLA]]="Yes",1,0)</f>
        <v>0</v>
      </c>
      <c r="U216" t="str">
        <f>IF(COUNTIFS(Reference_data!A:A,Table1[[#This Row],[Category]],Reference_data!B:B,Table1[[#This Row],[Sub_Category]])&gt;0,"Valid","Invalid")</f>
        <v>Valid</v>
      </c>
      <c r="V216" t="str">
        <f>_xlfn.XLOOKUP([1]!Table1[[#This Row],[Sub_Category]],[1]Reference_data!B:B,[1]Reference_data!A:A)</f>
        <v>Connectivity &amp; Software</v>
      </c>
      <c r="W216" t="str">
        <f>IF([1]!Table1[[#This Row],[Category]]=[1]!Table1[[#This Row],[Expected_Category ]],"Valid", "invalid")</f>
        <v>Valid</v>
      </c>
    </row>
    <row r="217" spans="1:23">
      <c r="A217" t="s">
        <v>715</v>
      </c>
      <c r="B217" t="s">
        <v>60</v>
      </c>
      <c r="C217" s="31" t="s">
        <v>716</v>
      </c>
      <c r="D217" s="32" t="s">
        <v>717</v>
      </c>
      <c r="E217" t="s">
        <v>84</v>
      </c>
      <c r="F217" t="s">
        <v>116</v>
      </c>
      <c r="G217" t="s">
        <v>46</v>
      </c>
      <c r="H217" t="s">
        <v>91</v>
      </c>
      <c r="I217" t="s">
        <v>87</v>
      </c>
      <c r="J217">
        <v>5.8</v>
      </c>
      <c r="K217">
        <v>8</v>
      </c>
      <c r="L217" t="s">
        <v>26</v>
      </c>
      <c r="M217">
        <v>5</v>
      </c>
      <c r="N217" t="s">
        <v>27</v>
      </c>
      <c r="O217" t="s">
        <v>28</v>
      </c>
      <c r="P217" t="s">
        <v>29</v>
      </c>
      <c r="Q217" t="s">
        <v>39</v>
      </c>
      <c r="R217" t="str">
        <f>IF(Table1[[#This Row],[Resolution_Time_Hrs]]&gt;Table1[[#This Row],[SLA_Target_Hrs]],"No", "Yes")</f>
        <v>Yes</v>
      </c>
      <c r="S217" t="str">
        <f>IF(Table1[[#This Row],[Calculated_SLA]]=Table1[[#This Row],[SLA_Met]],"Match","Mismatch")</f>
        <v>Match</v>
      </c>
      <c r="T217">
        <f>IF(Table1[[#This Row],[Calculated_SLA]]="Yes",1,0)</f>
        <v>1</v>
      </c>
      <c r="U217" t="str">
        <f>IF(COUNTIFS(Reference_data!A:A,Table1[[#This Row],[Category]],Reference_data!B:B,Table1[[#This Row],[Sub_Category]])&gt;0,"Valid","Invalid")</f>
        <v>Valid</v>
      </c>
      <c r="V217" t="str">
        <f>_xlfn.XLOOKUP([1]!Table1[[#This Row],[Sub_Category]],[1]Reference_data!B:B,[1]Reference_data!A:A)</f>
        <v>Supplies &amp; Logistics</v>
      </c>
      <c r="W217" t="str">
        <f>IF([1]!Table1[[#This Row],[Category]]=[1]!Table1[[#This Row],[Expected_Category ]],"Valid", "invalid")</f>
        <v>Valid</v>
      </c>
    </row>
    <row r="218" spans="1:23">
      <c r="A218" t="s">
        <v>718</v>
      </c>
      <c r="B218" t="s">
        <v>75</v>
      </c>
      <c r="C218" s="31" t="s">
        <v>719</v>
      </c>
      <c r="D218" s="32" t="s">
        <v>720</v>
      </c>
      <c r="E218" t="s">
        <v>78</v>
      </c>
      <c r="F218" t="s">
        <v>79</v>
      </c>
      <c r="G218" t="s">
        <v>23</v>
      </c>
      <c r="H218" t="s">
        <v>86</v>
      </c>
      <c r="I218" t="s">
        <v>80</v>
      </c>
      <c r="J218">
        <v>12.8</v>
      </c>
      <c r="K218">
        <v>24</v>
      </c>
      <c r="L218" t="s">
        <v>26</v>
      </c>
      <c r="M218">
        <v>4</v>
      </c>
      <c r="N218" t="s">
        <v>27</v>
      </c>
      <c r="O218" t="s">
        <v>28</v>
      </c>
      <c r="P218" t="s">
        <v>29</v>
      </c>
      <c r="Q218" t="s">
        <v>101</v>
      </c>
      <c r="R218" t="str">
        <f>IF(Table1[[#This Row],[Resolution_Time_Hrs]]&gt;Table1[[#This Row],[SLA_Target_Hrs]],"No", "Yes")</f>
        <v>Yes</v>
      </c>
      <c r="S218" t="str">
        <f>IF(Table1[[#This Row],[Calculated_SLA]]=Table1[[#This Row],[SLA_Met]],"Match","Mismatch")</f>
        <v>Match</v>
      </c>
      <c r="T218">
        <f>IF(Table1[[#This Row],[Calculated_SLA]]="Yes",1,0)</f>
        <v>1</v>
      </c>
      <c r="U218" t="str">
        <f>IF(COUNTIFS(Reference_data!A:A,Table1[[#This Row],[Category]],Reference_data!B:B,Table1[[#This Row],[Sub_Category]])&gt;0,"Valid","Invalid")</f>
        <v>Valid</v>
      </c>
      <c r="V218" t="str">
        <f>_xlfn.XLOOKUP([1]!Table1[[#This Row],[Sub_Category]],[1]Reference_data!B:B,[1]Reference_data!A:A)</f>
        <v>Hardware &amp; Mechanical</v>
      </c>
      <c r="W218" t="str">
        <f>IF([1]!Table1[[#This Row],[Category]]=[1]!Table1[[#This Row],[Expected_Category ]],"Valid", "invalid")</f>
        <v>Valid</v>
      </c>
    </row>
    <row r="219" spans="1:23">
      <c r="A219" t="s">
        <v>721</v>
      </c>
      <c r="B219" t="s">
        <v>60</v>
      </c>
      <c r="C219" s="31" t="s">
        <v>722</v>
      </c>
      <c r="D219" s="32" t="s">
        <v>723</v>
      </c>
      <c r="E219" t="s">
        <v>21</v>
      </c>
      <c r="F219" t="s">
        <v>63</v>
      </c>
      <c r="G219" t="s">
        <v>54</v>
      </c>
      <c r="H219" t="s">
        <v>55</v>
      </c>
      <c r="I219" t="s">
        <v>25</v>
      </c>
      <c r="J219">
        <v>13.4</v>
      </c>
      <c r="K219">
        <v>4</v>
      </c>
      <c r="L219" t="s">
        <v>27</v>
      </c>
      <c r="M219">
        <v>3</v>
      </c>
      <c r="N219" t="s">
        <v>26</v>
      </c>
      <c r="O219" t="s">
        <v>28</v>
      </c>
      <c r="P219" t="s">
        <v>1670</v>
      </c>
      <c r="Q219" t="s">
        <v>39</v>
      </c>
      <c r="R219" t="str">
        <f>IF(Table1[[#This Row],[Resolution_Time_Hrs]]&gt;Table1[[#This Row],[SLA_Target_Hrs]],"No", "Yes")</f>
        <v>No</v>
      </c>
      <c r="S219" t="str">
        <f>IF(Table1[[#This Row],[Calculated_SLA]]=Table1[[#This Row],[SLA_Met]],"Match","Mismatch")</f>
        <v>Match</v>
      </c>
      <c r="T219">
        <f>IF(Table1[[#This Row],[Calculated_SLA]]="Yes",1,0)</f>
        <v>0</v>
      </c>
      <c r="U219" t="str">
        <f>IF(COUNTIFS(Reference_data!A:A,Table1[[#This Row],[Category]],Reference_data!B:B,Table1[[#This Row],[Sub_Category]])&gt;0,"Valid","Invalid")</f>
        <v>Valid</v>
      </c>
      <c r="V219" t="str">
        <f>_xlfn.XLOOKUP([1]!Table1[[#This Row],[Sub_Category]],[1]Reference_data!B:B,[1]Reference_data!A:A)</f>
        <v>Connectivity &amp; Software</v>
      </c>
      <c r="W219" t="str">
        <f>IF([1]!Table1[[#This Row],[Category]]=[1]!Table1[[#This Row],[Expected_Category ]],"Valid", "invalid")</f>
        <v>Valid</v>
      </c>
    </row>
    <row r="220" spans="1:23">
      <c r="A220" t="s">
        <v>724</v>
      </c>
      <c r="B220" t="s">
        <v>75</v>
      </c>
      <c r="C220" s="31" t="s">
        <v>725</v>
      </c>
      <c r="D220" s="32" t="s">
        <v>726</v>
      </c>
      <c r="E220" t="s">
        <v>78</v>
      </c>
      <c r="F220" t="s">
        <v>166</v>
      </c>
      <c r="G220" t="s">
        <v>46</v>
      </c>
      <c r="H220" t="s">
        <v>47</v>
      </c>
      <c r="I220" t="s">
        <v>80</v>
      </c>
      <c r="J220">
        <v>13.5</v>
      </c>
      <c r="K220">
        <v>8</v>
      </c>
      <c r="L220" t="s">
        <v>27</v>
      </c>
      <c r="M220">
        <v>2</v>
      </c>
      <c r="N220" t="s">
        <v>27</v>
      </c>
      <c r="O220" t="s">
        <v>28</v>
      </c>
      <c r="P220" t="s">
        <v>1670</v>
      </c>
      <c r="Q220" t="s">
        <v>101</v>
      </c>
      <c r="R220" t="str">
        <f>IF(Table1[[#This Row],[Resolution_Time_Hrs]]&gt;Table1[[#This Row],[SLA_Target_Hrs]],"No", "Yes")</f>
        <v>No</v>
      </c>
      <c r="S220" t="str">
        <f>IF(Table1[[#This Row],[Calculated_SLA]]=Table1[[#This Row],[SLA_Met]],"Match","Mismatch")</f>
        <v>Match</v>
      </c>
      <c r="T220">
        <f>IF(Table1[[#This Row],[Calculated_SLA]]="Yes",1,0)</f>
        <v>0</v>
      </c>
      <c r="U220" t="str">
        <f>IF(COUNTIFS(Reference_data!A:A,Table1[[#This Row],[Category]],Reference_data!B:B,Table1[[#This Row],[Sub_Category]])&gt;0,"Valid","Invalid")</f>
        <v>Valid</v>
      </c>
      <c r="V220" t="str">
        <f>_xlfn.XLOOKUP([1]!Table1[[#This Row],[Sub_Category]],[1]Reference_data!B:B,[1]Reference_data!A:A)</f>
        <v>Hardware &amp; Mechanical</v>
      </c>
      <c r="W220" t="str">
        <f>IF([1]!Table1[[#This Row],[Category]]=[1]!Table1[[#This Row],[Expected_Category ]],"Valid", "invalid")</f>
        <v>Valid</v>
      </c>
    </row>
    <row r="221" spans="1:23">
      <c r="A221" t="s">
        <v>727</v>
      </c>
      <c r="B221" t="s">
        <v>32</v>
      </c>
      <c r="C221" s="31" t="s">
        <v>728</v>
      </c>
      <c r="D221" s="32" t="s">
        <v>729</v>
      </c>
      <c r="E221" t="s">
        <v>21</v>
      </c>
      <c r="F221" t="s">
        <v>69</v>
      </c>
      <c r="G221" t="s">
        <v>23</v>
      </c>
      <c r="H221" t="s">
        <v>70</v>
      </c>
      <c r="I221" t="s">
        <v>25</v>
      </c>
      <c r="J221">
        <v>15.4</v>
      </c>
      <c r="K221">
        <v>24</v>
      </c>
      <c r="L221" t="s">
        <v>26</v>
      </c>
      <c r="M221">
        <v>5</v>
      </c>
      <c r="N221" t="s">
        <v>27</v>
      </c>
      <c r="O221" t="s">
        <v>28</v>
      </c>
      <c r="P221" t="s">
        <v>29</v>
      </c>
      <c r="Q221" t="s">
        <v>101</v>
      </c>
      <c r="R221" t="str">
        <f>IF(Table1[[#This Row],[Resolution_Time_Hrs]]&gt;Table1[[#This Row],[SLA_Target_Hrs]],"No", "Yes")</f>
        <v>Yes</v>
      </c>
      <c r="S221" t="str">
        <f>IF(Table1[[#This Row],[Calculated_SLA]]=Table1[[#This Row],[SLA_Met]],"Match","Mismatch")</f>
        <v>Match</v>
      </c>
      <c r="T221">
        <f>IF(Table1[[#This Row],[Calculated_SLA]]="Yes",1,0)</f>
        <v>1</v>
      </c>
      <c r="U221" t="str">
        <f>IF(COUNTIFS(Reference_data!A:A,Table1[[#This Row],[Category]],Reference_data!B:B,Table1[[#This Row],[Sub_Category]])&gt;0,"Valid","Invalid")</f>
        <v>Valid</v>
      </c>
      <c r="V221" t="str">
        <f>_xlfn.XLOOKUP([1]!Table1[[#This Row],[Sub_Category]],[1]Reference_data!B:B,[1]Reference_data!A:A)</f>
        <v>Connectivity &amp; Software</v>
      </c>
      <c r="W221" t="str">
        <f>IF([1]!Table1[[#This Row],[Category]]=[1]!Table1[[#This Row],[Expected_Category ]],"Valid", "invalid")</f>
        <v>Valid</v>
      </c>
    </row>
    <row r="222" spans="1:23">
      <c r="A222" t="s">
        <v>730</v>
      </c>
      <c r="B222" t="s">
        <v>60</v>
      </c>
      <c r="C222" s="31" t="s">
        <v>731</v>
      </c>
      <c r="D222" s="32" t="s">
        <v>732</v>
      </c>
      <c r="E222" t="s">
        <v>44</v>
      </c>
      <c r="F222" t="s">
        <v>45</v>
      </c>
      <c r="G222" t="s">
        <v>46</v>
      </c>
      <c r="H222" t="s">
        <v>64</v>
      </c>
      <c r="I222" t="s">
        <v>48</v>
      </c>
      <c r="J222">
        <v>2.5</v>
      </c>
      <c r="K222">
        <v>8</v>
      </c>
      <c r="L222" t="s">
        <v>26</v>
      </c>
      <c r="M222">
        <v>4</v>
      </c>
      <c r="N222" t="s">
        <v>27</v>
      </c>
      <c r="O222" t="s">
        <v>28</v>
      </c>
      <c r="P222" t="s">
        <v>29</v>
      </c>
      <c r="Q222" t="s">
        <v>30</v>
      </c>
      <c r="R222" t="str">
        <f>IF(Table1[[#This Row],[Resolution_Time_Hrs]]&gt;Table1[[#This Row],[SLA_Target_Hrs]],"No", "Yes")</f>
        <v>Yes</v>
      </c>
      <c r="S222" t="str">
        <f>IF(Table1[[#This Row],[Calculated_SLA]]=Table1[[#This Row],[SLA_Met]],"Match","Mismatch")</f>
        <v>Match</v>
      </c>
      <c r="T222">
        <f>IF(Table1[[#This Row],[Calculated_SLA]]="Yes",1,0)</f>
        <v>1</v>
      </c>
      <c r="U222" t="str">
        <f>IF(COUNTIFS(Reference_data!A:A,Table1[[#This Row],[Category]],Reference_data!B:B,Table1[[#This Row],[Sub_Category]])&gt;0,"Valid","Invalid")</f>
        <v>Valid</v>
      </c>
      <c r="V222" t="str">
        <f>_xlfn.XLOOKUP([1]!Table1[[#This Row],[Sub_Category]],[1]Reference_data!B:B,[1]Reference_data!A:A)</f>
        <v>Contract &amp; Billing</v>
      </c>
      <c r="W222" t="str">
        <f>IF([1]!Table1[[#This Row],[Category]]=[1]!Table1[[#This Row],[Expected_Category ]],"Valid", "invalid")</f>
        <v>Valid</v>
      </c>
    </row>
    <row r="223" spans="1:23">
      <c r="A223" t="s">
        <v>733</v>
      </c>
      <c r="B223" t="s">
        <v>75</v>
      </c>
      <c r="C223" s="31" t="s">
        <v>734</v>
      </c>
      <c r="D223" s="32" t="s">
        <v>735</v>
      </c>
      <c r="E223" t="s">
        <v>21</v>
      </c>
      <c r="F223" t="s">
        <v>63</v>
      </c>
      <c r="G223" t="s">
        <v>23</v>
      </c>
      <c r="H223" t="s">
        <v>55</v>
      </c>
      <c r="I223" t="s">
        <v>25</v>
      </c>
      <c r="J223">
        <v>11.2</v>
      </c>
      <c r="K223">
        <v>24</v>
      </c>
      <c r="L223" t="s">
        <v>26</v>
      </c>
      <c r="N223" t="s">
        <v>27</v>
      </c>
      <c r="O223" t="s">
        <v>28</v>
      </c>
      <c r="P223" t="s">
        <v>29</v>
      </c>
      <c r="Q223" t="s">
        <v>39</v>
      </c>
      <c r="R223" t="str">
        <f>IF(Table1[[#This Row],[Resolution_Time_Hrs]]&gt;Table1[[#This Row],[SLA_Target_Hrs]],"No", "Yes")</f>
        <v>Yes</v>
      </c>
      <c r="S223" t="str">
        <f>IF(Table1[[#This Row],[Calculated_SLA]]=Table1[[#This Row],[SLA_Met]],"Match","Mismatch")</f>
        <v>Match</v>
      </c>
      <c r="T223">
        <f>IF(Table1[[#This Row],[Calculated_SLA]]="Yes",1,0)</f>
        <v>1</v>
      </c>
      <c r="U223" t="str">
        <f>IF(COUNTIFS(Reference_data!A:A,Table1[[#This Row],[Category]],Reference_data!B:B,Table1[[#This Row],[Sub_Category]])&gt;0,"Valid","Invalid")</f>
        <v>Valid</v>
      </c>
      <c r="V223" t="str">
        <f>_xlfn.XLOOKUP([1]!Table1[[#This Row],[Sub_Category]],[1]Reference_data!B:B,[1]Reference_data!A:A)</f>
        <v>Connectivity &amp; Software</v>
      </c>
      <c r="W223" t="str">
        <f>IF([1]!Table1[[#This Row],[Category]]=[1]!Table1[[#This Row],[Expected_Category ]],"Valid", "invalid")</f>
        <v>Valid</v>
      </c>
    </row>
    <row r="224" spans="1:23">
      <c r="A224" t="s">
        <v>736</v>
      </c>
      <c r="B224" t="s">
        <v>75</v>
      </c>
      <c r="C224" s="31" t="s">
        <v>737</v>
      </c>
      <c r="D224" s="32" t="s">
        <v>738</v>
      </c>
      <c r="E224" t="s">
        <v>84</v>
      </c>
      <c r="F224" t="s">
        <v>85</v>
      </c>
      <c r="G224" t="s">
        <v>46</v>
      </c>
      <c r="H224" t="s">
        <v>55</v>
      </c>
      <c r="I224" t="s">
        <v>87</v>
      </c>
      <c r="J224">
        <v>4.8</v>
      </c>
      <c r="K224">
        <v>8</v>
      </c>
      <c r="L224" t="s">
        <v>26</v>
      </c>
      <c r="M224">
        <v>4</v>
      </c>
      <c r="N224" t="s">
        <v>27</v>
      </c>
      <c r="O224" t="s">
        <v>28</v>
      </c>
      <c r="P224" t="s">
        <v>29</v>
      </c>
      <c r="Q224" t="s">
        <v>58</v>
      </c>
      <c r="R224" t="str">
        <f>IF(Table1[[#This Row],[Resolution_Time_Hrs]]&gt;Table1[[#This Row],[SLA_Target_Hrs]],"No", "Yes")</f>
        <v>Yes</v>
      </c>
      <c r="S224" t="str">
        <f>IF(Table1[[#This Row],[Calculated_SLA]]=Table1[[#This Row],[SLA_Met]],"Match","Mismatch")</f>
        <v>Match</v>
      </c>
      <c r="T224">
        <f>IF(Table1[[#This Row],[Calculated_SLA]]="Yes",1,0)</f>
        <v>1</v>
      </c>
      <c r="U224" t="str">
        <f>IF(COUNTIFS(Reference_data!A:A,Table1[[#This Row],[Category]],Reference_data!B:B,Table1[[#This Row],[Sub_Category]])&gt;0,"Valid","Invalid")</f>
        <v>Valid</v>
      </c>
      <c r="V224" t="str">
        <f>_xlfn.XLOOKUP([1]!Table1[[#This Row],[Sub_Category]],[1]Reference_data!B:B,[1]Reference_data!A:A)</f>
        <v>Supplies &amp; Logistics</v>
      </c>
      <c r="W224" t="str">
        <f>IF([1]!Table1[[#This Row],[Category]]=[1]!Table1[[#This Row],[Expected_Category ]],"Valid", "invalid")</f>
        <v>Valid</v>
      </c>
    </row>
    <row r="225" spans="1:23">
      <c r="A225" t="s">
        <v>739</v>
      </c>
      <c r="B225" t="s">
        <v>50</v>
      </c>
      <c r="C225" s="31" t="s">
        <v>740</v>
      </c>
      <c r="D225" s="32" t="s">
        <v>741</v>
      </c>
      <c r="E225" t="s">
        <v>84</v>
      </c>
      <c r="F225" t="s">
        <v>116</v>
      </c>
      <c r="G225" t="s">
        <v>46</v>
      </c>
      <c r="H225" t="s">
        <v>24</v>
      </c>
      <c r="I225" t="s">
        <v>87</v>
      </c>
      <c r="J225">
        <v>7.9</v>
      </c>
      <c r="K225">
        <v>8</v>
      </c>
      <c r="L225" t="s">
        <v>26</v>
      </c>
      <c r="M225">
        <v>4</v>
      </c>
      <c r="N225" t="s">
        <v>27</v>
      </c>
      <c r="O225" t="s">
        <v>28</v>
      </c>
      <c r="P225" t="s">
        <v>29</v>
      </c>
      <c r="Q225" t="s">
        <v>58</v>
      </c>
      <c r="R225" t="str">
        <f>IF(Table1[[#This Row],[Resolution_Time_Hrs]]&gt;Table1[[#This Row],[SLA_Target_Hrs]],"No", "Yes")</f>
        <v>Yes</v>
      </c>
      <c r="S225" t="str">
        <f>IF(Table1[[#This Row],[Calculated_SLA]]=Table1[[#This Row],[SLA_Met]],"Match","Mismatch")</f>
        <v>Match</v>
      </c>
      <c r="T225">
        <f>IF(Table1[[#This Row],[Calculated_SLA]]="Yes",1,0)</f>
        <v>1</v>
      </c>
      <c r="U225" t="str">
        <f>IF(COUNTIFS(Reference_data!A:A,Table1[[#This Row],[Category]],Reference_data!B:B,Table1[[#This Row],[Sub_Category]])&gt;0,"Valid","Invalid")</f>
        <v>Valid</v>
      </c>
      <c r="V225" t="str">
        <f>_xlfn.XLOOKUP([1]!Table1[[#This Row],[Sub_Category]],[1]Reference_data!B:B,[1]Reference_data!A:A)</f>
        <v>Supplies &amp; Logistics</v>
      </c>
      <c r="W225" t="str">
        <f>IF([1]!Table1[[#This Row],[Category]]=[1]!Table1[[#This Row],[Expected_Category ]],"Valid", "invalid")</f>
        <v>Valid</v>
      </c>
    </row>
    <row r="226" spans="1:23">
      <c r="A226" t="s">
        <v>742</v>
      </c>
      <c r="B226" t="s">
        <v>18</v>
      </c>
      <c r="C226" s="31" t="s">
        <v>743</v>
      </c>
      <c r="D226" s="32" t="s">
        <v>744</v>
      </c>
      <c r="E226" t="s">
        <v>21</v>
      </c>
      <c r="F226" t="s">
        <v>22</v>
      </c>
      <c r="G226" t="s">
        <v>46</v>
      </c>
      <c r="H226" t="s">
        <v>138</v>
      </c>
      <c r="I226" t="s">
        <v>25</v>
      </c>
      <c r="J226">
        <v>9.1999999999999993</v>
      </c>
      <c r="K226">
        <v>8</v>
      </c>
      <c r="L226" t="s">
        <v>27</v>
      </c>
      <c r="M226">
        <v>2</v>
      </c>
      <c r="N226" t="s">
        <v>27</v>
      </c>
      <c r="O226" t="s">
        <v>28</v>
      </c>
      <c r="P226" t="s">
        <v>1670</v>
      </c>
      <c r="Q226" t="s">
        <v>39</v>
      </c>
      <c r="R226" t="str">
        <f>IF(Table1[[#This Row],[Resolution_Time_Hrs]]&gt;Table1[[#This Row],[SLA_Target_Hrs]],"No", "Yes")</f>
        <v>No</v>
      </c>
      <c r="S226" t="str">
        <f>IF(Table1[[#This Row],[Calculated_SLA]]=Table1[[#This Row],[SLA_Met]],"Match","Mismatch")</f>
        <v>Match</v>
      </c>
      <c r="T226">
        <f>IF(Table1[[#This Row],[Calculated_SLA]]="Yes",1,0)</f>
        <v>0</v>
      </c>
      <c r="U226" t="str">
        <f>IF(COUNTIFS(Reference_data!A:A,Table1[[#This Row],[Category]],Reference_data!B:B,Table1[[#This Row],[Sub_Category]])&gt;0,"Valid","Invalid")</f>
        <v>Valid</v>
      </c>
      <c r="V226" t="str">
        <f>_xlfn.XLOOKUP([1]!Table1[[#This Row],[Sub_Category]],[1]Reference_data!B:B,[1]Reference_data!A:A)</f>
        <v>Connectivity &amp; Software</v>
      </c>
      <c r="W226" t="str">
        <f>IF([1]!Table1[[#This Row],[Category]]=[1]!Table1[[#This Row],[Expected_Category ]],"Valid", "invalid")</f>
        <v>Valid</v>
      </c>
    </row>
    <row r="227" spans="1:23">
      <c r="A227" t="s">
        <v>745</v>
      </c>
      <c r="B227" t="s">
        <v>18</v>
      </c>
      <c r="C227" s="31" t="s">
        <v>746</v>
      </c>
      <c r="D227" s="32" t="s">
        <v>747</v>
      </c>
      <c r="E227" t="s">
        <v>84</v>
      </c>
      <c r="F227" t="s">
        <v>85</v>
      </c>
      <c r="G227" t="s">
        <v>54</v>
      </c>
      <c r="H227" t="s">
        <v>70</v>
      </c>
      <c r="I227" t="s">
        <v>87</v>
      </c>
      <c r="J227">
        <v>5.2</v>
      </c>
      <c r="K227">
        <v>4</v>
      </c>
      <c r="L227" t="s">
        <v>27</v>
      </c>
      <c r="M227">
        <v>2</v>
      </c>
      <c r="N227" t="s">
        <v>27</v>
      </c>
      <c r="O227" t="s">
        <v>28</v>
      </c>
      <c r="P227" t="s">
        <v>1670</v>
      </c>
      <c r="Q227" t="s">
        <v>58</v>
      </c>
      <c r="R227" t="str">
        <f>IF(Table1[[#This Row],[Resolution_Time_Hrs]]&gt;Table1[[#This Row],[SLA_Target_Hrs]],"No", "Yes")</f>
        <v>No</v>
      </c>
      <c r="S227" t="str">
        <f>IF(Table1[[#This Row],[Calculated_SLA]]=Table1[[#This Row],[SLA_Met]],"Match","Mismatch")</f>
        <v>Match</v>
      </c>
      <c r="T227">
        <f>IF(Table1[[#This Row],[Calculated_SLA]]="Yes",1,0)</f>
        <v>0</v>
      </c>
      <c r="U227" t="str">
        <f>IF(COUNTIFS(Reference_data!A:A,Table1[[#This Row],[Category]],Reference_data!B:B,Table1[[#This Row],[Sub_Category]])&gt;0,"Valid","Invalid")</f>
        <v>Valid</v>
      </c>
      <c r="V227" t="str">
        <f>_xlfn.XLOOKUP([1]!Table1[[#This Row],[Sub_Category]],[1]Reference_data!B:B,[1]Reference_data!A:A)</f>
        <v>Supplies &amp; Logistics</v>
      </c>
      <c r="W227" t="str">
        <f>IF([1]!Table1[[#This Row],[Category]]=[1]!Table1[[#This Row],[Expected_Category ]],"Valid", "invalid")</f>
        <v>Valid</v>
      </c>
    </row>
    <row r="228" spans="1:23">
      <c r="A228" t="s">
        <v>748</v>
      </c>
      <c r="B228" t="s">
        <v>60</v>
      </c>
      <c r="C228" s="31" t="s">
        <v>749</v>
      </c>
      <c r="D228" s="32" t="s">
        <v>750</v>
      </c>
      <c r="E228" t="s">
        <v>44</v>
      </c>
      <c r="F228" t="s">
        <v>45</v>
      </c>
      <c r="G228" t="s">
        <v>46</v>
      </c>
      <c r="H228" t="s">
        <v>138</v>
      </c>
      <c r="I228" t="s">
        <v>48</v>
      </c>
      <c r="J228">
        <v>1.9</v>
      </c>
      <c r="K228">
        <v>8</v>
      </c>
      <c r="L228" t="s">
        <v>26</v>
      </c>
      <c r="M228">
        <v>5</v>
      </c>
      <c r="N228" t="s">
        <v>27</v>
      </c>
      <c r="O228" t="s">
        <v>28</v>
      </c>
      <c r="P228" t="s">
        <v>29</v>
      </c>
      <c r="Q228" t="s">
        <v>30</v>
      </c>
      <c r="R228" t="str">
        <f>IF(Table1[[#This Row],[Resolution_Time_Hrs]]&gt;Table1[[#This Row],[SLA_Target_Hrs]],"No", "Yes")</f>
        <v>Yes</v>
      </c>
      <c r="S228" t="str">
        <f>IF(Table1[[#This Row],[Calculated_SLA]]=Table1[[#This Row],[SLA_Met]],"Match","Mismatch")</f>
        <v>Match</v>
      </c>
      <c r="T228">
        <f>IF(Table1[[#This Row],[Calculated_SLA]]="Yes",1,0)</f>
        <v>1</v>
      </c>
      <c r="U228" t="str">
        <f>IF(COUNTIFS(Reference_data!A:A,Table1[[#This Row],[Category]],Reference_data!B:B,Table1[[#This Row],[Sub_Category]])&gt;0,"Valid","Invalid")</f>
        <v>Valid</v>
      </c>
      <c r="V228" t="str">
        <f>_xlfn.XLOOKUP([1]!Table1[[#This Row],[Sub_Category]],[1]Reference_data!B:B,[1]Reference_data!A:A)</f>
        <v>Contract &amp; Billing</v>
      </c>
      <c r="W228" t="str">
        <f>IF([1]!Table1[[#This Row],[Category]]=[1]!Table1[[#This Row],[Expected_Category ]],"Valid", "invalid")</f>
        <v>Valid</v>
      </c>
    </row>
    <row r="229" spans="1:23">
      <c r="A229" t="s">
        <v>751</v>
      </c>
      <c r="B229" t="s">
        <v>75</v>
      </c>
      <c r="C229" s="31" t="s">
        <v>752</v>
      </c>
      <c r="D229" s="32" t="s">
        <v>753</v>
      </c>
      <c r="E229" t="s">
        <v>78</v>
      </c>
      <c r="F229" t="s">
        <v>191</v>
      </c>
      <c r="G229" t="s">
        <v>46</v>
      </c>
      <c r="H229" t="s">
        <v>24</v>
      </c>
      <c r="I229" t="s">
        <v>38</v>
      </c>
      <c r="J229">
        <v>14.5</v>
      </c>
      <c r="K229">
        <v>8</v>
      </c>
      <c r="L229" t="s">
        <v>27</v>
      </c>
      <c r="M229">
        <v>3</v>
      </c>
      <c r="N229" t="s">
        <v>27</v>
      </c>
      <c r="O229" t="s">
        <v>28</v>
      </c>
      <c r="P229" t="s">
        <v>57</v>
      </c>
      <c r="Q229" t="s">
        <v>58</v>
      </c>
      <c r="R229" t="str">
        <f>IF(Table1[[#This Row],[Resolution_Time_Hrs]]&gt;Table1[[#This Row],[SLA_Target_Hrs]],"No", "Yes")</f>
        <v>No</v>
      </c>
      <c r="S229" t="str">
        <f>IF(Table1[[#This Row],[Calculated_SLA]]=Table1[[#This Row],[SLA_Met]],"Match","Mismatch")</f>
        <v>Match</v>
      </c>
      <c r="T229">
        <f>IF(Table1[[#This Row],[Calculated_SLA]]="Yes",1,0)</f>
        <v>0</v>
      </c>
      <c r="U229" t="str">
        <f>IF(COUNTIFS(Reference_data!A:A,Table1[[#This Row],[Category]],Reference_data!B:B,Table1[[#This Row],[Sub_Category]])&gt;0,"Valid","Invalid")</f>
        <v>Valid</v>
      </c>
      <c r="V229" t="str">
        <f>_xlfn.XLOOKUP([1]!Table1[[#This Row],[Sub_Category]],[1]Reference_data!B:B,[1]Reference_data!A:A)</f>
        <v>Hardware &amp; Mechanical</v>
      </c>
      <c r="W229" t="str">
        <f>IF([1]!Table1[[#This Row],[Category]]=[1]!Table1[[#This Row],[Expected_Category ]],"Valid", "invalid")</f>
        <v>Valid</v>
      </c>
    </row>
    <row r="230" spans="1:23">
      <c r="A230" t="s">
        <v>754</v>
      </c>
      <c r="B230" t="s">
        <v>121</v>
      </c>
      <c r="C230" s="31" t="s">
        <v>755</v>
      </c>
      <c r="D230" s="32" t="s">
        <v>756</v>
      </c>
      <c r="E230" t="s">
        <v>35</v>
      </c>
      <c r="F230" t="s">
        <v>53</v>
      </c>
      <c r="G230" t="s">
        <v>23</v>
      </c>
      <c r="H230" t="s">
        <v>47</v>
      </c>
      <c r="I230" t="s">
        <v>56</v>
      </c>
      <c r="J230">
        <v>7.4</v>
      </c>
      <c r="K230">
        <v>24</v>
      </c>
      <c r="L230" t="s">
        <v>26</v>
      </c>
      <c r="M230">
        <v>4</v>
      </c>
      <c r="N230" t="s">
        <v>27</v>
      </c>
      <c r="O230" t="s">
        <v>28</v>
      </c>
      <c r="P230" t="s">
        <v>29</v>
      </c>
      <c r="Q230" t="s">
        <v>101</v>
      </c>
      <c r="R230" t="str">
        <f>IF(Table1[[#This Row],[Resolution_Time_Hrs]]&gt;Table1[[#This Row],[SLA_Target_Hrs]],"No", "Yes")</f>
        <v>Yes</v>
      </c>
      <c r="S230" t="str">
        <f>IF(Table1[[#This Row],[Calculated_SLA]]=Table1[[#This Row],[SLA_Met]],"Match","Mismatch")</f>
        <v>Match</v>
      </c>
      <c r="T230">
        <f>IF(Table1[[#This Row],[Calculated_SLA]]="Yes",1,0)</f>
        <v>1</v>
      </c>
      <c r="U230" t="str">
        <f>IF(COUNTIFS(Reference_data!A:A,Table1[[#This Row],[Category]],Reference_data!B:B,Table1[[#This Row],[Sub_Category]])&gt;0,"Valid","Invalid")</f>
        <v>Valid</v>
      </c>
      <c r="V230" t="str">
        <f>_xlfn.XLOOKUP([1]!Table1[[#This Row],[Sub_Category]],[1]Reference_data!B:B,[1]Reference_data!A:A)</f>
        <v>Print Quality</v>
      </c>
      <c r="W230" t="str">
        <f>IF([1]!Table1[[#This Row],[Category]]=[1]!Table1[[#This Row],[Expected_Category ]],"Valid", "invalid")</f>
        <v>Valid</v>
      </c>
    </row>
    <row r="231" spans="1:23">
      <c r="A231" t="s">
        <v>757</v>
      </c>
      <c r="B231" t="s">
        <v>32</v>
      </c>
      <c r="C231" s="31" t="s">
        <v>758</v>
      </c>
      <c r="D231" s="32" t="s">
        <v>759</v>
      </c>
      <c r="E231" t="s">
        <v>21</v>
      </c>
      <c r="F231" t="s">
        <v>63</v>
      </c>
      <c r="G231" t="s">
        <v>46</v>
      </c>
      <c r="H231" t="s">
        <v>138</v>
      </c>
      <c r="I231" t="s">
        <v>25</v>
      </c>
      <c r="J231">
        <v>13</v>
      </c>
      <c r="K231">
        <v>8</v>
      </c>
      <c r="L231" t="s">
        <v>27</v>
      </c>
      <c r="M231">
        <v>3</v>
      </c>
      <c r="N231" t="s">
        <v>27</v>
      </c>
      <c r="O231" t="s">
        <v>28</v>
      </c>
      <c r="P231" t="s">
        <v>1670</v>
      </c>
      <c r="Q231" t="s">
        <v>101</v>
      </c>
      <c r="R231" t="str">
        <f>IF(Table1[[#This Row],[Resolution_Time_Hrs]]&gt;Table1[[#This Row],[SLA_Target_Hrs]],"No", "Yes")</f>
        <v>No</v>
      </c>
      <c r="S231" t="str">
        <f>IF(Table1[[#This Row],[Calculated_SLA]]=Table1[[#This Row],[SLA_Met]],"Match","Mismatch")</f>
        <v>Match</v>
      </c>
      <c r="T231">
        <f>IF(Table1[[#This Row],[Calculated_SLA]]="Yes",1,0)</f>
        <v>0</v>
      </c>
      <c r="U231" t="str">
        <f>IF(COUNTIFS(Reference_data!A:A,Table1[[#This Row],[Category]],Reference_data!B:B,Table1[[#This Row],[Sub_Category]])&gt;0,"Valid","Invalid")</f>
        <v>Valid</v>
      </c>
      <c r="V231" t="str">
        <f>_xlfn.XLOOKUP([1]!Table1[[#This Row],[Sub_Category]],[1]Reference_data!B:B,[1]Reference_data!A:A)</f>
        <v>Connectivity &amp; Software</v>
      </c>
      <c r="W231" t="str">
        <f>IF([1]!Table1[[#This Row],[Category]]=[1]!Table1[[#This Row],[Expected_Category ]],"Valid", "invalid")</f>
        <v>Valid</v>
      </c>
    </row>
    <row r="232" spans="1:23">
      <c r="A232" t="s">
        <v>760</v>
      </c>
      <c r="B232" t="s">
        <v>135</v>
      </c>
      <c r="C232" s="31" t="s">
        <v>761</v>
      </c>
      <c r="D232" s="32" t="s">
        <v>762</v>
      </c>
      <c r="E232" t="s">
        <v>21</v>
      </c>
      <c r="F232" t="s">
        <v>22</v>
      </c>
      <c r="G232" t="s">
        <v>23</v>
      </c>
      <c r="H232" t="s">
        <v>91</v>
      </c>
      <c r="I232" t="s">
        <v>25</v>
      </c>
      <c r="J232">
        <v>14.4</v>
      </c>
      <c r="K232">
        <v>24</v>
      </c>
      <c r="L232" t="s">
        <v>26</v>
      </c>
      <c r="N232" t="s">
        <v>27</v>
      </c>
      <c r="O232" t="s">
        <v>28</v>
      </c>
      <c r="P232" t="s">
        <v>29</v>
      </c>
      <c r="Q232" t="s">
        <v>39</v>
      </c>
      <c r="R232" t="str">
        <f>IF(Table1[[#This Row],[Resolution_Time_Hrs]]&gt;Table1[[#This Row],[SLA_Target_Hrs]],"No", "Yes")</f>
        <v>Yes</v>
      </c>
      <c r="S232" t="str">
        <f>IF(Table1[[#This Row],[Calculated_SLA]]=Table1[[#This Row],[SLA_Met]],"Match","Mismatch")</f>
        <v>Match</v>
      </c>
      <c r="T232">
        <f>IF(Table1[[#This Row],[Calculated_SLA]]="Yes",1,0)</f>
        <v>1</v>
      </c>
      <c r="U232" t="str">
        <f>IF(COUNTIFS(Reference_data!A:A,Table1[[#This Row],[Category]],Reference_data!B:B,Table1[[#This Row],[Sub_Category]])&gt;0,"Valid","Invalid")</f>
        <v>Valid</v>
      </c>
      <c r="V232" t="str">
        <f>_xlfn.XLOOKUP([1]!Table1[[#This Row],[Sub_Category]],[1]Reference_data!B:B,[1]Reference_data!A:A)</f>
        <v>Connectivity &amp; Software</v>
      </c>
      <c r="W232" t="str">
        <f>IF([1]!Table1[[#This Row],[Category]]=[1]!Table1[[#This Row],[Expected_Category ]],"Valid", "invalid")</f>
        <v>Valid</v>
      </c>
    </row>
    <row r="233" spans="1:23">
      <c r="A233" t="s">
        <v>763</v>
      </c>
      <c r="B233" t="s">
        <v>75</v>
      </c>
      <c r="C233" s="31" t="s">
        <v>764</v>
      </c>
      <c r="D233" s="32" t="s">
        <v>765</v>
      </c>
      <c r="E233" t="s">
        <v>21</v>
      </c>
      <c r="F233" t="s">
        <v>22</v>
      </c>
      <c r="G233" t="s">
        <v>23</v>
      </c>
      <c r="H233" t="s">
        <v>234</v>
      </c>
      <c r="I233" t="s">
        <v>25</v>
      </c>
      <c r="J233">
        <v>10.199999999999999</v>
      </c>
      <c r="K233">
        <v>24</v>
      </c>
      <c r="L233" t="s">
        <v>26</v>
      </c>
      <c r="M233">
        <v>5</v>
      </c>
      <c r="N233" t="s">
        <v>27</v>
      </c>
      <c r="O233" t="s">
        <v>28</v>
      </c>
      <c r="P233" t="s">
        <v>29</v>
      </c>
      <c r="Q233" t="s">
        <v>30</v>
      </c>
      <c r="R233" t="str">
        <f>IF(Table1[[#This Row],[Resolution_Time_Hrs]]&gt;Table1[[#This Row],[SLA_Target_Hrs]],"No", "Yes")</f>
        <v>Yes</v>
      </c>
      <c r="S233" t="str">
        <f>IF(Table1[[#This Row],[Calculated_SLA]]=Table1[[#This Row],[SLA_Met]],"Match","Mismatch")</f>
        <v>Match</v>
      </c>
      <c r="T233">
        <f>IF(Table1[[#This Row],[Calculated_SLA]]="Yes",1,0)</f>
        <v>1</v>
      </c>
      <c r="U233" t="str">
        <f>IF(COUNTIFS(Reference_data!A:A,Table1[[#This Row],[Category]],Reference_data!B:B,Table1[[#This Row],[Sub_Category]])&gt;0,"Valid","Invalid")</f>
        <v>Valid</v>
      </c>
      <c r="V233" t="str">
        <f>_xlfn.XLOOKUP([1]!Table1[[#This Row],[Sub_Category]],[1]Reference_data!B:B,[1]Reference_data!A:A)</f>
        <v>Connectivity &amp; Software</v>
      </c>
      <c r="W233" t="str">
        <f>IF([1]!Table1[[#This Row],[Category]]=[1]!Table1[[#This Row],[Expected_Category ]],"Valid", "invalid")</f>
        <v>Valid</v>
      </c>
    </row>
    <row r="234" spans="1:23">
      <c r="A234" t="s">
        <v>766</v>
      </c>
      <c r="B234" t="s">
        <v>121</v>
      </c>
      <c r="C234" s="31" t="s">
        <v>767</v>
      </c>
      <c r="D234" s="32" t="s">
        <v>768</v>
      </c>
      <c r="E234" t="s">
        <v>21</v>
      </c>
      <c r="F234" t="s">
        <v>22</v>
      </c>
      <c r="G234" t="s">
        <v>23</v>
      </c>
      <c r="H234" t="s">
        <v>24</v>
      </c>
      <c r="I234" t="s">
        <v>25</v>
      </c>
      <c r="J234">
        <v>13.7</v>
      </c>
      <c r="K234">
        <v>24</v>
      </c>
      <c r="L234" t="s">
        <v>26</v>
      </c>
      <c r="M234">
        <v>4</v>
      </c>
      <c r="N234" t="s">
        <v>27</v>
      </c>
      <c r="O234" t="s">
        <v>28</v>
      </c>
      <c r="P234" t="s">
        <v>29</v>
      </c>
      <c r="Q234" t="s">
        <v>58</v>
      </c>
      <c r="R234" t="str">
        <f>IF(Table1[[#This Row],[Resolution_Time_Hrs]]&gt;Table1[[#This Row],[SLA_Target_Hrs]],"No", "Yes")</f>
        <v>Yes</v>
      </c>
      <c r="S234" t="str">
        <f>IF(Table1[[#This Row],[Calculated_SLA]]=Table1[[#This Row],[SLA_Met]],"Match","Mismatch")</f>
        <v>Match</v>
      </c>
      <c r="T234">
        <f>IF(Table1[[#This Row],[Calculated_SLA]]="Yes",1,0)</f>
        <v>1</v>
      </c>
      <c r="U234" t="str">
        <f>IF(COUNTIFS(Reference_data!A:A,Table1[[#This Row],[Category]],Reference_data!B:B,Table1[[#This Row],[Sub_Category]])&gt;0,"Valid","Invalid")</f>
        <v>Valid</v>
      </c>
      <c r="V234" t="str">
        <f>_xlfn.XLOOKUP([1]!Table1[[#This Row],[Sub_Category]],[1]Reference_data!B:B,[1]Reference_data!A:A)</f>
        <v>Connectivity &amp; Software</v>
      </c>
      <c r="W234" t="str">
        <f>IF([1]!Table1[[#This Row],[Category]]=[1]!Table1[[#This Row],[Expected_Category ]],"Valid", "invalid")</f>
        <v>Valid</v>
      </c>
    </row>
    <row r="235" spans="1:23">
      <c r="A235" t="s">
        <v>769</v>
      </c>
      <c r="B235" t="s">
        <v>32</v>
      </c>
      <c r="C235" s="31" t="s">
        <v>770</v>
      </c>
      <c r="D235" s="32" t="s">
        <v>771</v>
      </c>
      <c r="E235" t="s">
        <v>78</v>
      </c>
      <c r="F235" t="s">
        <v>191</v>
      </c>
      <c r="G235" t="s">
        <v>23</v>
      </c>
      <c r="H235" t="s">
        <v>138</v>
      </c>
      <c r="I235" t="s">
        <v>38</v>
      </c>
      <c r="J235">
        <v>18.100000000000001</v>
      </c>
      <c r="K235">
        <v>24</v>
      </c>
      <c r="L235" t="s">
        <v>26</v>
      </c>
      <c r="M235">
        <v>4</v>
      </c>
      <c r="N235" t="s">
        <v>27</v>
      </c>
      <c r="O235" t="s">
        <v>28</v>
      </c>
      <c r="P235" t="s">
        <v>29</v>
      </c>
      <c r="Q235" t="s">
        <v>39</v>
      </c>
      <c r="R235" t="str">
        <f>IF(Table1[[#This Row],[Resolution_Time_Hrs]]&gt;Table1[[#This Row],[SLA_Target_Hrs]],"No", "Yes")</f>
        <v>Yes</v>
      </c>
      <c r="S235" t="str">
        <f>IF(Table1[[#This Row],[Calculated_SLA]]=Table1[[#This Row],[SLA_Met]],"Match","Mismatch")</f>
        <v>Match</v>
      </c>
      <c r="T235">
        <f>IF(Table1[[#This Row],[Calculated_SLA]]="Yes",1,0)</f>
        <v>1</v>
      </c>
      <c r="U235" t="str">
        <f>IF(COUNTIFS(Reference_data!A:A,Table1[[#This Row],[Category]],Reference_data!B:B,Table1[[#This Row],[Sub_Category]])&gt;0,"Valid","Invalid")</f>
        <v>Valid</v>
      </c>
      <c r="V235" t="str">
        <f>_xlfn.XLOOKUP([1]!Table1[[#This Row],[Sub_Category]],[1]Reference_data!B:B,[1]Reference_data!A:A)</f>
        <v>Hardware &amp; Mechanical</v>
      </c>
      <c r="W235" t="str">
        <f>IF([1]!Table1[[#This Row],[Category]]=[1]!Table1[[#This Row],[Expected_Category ]],"Valid", "invalid")</f>
        <v>Valid</v>
      </c>
    </row>
    <row r="236" spans="1:23">
      <c r="A236" t="s">
        <v>772</v>
      </c>
      <c r="B236" t="s">
        <v>18</v>
      </c>
      <c r="C236" s="31" t="s">
        <v>773</v>
      </c>
      <c r="D236" s="32" t="s">
        <v>774</v>
      </c>
      <c r="E236" t="s">
        <v>44</v>
      </c>
      <c r="F236" t="s">
        <v>45</v>
      </c>
      <c r="G236" t="s">
        <v>46</v>
      </c>
      <c r="H236" t="s">
        <v>47</v>
      </c>
      <c r="I236" t="s">
        <v>48</v>
      </c>
      <c r="J236">
        <v>3.3</v>
      </c>
      <c r="K236">
        <v>8</v>
      </c>
      <c r="L236" t="s">
        <v>27</v>
      </c>
      <c r="M236">
        <v>3</v>
      </c>
      <c r="N236" t="s">
        <v>26</v>
      </c>
      <c r="O236" t="s">
        <v>28</v>
      </c>
      <c r="P236" t="s">
        <v>57</v>
      </c>
      <c r="Q236" t="s">
        <v>39</v>
      </c>
      <c r="R236" t="str">
        <f>IF(Table1[[#This Row],[Resolution_Time_Hrs]]&gt;Table1[[#This Row],[SLA_Target_Hrs]],"No", "Yes")</f>
        <v>Yes</v>
      </c>
      <c r="S236" t="str">
        <f>IF(Table1[[#This Row],[Calculated_SLA]]=Table1[[#This Row],[SLA_Met]],"Match","Mismatch")</f>
        <v>Mismatch</v>
      </c>
      <c r="T236">
        <f>IF(Table1[[#This Row],[Calculated_SLA]]="Yes",1,0)</f>
        <v>1</v>
      </c>
      <c r="U236" t="str">
        <f>IF(COUNTIFS(Reference_data!A:A,Table1[[#This Row],[Category]],Reference_data!B:B,Table1[[#This Row],[Sub_Category]])&gt;0,"Valid","Invalid")</f>
        <v>Valid</v>
      </c>
      <c r="V236" t="str">
        <f>_xlfn.XLOOKUP([1]!Table1[[#This Row],[Sub_Category]],[1]Reference_data!B:B,[1]Reference_data!A:A)</f>
        <v>Contract &amp; Billing</v>
      </c>
      <c r="W236" t="str">
        <f>IF([1]!Table1[[#This Row],[Category]]=[1]!Table1[[#This Row],[Expected_Category ]],"Valid", "invalid")</f>
        <v>Valid</v>
      </c>
    </row>
    <row r="237" spans="1:23">
      <c r="A237" t="s">
        <v>775</v>
      </c>
      <c r="B237" t="s">
        <v>121</v>
      </c>
      <c r="C237" s="31" t="s">
        <v>776</v>
      </c>
      <c r="D237" s="32" t="s">
        <v>777</v>
      </c>
      <c r="E237" t="s">
        <v>21</v>
      </c>
      <c r="F237" t="s">
        <v>22</v>
      </c>
      <c r="G237" t="s">
        <v>23</v>
      </c>
      <c r="H237" t="s">
        <v>91</v>
      </c>
      <c r="I237" t="s">
        <v>25</v>
      </c>
      <c r="J237">
        <v>10.1</v>
      </c>
      <c r="K237">
        <v>24</v>
      </c>
      <c r="L237" t="s">
        <v>26</v>
      </c>
      <c r="N237" t="s">
        <v>27</v>
      </c>
      <c r="O237" t="s">
        <v>28</v>
      </c>
      <c r="P237" t="s">
        <v>29</v>
      </c>
      <c r="Q237" t="s">
        <v>101</v>
      </c>
      <c r="R237" t="str">
        <f>IF(Table1[[#This Row],[Resolution_Time_Hrs]]&gt;Table1[[#This Row],[SLA_Target_Hrs]],"No", "Yes")</f>
        <v>Yes</v>
      </c>
      <c r="S237" t="str">
        <f>IF(Table1[[#This Row],[Calculated_SLA]]=Table1[[#This Row],[SLA_Met]],"Match","Mismatch")</f>
        <v>Match</v>
      </c>
      <c r="T237">
        <f>IF(Table1[[#This Row],[Calculated_SLA]]="Yes",1,0)</f>
        <v>1</v>
      </c>
      <c r="U237" t="str">
        <f>IF(COUNTIFS(Reference_data!A:A,Table1[[#This Row],[Category]],Reference_data!B:B,Table1[[#This Row],[Sub_Category]])&gt;0,"Valid","Invalid")</f>
        <v>Valid</v>
      </c>
      <c r="V237" t="str">
        <f>_xlfn.XLOOKUP([1]!Table1[[#This Row],[Sub_Category]],[1]Reference_data!B:B,[1]Reference_data!A:A)</f>
        <v>Connectivity &amp; Software</v>
      </c>
      <c r="W237" t="str">
        <f>IF([1]!Table1[[#This Row],[Category]]=[1]!Table1[[#This Row],[Expected_Category ]],"Valid", "invalid")</f>
        <v>Valid</v>
      </c>
    </row>
    <row r="238" spans="1:23">
      <c r="A238" t="s">
        <v>778</v>
      </c>
      <c r="B238" t="s">
        <v>41</v>
      </c>
      <c r="C238" s="31" t="s">
        <v>779</v>
      </c>
      <c r="D238" s="32" t="s">
        <v>780</v>
      </c>
      <c r="E238" t="s">
        <v>84</v>
      </c>
      <c r="F238" t="s">
        <v>116</v>
      </c>
      <c r="G238" t="s">
        <v>54</v>
      </c>
      <c r="H238" t="s">
        <v>24</v>
      </c>
      <c r="I238" t="s">
        <v>87</v>
      </c>
      <c r="J238">
        <v>9.4</v>
      </c>
      <c r="K238">
        <v>4</v>
      </c>
      <c r="L238" t="s">
        <v>27</v>
      </c>
      <c r="M238">
        <v>2</v>
      </c>
      <c r="N238" t="s">
        <v>27</v>
      </c>
      <c r="O238" t="s">
        <v>28</v>
      </c>
      <c r="P238" t="s">
        <v>57</v>
      </c>
      <c r="Q238" t="s">
        <v>39</v>
      </c>
      <c r="R238" t="str">
        <f>IF(Table1[[#This Row],[Resolution_Time_Hrs]]&gt;Table1[[#This Row],[SLA_Target_Hrs]],"No", "Yes")</f>
        <v>No</v>
      </c>
      <c r="S238" t="str">
        <f>IF(Table1[[#This Row],[Calculated_SLA]]=Table1[[#This Row],[SLA_Met]],"Match","Mismatch")</f>
        <v>Match</v>
      </c>
      <c r="T238">
        <f>IF(Table1[[#This Row],[Calculated_SLA]]="Yes",1,0)</f>
        <v>0</v>
      </c>
      <c r="U238" t="str">
        <f>IF(COUNTIFS(Reference_data!A:A,Table1[[#This Row],[Category]],Reference_data!B:B,Table1[[#This Row],[Sub_Category]])&gt;0,"Valid","Invalid")</f>
        <v>Valid</v>
      </c>
      <c r="V238" t="str">
        <f>_xlfn.XLOOKUP([1]!Table1[[#This Row],[Sub_Category]],[1]Reference_data!B:B,[1]Reference_data!A:A)</f>
        <v>Supplies &amp; Logistics</v>
      </c>
      <c r="W238" t="str">
        <f>IF([1]!Table1[[#This Row],[Category]]=[1]!Table1[[#This Row],[Expected_Category ]],"Valid", "invalid")</f>
        <v>Valid</v>
      </c>
    </row>
    <row r="239" spans="1:23">
      <c r="A239" t="s">
        <v>781</v>
      </c>
      <c r="B239" t="s">
        <v>60</v>
      </c>
      <c r="C239" s="31" t="s">
        <v>782</v>
      </c>
      <c r="D239" s="32" t="s">
        <v>783</v>
      </c>
      <c r="E239" t="s">
        <v>21</v>
      </c>
      <c r="F239" t="s">
        <v>63</v>
      </c>
      <c r="G239" t="s">
        <v>46</v>
      </c>
      <c r="H239" t="s">
        <v>70</v>
      </c>
      <c r="I239" t="s">
        <v>25</v>
      </c>
      <c r="J239">
        <v>9.5</v>
      </c>
      <c r="K239">
        <v>8</v>
      </c>
      <c r="L239" t="s">
        <v>27</v>
      </c>
      <c r="M239">
        <v>2</v>
      </c>
      <c r="N239" t="s">
        <v>26</v>
      </c>
      <c r="O239" t="s">
        <v>28</v>
      </c>
      <c r="P239" t="s">
        <v>57</v>
      </c>
      <c r="Q239" t="s">
        <v>101</v>
      </c>
      <c r="R239" t="str">
        <f>IF(Table1[[#This Row],[Resolution_Time_Hrs]]&gt;Table1[[#This Row],[SLA_Target_Hrs]],"No", "Yes")</f>
        <v>No</v>
      </c>
      <c r="S239" t="str">
        <f>IF(Table1[[#This Row],[Calculated_SLA]]=Table1[[#This Row],[SLA_Met]],"Match","Mismatch")</f>
        <v>Match</v>
      </c>
      <c r="T239">
        <f>IF(Table1[[#This Row],[Calculated_SLA]]="Yes",1,0)</f>
        <v>0</v>
      </c>
      <c r="U239" t="str">
        <f>IF(COUNTIFS(Reference_data!A:A,Table1[[#This Row],[Category]],Reference_data!B:B,Table1[[#This Row],[Sub_Category]])&gt;0,"Valid","Invalid")</f>
        <v>Valid</v>
      </c>
      <c r="V239" t="str">
        <f>_xlfn.XLOOKUP([1]!Table1[[#This Row],[Sub_Category]],[1]Reference_data!B:B,[1]Reference_data!A:A)</f>
        <v>Connectivity &amp; Software</v>
      </c>
      <c r="W239" t="str">
        <f>IF([1]!Table1[[#This Row],[Category]]=[1]!Table1[[#This Row],[Expected_Category ]],"Valid", "invalid")</f>
        <v>Valid</v>
      </c>
    </row>
    <row r="240" spans="1:23">
      <c r="A240" t="s">
        <v>784</v>
      </c>
      <c r="B240" t="s">
        <v>106</v>
      </c>
      <c r="C240" s="31" t="s">
        <v>785</v>
      </c>
      <c r="D240" s="32" t="s">
        <v>786</v>
      </c>
      <c r="E240" t="s">
        <v>21</v>
      </c>
      <c r="F240" t="s">
        <v>22</v>
      </c>
      <c r="G240" t="s">
        <v>46</v>
      </c>
      <c r="H240" t="s">
        <v>55</v>
      </c>
      <c r="I240" t="s">
        <v>25</v>
      </c>
      <c r="J240">
        <v>14.5</v>
      </c>
      <c r="K240">
        <v>8</v>
      </c>
      <c r="L240" t="s">
        <v>27</v>
      </c>
      <c r="M240">
        <v>2</v>
      </c>
      <c r="N240" t="s">
        <v>27</v>
      </c>
      <c r="O240" t="s">
        <v>28</v>
      </c>
      <c r="P240" t="s">
        <v>1670</v>
      </c>
      <c r="Q240" t="s">
        <v>58</v>
      </c>
      <c r="R240" t="str">
        <f>IF(Table1[[#This Row],[Resolution_Time_Hrs]]&gt;Table1[[#This Row],[SLA_Target_Hrs]],"No", "Yes")</f>
        <v>No</v>
      </c>
      <c r="S240" t="str">
        <f>IF(Table1[[#This Row],[Calculated_SLA]]=Table1[[#This Row],[SLA_Met]],"Match","Mismatch")</f>
        <v>Match</v>
      </c>
      <c r="T240">
        <f>IF(Table1[[#This Row],[Calculated_SLA]]="Yes",1,0)</f>
        <v>0</v>
      </c>
      <c r="U240" t="str">
        <f>IF(COUNTIFS(Reference_data!A:A,Table1[[#This Row],[Category]],Reference_data!B:B,Table1[[#This Row],[Sub_Category]])&gt;0,"Valid","Invalid")</f>
        <v>Valid</v>
      </c>
      <c r="V240" t="str">
        <f>_xlfn.XLOOKUP([1]!Table1[[#This Row],[Sub_Category]],[1]Reference_data!B:B,[1]Reference_data!A:A)</f>
        <v>Connectivity &amp; Software</v>
      </c>
      <c r="W240" t="str">
        <f>IF([1]!Table1[[#This Row],[Category]]=[1]!Table1[[#This Row],[Expected_Category ]],"Valid", "invalid")</f>
        <v>Valid</v>
      </c>
    </row>
    <row r="241" spans="1:23">
      <c r="A241" t="s">
        <v>787</v>
      </c>
      <c r="B241" t="s">
        <v>135</v>
      </c>
      <c r="C241" s="31" t="s">
        <v>788</v>
      </c>
      <c r="D241" s="32" t="s">
        <v>789</v>
      </c>
      <c r="E241" t="s">
        <v>84</v>
      </c>
      <c r="F241" t="s">
        <v>116</v>
      </c>
      <c r="G241" t="s">
        <v>46</v>
      </c>
      <c r="H241" t="s">
        <v>91</v>
      </c>
      <c r="I241" t="s">
        <v>87</v>
      </c>
      <c r="J241">
        <v>4</v>
      </c>
      <c r="K241">
        <v>8</v>
      </c>
      <c r="L241" t="s">
        <v>26</v>
      </c>
      <c r="M241">
        <v>5</v>
      </c>
      <c r="N241" t="s">
        <v>27</v>
      </c>
      <c r="O241" t="s">
        <v>28</v>
      </c>
      <c r="P241" t="s">
        <v>29</v>
      </c>
      <c r="Q241" t="s">
        <v>58</v>
      </c>
      <c r="R241" t="str">
        <f>IF(Table1[[#This Row],[Resolution_Time_Hrs]]&gt;Table1[[#This Row],[SLA_Target_Hrs]],"No", "Yes")</f>
        <v>Yes</v>
      </c>
      <c r="S241" t="str">
        <f>IF(Table1[[#This Row],[Calculated_SLA]]=Table1[[#This Row],[SLA_Met]],"Match","Mismatch")</f>
        <v>Match</v>
      </c>
      <c r="T241">
        <f>IF(Table1[[#This Row],[Calculated_SLA]]="Yes",1,0)</f>
        <v>1</v>
      </c>
      <c r="U241" t="str">
        <f>IF(COUNTIFS(Reference_data!A:A,Table1[[#This Row],[Category]],Reference_data!B:B,Table1[[#This Row],[Sub_Category]])&gt;0,"Valid","Invalid")</f>
        <v>Valid</v>
      </c>
      <c r="V241" t="str">
        <f>_xlfn.XLOOKUP([1]!Table1[[#This Row],[Sub_Category]],[1]Reference_data!B:B,[1]Reference_data!A:A)</f>
        <v>Supplies &amp; Logistics</v>
      </c>
      <c r="W241" t="str">
        <f>IF([1]!Table1[[#This Row],[Category]]=[1]!Table1[[#This Row],[Expected_Category ]],"Valid", "invalid")</f>
        <v>Valid</v>
      </c>
    </row>
    <row r="242" spans="1:23">
      <c r="A242" t="s">
        <v>790</v>
      </c>
      <c r="B242" t="s">
        <v>41</v>
      </c>
      <c r="C242" s="31" t="s">
        <v>791</v>
      </c>
      <c r="D242" s="32" t="s">
        <v>792</v>
      </c>
      <c r="E242" t="s">
        <v>21</v>
      </c>
      <c r="F242" t="s">
        <v>22</v>
      </c>
      <c r="G242" t="s">
        <v>54</v>
      </c>
      <c r="H242" t="s">
        <v>86</v>
      </c>
      <c r="I242" t="s">
        <v>25</v>
      </c>
      <c r="J242">
        <v>12.3</v>
      </c>
      <c r="K242">
        <v>4</v>
      </c>
      <c r="L242" t="s">
        <v>27</v>
      </c>
      <c r="M242">
        <v>3</v>
      </c>
      <c r="N242" t="s">
        <v>26</v>
      </c>
      <c r="O242" t="s">
        <v>28</v>
      </c>
      <c r="P242" t="s">
        <v>57</v>
      </c>
      <c r="Q242" t="s">
        <v>58</v>
      </c>
      <c r="R242" t="str">
        <f>IF(Table1[[#This Row],[Resolution_Time_Hrs]]&gt;Table1[[#This Row],[SLA_Target_Hrs]],"No", "Yes")</f>
        <v>No</v>
      </c>
      <c r="S242" t="str">
        <f>IF(Table1[[#This Row],[Calculated_SLA]]=Table1[[#This Row],[SLA_Met]],"Match","Mismatch")</f>
        <v>Match</v>
      </c>
      <c r="T242">
        <f>IF(Table1[[#This Row],[Calculated_SLA]]="Yes",1,0)</f>
        <v>0</v>
      </c>
      <c r="U242" t="str">
        <f>IF(COUNTIFS(Reference_data!A:A,Table1[[#This Row],[Category]],Reference_data!B:B,Table1[[#This Row],[Sub_Category]])&gt;0,"Valid","Invalid")</f>
        <v>Valid</v>
      </c>
      <c r="V242" t="str">
        <f>_xlfn.XLOOKUP([1]!Table1[[#This Row],[Sub_Category]],[1]Reference_data!B:B,[1]Reference_data!A:A)</f>
        <v>Connectivity &amp; Software</v>
      </c>
      <c r="W242" t="str">
        <f>IF([1]!Table1[[#This Row],[Category]]=[1]!Table1[[#This Row],[Expected_Category ]],"Valid", "invalid")</f>
        <v>Valid</v>
      </c>
    </row>
    <row r="243" spans="1:23">
      <c r="A243" t="s">
        <v>793</v>
      </c>
      <c r="B243" t="s">
        <v>66</v>
      </c>
      <c r="C243" s="31" t="s">
        <v>614</v>
      </c>
      <c r="D243" s="32" t="s">
        <v>794</v>
      </c>
      <c r="E243" t="s">
        <v>21</v>
      </c>
      <c r="F243" t="s">
        <v>69</v>
      </c>
      <c r="G243" t="s">
        <v>23</v>
      </c>
      <c r="H243" t="s">
        <v>37</v>
      </c>
      <c r="I243" t="s">
        <v>25</v>
      </c>
      <c r="J243">
        <v>9.9</v>
      </c>
      <c r="K243">
        <v>24</v>
      </c>
      <c r="L243" t="s">
        <v>26</v>
      </c>
      <c r="M243">
        <v>4</v>
      </c>
      <c r="N243" t="s">
        <v>27</v>
      </c>
      <c r="O243" t="s">
        <v>28</v>
      </c>
      <c r="P243" t="s">
        <v>29</v>
      </c>
      <c r="Q243" t="s">
        <v>58</v>
      </c>
      <c r="R243" t="str">
        <f>IF(Table1[[#This Row],[Resolution_Time_Hrs]]&gt;Table1[[#This Row],[SLA_Target_Hrs]],"No", "Yes")</f>
        <v>Yes</v>
      </c>
      <c r="S243" t="str">
        <f>IF(Table1[[#This Row],[Calculated_SLA]]=Table1[[#This Row],[SLA_Met]],"Match","Mismatch")</f>
        <v>Match</v>
      </c>
      <c r="T243">
        <f>IF(Table1[[#This Row],[Calculated_SLA]]="Yes",1,0)</f>
        <v>1</v>
      </c>
      <c r="U243" t="str">
        <f>IF(COUNTIFS(Reference_data!A:A,Table1[[#This Row],[Category]],Reference_data!B:B,Table1[[#This Row],[Sub_Category]])&gt;0,"Valid","Invalid")</f>
        <v>Valid</v>
      </c>
      <c r="V243" t="str">
        <f>_xlfn.XLOOKUP([1]!Table1[[#This Row],[Sub_Category]],[1]Reference_data!B:B,[1]Reference_data!A:A)</f>
        <v>Connectivity &amp; Software</v>
      </c>
      <c r="W243" t="str">
        <f>IF([1]!Table1[[#This Row],[Category]]=[1]!Table1[[#This Row],[Expected_Category ]],"Valid", "invalid")</f>
        <v>Valid</v>
      </c>
    </row>
    <row r="244" spans="1:23">
      <c r="A244" t="s">
        <v>795</v>
      </c>
      <c r="B244" t="s">
        <v>135</v>
      </c>
      <c r="C244" s="31" t="s">
        <v>796</v>
      </c>
      <c r="D244" s="32" t="s">
        <v>797</v>
      </c>
      <c r="E244" t="s">
        <v>21</v>
      </c>
      <c r="F244" t="s">
        <v>63</v>
      </c>
      <c r="G244" t="s">
        <v>54</v>
      </c>
      <c r="H244" t="s">
        <v>55</v>
      </c>
      <c r="I244" t="s">
        <v>25</v>
      </c>
      <c r="J244">
        <v>14.3</v>
      </c>
      <c r="K244">
        <v>4</v>
      </c>
      <c r="L244" t="s">
        <v>27</v>
      </c>
      <c r="M244">
        <v>1</v>
      </c>
      <c r="N244" t="s">
        <v>27</v>
      </c>
      <c r="O244" t="s">
        <v>28</v>
      </c>
      <c r="P244" t="s">
        <v>1670</v>
      </c>
      <c r="Q244" t="s">
        <v>101</v>
      </c>
      <c r="R244" t="str">
        <f>IF(Table1[[#This Row],[Resolution_Time_Hrs]]&gt;Table1[[#This Row],[SLA_Target_Hrs]],"No", "Yes")</f>
        <v>No</v>
      </c>
      <c r="S244" t="str">
        <f>IF(Table1[[#This Row],[Calculated_SLA]]=Table1[[#This Row],[SLA_Met]],"Match","Mismatch")</f>
        <v>Match</v>
      </c>
      <c r="T244">
        <f>IF(Table1[[#This Row],[Calculated_SLA]]="Yes",1,0)</f>
        <v>0</v>
      </c>
      <c r="U244" t="str">
        <f>IF(COUNTIFS(Reference_data!A:A,Table1[[#This Row],[Category]],Reference_data!B:B,Table1[[#This Row],[Sub_Category]])&gt;0,"Valid","Invalid")</f>
        <v>Valid</v>
      </c>
      <c r="V244" t="str">
        <f>_xlfn.XLOOKUP([1]!Table1[[#This Row],[Sub_Category]],[1]Reference_data!B:B,[1]Reference_data!A:A)</f>
        <v>Connectivity &amp; Software</v>
      </c>
      <c r="W244" t="str">
        <f>IF([1]!Table1[[#This Row],[Category]]=[1]!Table1[[#This Row],[Expected_Category ]],"Valid", "invalid")</f>
        <v>Valid</v>
      </c>
    </row>
    <row r="245" spans="1:23">
      <c r="A245" t="s">
        <v>798</v>
      </c>
      <c r="B245" t="s">
        <v>50</v>
      </c>
      <c r="C245" s="31" t="s">
        <v>799</v>
      </c>
      <c r="D245" s="32" t="s">
        <v>800</v>
      </c>
      <c r="E245" t="s">
        <v>78</v>
      </c>
      <c r="F245" t="s">
        <v>191</v>
      </c>
      <c r="G245" t="s">
        <v>46</v>
      </c>
      <c r="H245" t="s">
        <v>234</v>
      </c>
      <c r="I245" t="s">
        <v>38</v>
      </c>
      <c r="J245">
        <v>13.6</v>
      </c>
      <c r="K245">
        <v>8</v>
      </c>
      <c r="L245" t="s">
        <v>27</v>
      </c>
      <c r="M245">
        <v>2</v>
      </c>
      <c r="N245" t="s">
        <v>27</v>
      </c>
      <c r="O245" t="s">
        <v>28</v>
      </c>
      <c r="P245" t="s">
        <v>57</v>
      </c>
      <c r="Q245" t="s">
        <v>39</v>
      </c>
      <c r="R245" t="str">
        <f>IF(Table1[[#This Row],[Resolution_Time_Hrs]]&gt;Table1[[#This Row],[SLA_Target_Hrs]],"No", "Yes")</f>
        <v>No</v>
      </c>
      <c r="S245" t="str">
        <f>IF(Table1[[#This Row],[Calculated_SLA]]=Table1[[#This Row],[SLA_Met]],"Match","Mismatch")</f>
        <v>Match</v>
      </c>
      <c r="T245">
        <f>IF(Table1[[#This Row],[Calculated_SLA]]="Yes",1,0)</f>
        <v>0</v>
      </c>
      <c r="U245" t="str">
        <f>IF(COUNTIFS(Reference_data!A:A,Table1[[#This Row],[Category]],Reference_data!B:B,Table1[[#This Row],[Sub_Category]])&gt;0,"Valid","Invalid")</f>
        <v>Valid</v>
      </c>
      <c r="V245" t="str">
        <f>_xlfn.XLOOKUP([1]!Table1[[#This Row],[Sub_Category]],[1]Reference_data!B:B,[1]Reference_data!A:A)</f>
        <v>Hardware &amp; Mechanical</v>
      </c>
      <c r="W245" t="str">
        <f>IF([1]!Table1[[#This Row],[Category]]=[1]!Table1[[#This Row],[Expected_Category ]],"Valid", "invalid")</f>
        <v>Valid</v>
      </c>
    </row>
    <row r="246" spans="1:23">
      <c r="A246" t="s">
        <v>801</v>
      </c>
      <c r="B246" t="s">
        <v>32</v>
      </c>
      <c r="C246" s="31" t="s">
        <v>802</v>
      </c>
      <c r="D246" s="32" t="s">
        <v>803</v>
      </c>
      <c r="E246" t="s">
        <v>35</v>
      </c>
      <c r="F246" t="s">
        <v>127</v>
      </c>
      <c r="G246" t="s">
        <v>54</v>
      </c>
      <c r="H246" t="s">
        <v>24</v>
      </c>
      <c r="I246" t="s">
        <v>56</v>
      </c>
      <c r="J246">
        <v>15.4</v>
      </c>
      <c r="K246">
        <v>4</v>
      </c>
      <c r="L246" t="s">
        <v>27</v>
      </c>
      <c r="M246">
        <v>1</v>
      </c>
      <c r="N246" t="s">
        <v>26</v>
      </c>
      <c r="O246" t="s">
        <v>28</v>
      </c>
      <c r="P246" t="s">
        <v>1670</v>
      </c>
      <c r="Q246" t="s">
        <v>101</v>
      </c>
      <c r="R246" t="str">
        <f>IF(Table1[[#This Row],[Resolution_Time_Hrs]]&gt;Table1[[#This Row],[SLA_Target_Hrs]],"No", "Yes")</f>
        <v>No</v>
      </c>
      <c r="S246" t="str">
        <f>IF(Table1[[#This Row],[Calculated_SLA]]=Table1[[#This Row],[SLA_Met]],"Match","Mismatch")</f>
        <v>Match</v>
      </c>
      <c r="T246">
        <f>IF(Table1[[#This Row],[Calculated_SLA]]="Yes",1,0)</f>
        <v>0</v>
      </c>
      <c r="U246" t="str">
        <f>IF(COUNTIFS(Reference_data!A:A,Table1[[#This Row],[Category]],Reference_data!B:B,Table1[[#This Row],[Sub_Category]])&gt;0,"Valid","Invalid")</f>
        <v>Valid</v>
      </c>
      <c r="V246" t="str">
        <f>_xlfn.XLOOKUP([1]!Table1[[#This Row],[Sub_Category]],[1]Reference_data!B:B,[1]Reference_data!A:A)</f>
        <v>Print Quality</v>
      </c>
      <c r="W246" t="str">
        <f>IF([1]!Table1[[#This Row],[Category]]=[1]!Table1[[#This Row],[Expected_Category ]],"Valid", "invalid")</f>
        <v>Valid</v>
      </c>
    </row>
    <row r="247" spans="1:23">
      <c r="A247" t="s">
        <v>804</v>
      </c>
      <c r="B247" t="s">
        <v>50</v>
      </c>
      <c r="C247" s="31" t="s">
        <v>805</v>
      </c>
      <c r="D247" s="32" t="s">
        <v>806</v>
      </c>
      <c r="E247" t="s">
        <v>35</v>
      </c>
      <c r="F247" t="s">
        <v>36</v>
      </c>
      <c r="G247" t="s">
        <v>46</v>
      </c>
      <c r="H247" t="s">
        <v>86</v>
      </c>
      <c r="I247" t="s">
        <v>38</v>
      </c>
      <c r="J247">
        <v>10</v>
      </c>
      <c r="K247">
        <v>8</v>
      </c>
      <c r="L247" t="s">
        <v>27</v>
      </c>
      <c r="M247">
        <v>1</v>
      </c>
      <c r="N247" t="s">
        <v>27</v>
      </c>
      <c r="O247" t="s">
        <v>28</v>
      </c>
      <c r="P247" t="s">
        <v>57</v>
      </c>
      <c r="Q247" t="s">
        <v>58</v>
      </c>
      <c r="R247" t="str">
        <f>IF(Table1[[#This Row],[Resolution_Time_Hrs]]&gt;Table1[[#This Row],[SLA_Target_Hrs]],"No", "Yes")</f>
        <v>No</v>
      </c>
      <c r="S247" t="str">
        <f>IF(Table1[[#This Row],[Calculated_SLA]]=Table1[[#This Row],[SLA_Met]],"Match","Mismatch")</f>
        <v>Match</v>
      </c>
      <c r="T247">
        <f>IF(Table1[[#This Row],[Calculated_SLA]]="Yes",1,0)</f>
        <v>0</v>
      </c>
      <c r="U247" t="str">
        <f>IF(COUNTIFS(Reference_data!A:A,Table1[[#This Row],[Category]],Reference_data!B:B,Table1[[#This Row],[Sub_Category]])&gt;0,"Valid","Invalid")</f>
        <v>Valid</v>
      </c>
      <c r="V247" t="str">
        <f>_xlfn.XLOOKUP([1]!Table1[[#This Row],[Sub_Category]],[1]Reference_data!B:B,[1]Reference_data!A:A)</f>
        <v>Print Quality</v>
      </c>
      <c r="W247" t="str">
        <f>IF([1]!Table1[[#This Row],[Category]]=[1]!Table1[[#This Row],[Expected_Category ]],"Valid", "invalid")</f>
        <v>Valid</v>
      </c>
    </row>
    <row r="248" spans="1:23">
      <c r="A248" t="s">
        <v>807</v>
      </c>
      <c r="B248" t="s">
        <v>135</v>
      </c>
      <c r="C248" s="31" t="s">
        <v>808</v>
      </c>
      <c r="D248" s="32" t="s">
        <v>809</v>
      </c>
      <c r="E248" t="s">
        <v>21</v>
      </c>
      <c r="F248" t="s">
        <v>63</v>
      </c>
      <c r="G248" t="s">
        <v>23</v>
      </c>
      <c r="H248" t="s">
        <v>86</v>
      </c>
      <c r="I248" t="s">
        <v>25</v>
      </c>
      <c r="J248">
        <v>12.6</v>
      </c>
      <c r="K248">
        <v>24</v>
      </c>
      <c r="L248" t="s">
        <v>26</v>
      </c>
      <c r="M248">
        <v>4</v>
      </c>
      <c r="N248" t="s">
        <v>27</v>
      </c>
      <c r="O248" t="s">
        <v>28</v>
      </c>
      <c r="P248" t="s">
        <v>29</v>
      </c>
      <c r="Q248" t="s">
        <v>101</v>
      </c>
      <c r="R248" t="str">
        <f>IF(Table1[[#This Row],[Resolution_Time_Hrs]]&gt;Table1[[#This Row],[SLA_Target_Hrs]],"No", "Yes")</f>
        <v>Yes</v>
      </c>
      <c r="S248" t="str">
        <f>IF(Table1[[#This Row],[Calculated_SLA]]=Table1[[#This Row],[SLA_Met]],"Match","Mismatch")</f>
        <v>Match</v>
      </c>
      <c r="T248">
        <f>IF(Table1[[#This Row],[Calculated_SLA]]="Yes",1,0)</f>
        <v>1</v>
      </c>
      <c r="U248" t="str">
        <f>IF(COUNTIFS(Reference_data!A:A,Table1[[#This Row],[Category]],Reference_data!B:B,Table1[[#This Row],[Sub_Category]])&gt;0,"Valid","Invalid")</f>
        <v>Valid</v>
      </c>
      <c r="V248" t="str">
        <f>_xlfn.XLOOKUP([1]!Table1[[#This Row],[Sub_Category]],[1]Reference_data!B:B,[1]Reference_data!A:A)</f>
        <v>Connectivity &amp; Software</v>
      </c>
      <c r="W248" t="str">
        <f>IF([1]!Table1[[#This Row],[Category]]=[1]!Table1[[#This Row],[Expected_Category ]],"Valid", "invalid")</f>
        <v>Valid</v>
      </c>
    </row>
    <row r="249" spans="1:23">
      <c r="A249" t="s">
        <v>810</v>
      </c>
      <c r="B249" t="s">
        <v>60</v>
      </c>
      <c r="C249" s="31" t="s">
        <v>811</v>
      </c>
      <c r="D249" s="32" t="s">
        <v>812</v>
      </c>
      <c r="E249" t="s">
        <v>78</v>
      </c>
      <c r="F249" t="s">
        <v>191</v>
      </c>
      <c r="G249" t="s">
        <v>23</v>
      </c>
      <c r="H249" t="s">
        <v>70</v>
      </c>
      <c r="I249" t="s">
        <v>38</v>
      </c>
      <c r="J249">
        <v>14.2</v>
      </c>
      <c r="K249">
        <v>24</v>
      </c>
      <c r="L249" t="s">
        <v>27</v>
      </c>
      <c r="M249">
        <v>3</v>
      </c>
      <c r="N249" t="s">
        <v>27</v>
      </c>
      <c r="O249" t="s">
        <v>28</v>
      </c>
      <c r="P249" t="s">
        <v>1670</v>
      </c>
      <c r="Q249" t="s">
        <v>39</v>
      </c>
      <c r="R249" t="str">
        <f>IF(Table1[[#This Row],[Resolution_Time_Hrs]]&gt;Table1[[#This Row],[SLA_Target_Hrs]],"No", "Yes")</f>
        <v>Yes</v>
      </c>
      <c r="S249" t="str">
        <f>IF(Table1[[#This Row],[Calculated_SLA]]=Table1[[#This Row],[SLA_Met]],"Match","Mismatch")</f>
        <v>Mismatch</v>
      </c>
      <c r="T249">
        <f>IF(Table1[[#This Row],[Calculated_SLA]]="Yes",1,0)</f>
        <v>1</v>
      </c>
      <c r="U249" t="str">
        <f>IF(COUNTIFS(Reference_data!A:A,Table1[[#This Row],[Category]],Reference_data!B:B,Table1[[#This Row],[Sub_Category]])&gt;0,"Valid","Invalid")</f>
        <v>Valid</v>
      </c>
      <c r="V249" t="str">
        <f>_xlfn.XLOOKUP([1]!Table1[[#This Row],[Sub_Category]],[1]Reference_data!B:B,[1]Reference_data!A:A)</f>
        <v>Hardware &amp; Mechanical</v>
      </c>
      <c r="W249" t="str">
        <f>IF([1]!Table1[[#This Row],[Category]]=[1]!Table1[[#This Row],[Expected_Category ]],"Valid", "invalid")</f>
        <v>Valid</v>
      </c>
    </row>
    <row r="250" spans="1:23">
      <c r="A250" t="s">
        <v>813</v>
      </c>
      <c r="B250" t="s">
        <v>32</v>
      </c>
      <c r="C250" s="31" t="s">
        <v>814</v>
      </c>
      <c r="D250" s="32" t="s">
        <v>815</v>
      </c>
      <c r="E250" t="s">
        <v>21</v>
      </c>
      <c r="F250" t="s">
        <v>22</v>
      </c>
      <c r="G250" t="s">
        <v>54</v>
      </c>
      <c r="H250" t="s">
        <v>234</v>
      </c>
      <c r="I250" t="s">
        <v>25</v>
      </c>
      <c r="J250">
        <v>14.5</v>
      </c>
      <c r="K250">
        <v>4</v>
      </c>
      <c r="L250" t="s">
        <v>27</v>
      </c>
      <c r="M250">
        <v>3</v>
      </c>
      <c r="N250" t="s">
        <v>26</v>
      </c>
      <c r="O250" t="s">
        <v>28</v>
      </c>
      <c r="P250" t="s">
        <v>1670</v>
      </c>
      <c r="Q250" t="s">
        <v>101</v>
      </c>
      <c r="R250" t="str">
        <f>IF(Table1[[#This Row],[Resolution_Time_Hrs]]&gt;Table1[[#This Row],[SLA_Target_Hrs]],"No", "Yes")</f>
        <v>No</v>
      </c>
      <c r="S250" t="str">
        <f>IF(Table1[[#This Row],[Calculated_SLA]]=Table1[[#This Row],[SLA_Met]],"Match","Mismatch")</f>
        <v>Match</v>
      </c>
      <c r="T250">
        <f>IF(Table1[[#This Row],[Calculated_SLA]]="Yes",1,0)</f>
        <v>0</v>
      </c>
      <c r="U250" t="str">
        <f>IF(COUNTIFS(Reference_data!A:A,Table1[[#This Row],[Category]],Reference_data!B:B,Table1[[#This Row],[Sub_Category]])&gt;0,"Valid","Invalid")</f>
        <v>Valid</v>
      </c>
      <c r="V250" t="str">
        <f>_xlfn.XLOOKUP([1]!Table1[[#This Row],[Sub_Category]],[1]Reference_data!B:B,[1]Reference_data!A:A)</f>
        <v>Connectivity &amp; Software</v>
      </c>
      <c r="W250" t="str">
        <f>IF([1]!Table1[[#This Row],[Category]]=[1]!Table1[[#This Row],[Expected_Category ]],"Valid", "invalid")</f>
        <v>Valid</v>
      </c>
    </row>
    <row r="251" spans="1:23">
      <c r="A251" t="s">
        <v>1585</v>
      </c>
      <c r="B251" t="s">
        <v>66</v>
      </c>
      <c r="C251" s="31" t="s">
        <v>816</v>
      </c>
      <c r="D251" s="32" t="s">
        <v>817</v>
      </c>
      <c r="E251" t="s">
        <v>21</v>
      </c>
      <c r="F251" t="s">
        <v>22</v>
      </c>
      <c r="G251" t="s">
        <v>46</v>
      </c>
      <c r="H251" t="s">
        <v>70</v>
      </c>
      <c r="I251" t="s">
        <v>25</v>
      </c>
      <c r="J251">
        <v>15.9</v>
      </c>
      <c r="K251">
        <v>8</v>
      </c>
      <c r="L251" t="s">
        <v>27</v>
      </c>
      <c r="M251">
        <v>1</v>
      </c>
      <c r="N251" t="s">
        <v>27</v>
      </c>
      <c r="O251" t="s">
        <v>28</v>
      </c>
      <c r="P251" t="s">
        <v>1670</v>
      </c>
      <c r="Q251" t="s">
        <v>101</v>
      </c>
      <c r="R251" t="str">
        <f>IF(Table1[[#This Row],[Resolution_Time_Hrs]]&gt;Table1[[#This Row],[SLA_Target_Hrs]],"No", "Yes")</f>
        <v>No</v>
      </c>
      <c r="S251" t="str">
        <f>IF(Table1[[#This Row],[Calculated_SLA]]=Table1[[#This Row],[SLA_Met]],"Match","Mismatch")</f>
        <v>Match</v>
      </c>
      <c r="T251">
        <f>IF(Table1[[#This Row],[Calculated_SLA]]="Yes",1,0)</f>
        <v>0</v>
      </c>
      <c r="U251" t="str">
        <f>IF(COUNTIFS(Reference_data!A:A,Table1[[#This Row],[Category]],Reference_data!B:B,Table1[[#This Row],[Sub_Category]])&gt;0,"Valid","Invalid")</f>
        <v>Valid</v>
      </c>
      <c r="V251" t="str">
        <f>_xlfn.XLOOKUP([1]!Table1[[#This Row],[Sub_Category]],[1]Reference_data!B:B,[1]Reference_data!A:A)</f>
        <v>Connectivity &amp; Software</v>
      </c>
      <c r="W251" t="str">
        <f>IF([1]!Table1[[#This Row],[Category]]=[1]!Table1[[#This Row],[Expected_Category ]],"Valid", "invalid")</f>
        <v>Valid</v>
      </c>
    </row>
    <row r="252" spans="1:23">
      <c r="A252" t="s">
        <v>818</v>
      </c>
      <c r="B252" t="s">
        <v>121</v>
      </c>
      <c r="C252" s="31" t="s">
        <v>819</v>
      </c>
      <c r="D252" s="32" t="s">
        <v>820</v>
      </c>
      <c r="E252" t="s">
        <v>21</v>
      </c>
      <c r="F252" t="s">
        <v>63</v>
      </c>
      <c r="G252" t="s">
        <v>23</v>
      </c>
      <c r="H252" t="s">
        <v>86</v>
      </c>
      <c r="I252" t="s">
        <v>25</v>
      </c>
      <c r="J252">
        <v>6.9</v>
      </c>
      <c r="K252">
        <v>24</v>
      </c>
      <c r="L252" t="s">
        <v>26</v>
      </c>
      <c r="M252">
        <v>4</v>
      </c>
      <c r="N252" t="s">
        <v>27</v>
      </c>
      <c r="O252" t="s">
        <v>28</v>
      </c>
      <c r="P252" t="s">
        <v>29</v>
      </c>
      <c r="Q252" t="s">
        <v>30</v>
      </c>
      <c r="R252" t="str">
        <f>IF(Table1[[#This Row],[Resolution_Time_Hrs]]&gt;Table1[[#This Row],[SLA_Target_Hrs]],"No", "Yes")</f>
        <v>Yes</v>
      </c>
      <c r="S252" t="str">
        <f>IF(Table1[[#This Row],[Calculated_SLA]]=Table1[[#This Row],[SLA_Met]],"Match","Mismatch")</f>
        <v>Match</v>
      </c>
      <c r="T252">
        <f>IF(Table1[[#This Row],[Calculated_SLA]]="Yes",1,0)</f>
        <v>1</v>
      </c>
      <c r="U252" t="str">
        <f>IF(COUNTIFS(Reference_data!A:A,Table1[[#This Row],[Category]],Reference_data!B:B,Table1[[#This Row],[Sub_Category]])&gt;0,"Valid","Invalid")</f>
        <v>Valid</v>
      </c>
      <c r="V252" t="str">
        <f>_xlfn.XLOOKUP([1]!Table1[[#This Row],[Sub_Category]],[1]Reference_data!B:B,[1]Reference_data!A:A)</f>
        <v>Connectivity &amp; Software</v>
      </c>
      <c r="W252" t="str">
        <f>IF([1]!Table1[[#This Row],[Category]]=[1]!Table1[[#This Row],[Expected_Category ]],"Valid", "invalid")</f>
        <v>Valid</v>
      </c>
    </row>
    <row r="253" spans="1:23">
      <c r="A253" t="s">
        <v>821</v>
      </c>
      <c r="B253" t="s">
        <v>75</v>
      </c>
      <c r="C253" s="31" t="s">
        <v>822</v>
      </c>
      <c r="D253" s="32" t="s">
        <v>823</v>
      </c>
      <c r="E253" t="s">
        <v>78</v>
      </c>
      <c r="F253" t="s">
        <v>79</v>
      </c>
      <c r="G253" t="s">
        <v>46</v>
      </c>
      <c r="H253" t="s">
        <v>70</v>
      </c>
      <c r="I253" t="s">
        <v>80</v>
      </c>
      <c r="J253">
        <v>17</v>
      </c>
      <c r="K253">
        <v>8</v>
      </c>
      <c r="L253" t="s">
        <v>27</v>
      </c>
      <c r="M253">
        <v>1</v>
      </c>
      <c r="N253" t="s">
        <v>27</v>
      </c>
      <c r="O253" t="s">
        <v>28</v>
      </c>
      <c r="P253" t="s">
        <v>1670</v>
      </c>
      <c r="Q253" t="s">
        <v>101</v>
      </c>
      <c r="R253" t="str">
        <f>IF(Table1[[#This Row],[Resolution_Time_Hrs]]&gt;Table1[[#This Row],[SLA_Target_Hrs]],"No", "Yes")</f>
        <v>No</v>
      </c>
      <c r="S253" t="str">
        <f>IF(Table1[[#This Row],[Calculated_SLA]]=Table1[[#This Row],[SLA_Met]],"Match","Mismatch")</f>
        <v>Match</v>
      </c>
      <c r="T253">
        <f>IF(Table1[[#This Row],[Calculated_SLA]]="Yes",1,0)</f>
        <v>0</v>
      </c>
      <c r="U253" t="str">
        <f>IF(COUNTIFS(Reference_data!A:A,Table1[[#This Row],[Category]],Reference_data!B:B,Table1[[#This Row],[Sub_Category]])&gt;0,"Valid","Invalid")</f>
        <v>Valid</v>
      </c>
      <c r="V253" t="str">
        <f>_xlfn.XLOOKUP([1]!Table1[[#This Row],[Sub_Category]],[1]Reference_data!B:B,[1]Reference_data!A:A)</f>
        <v>Hardware &amp; Mechanical</v>
      </c>
      <c r="W253" t="str">
        <f>IF([1]!Table1[[#This Row],[Category]]=[1]!Table1[[#This Row],[Expected_Category ]],"Valid", "invalid")</f>
        <v>Valid</v>
      </c>
    </row>
    <row r="254" spans="1:23">
      <c r="A254" t="s">
        <v>824</v>
      </c>
      <c r="B254" t="s">
        <v>32</v>
      </c>
      <c r="C254" s="31" t="s">
        <v>825</v>
      </c>
      <c r="D254" s="32" t="s">
        <v>826</v>
      </c>
      <c r="E254" t="s">
        <v>35</v>
      </c>
      <c r="F254" t="s">
        <v>53</v>
      </c>
      <c r="G254" t="s">
        <v>54</v>
      </c>
      <c r="H254" t="s">
        <v>91</v>
      </c>
      <c r="I254" t="s">
        <v>56</v>
      </c>
      <c r="J254">
        <v>9.9</v>
      </c>
      <c r="K254">
        <v>4</v>
      </c>
      <c r="L254" t="s">
        <v>27</v>
      </c>
      <c r="M254">
        <v>2</v>
      </c>
      <c r="N254" t="s">
        <v>26</v>
      </c>
      <c r="O254" t="s">
        <v>28</v>
      </c>
      <c r="P254" t="s">
        <v>57</v>
      </c>
      <c r="Q254" t="s">
        <v>101</v>
      </c>
      <c r="R254" t="str">
        <f>IF(Table1[[#This Row],[Resolution_Time_Hrs]]&gt;Table1[[#This Row],[SLA_Target_Hrs]],"No", "Yes")</f>
        <v>No</v>
      </c>
      <c r="S254" t="str">
        <f>IF(Table1[[#This Row],[Calculated_SLA]]=Table1[[#This Row],[SLA_Met]],"Match","Mismatch")</f>
        <v>Match</v>
      </c>
      <c r="T254">
        <f>IF(Table1[[#This Row],[Calculated_SLA]]="Yes",1,0)</f>
        <v>0</v>
      </c>
      <c r="U254" t="str">
        <f>IF(COUNTIFS(Reference_data!A:A,Table1[[#This Row],[Category]],Reference_data!B:B,Table1[[#This Row],[Sub_Category]])&gt;0,"Valid","Invalid")</f>
        <v>Valid</v>
      </c>
      <c r="V254" t="str">
        <f>_xlfn.XLOOKUP([1]!Table1[[#This Row],[Sub_Category]],[1]Reference_data!B:B,[1]Reference_data!A:A)</f>
        <v>Print Quality</v>
      </c>
      <c r="W254" t="str">
        <f>IF([1]!Table1[[#This Row],[Category]]=[1]!Table1[[#This Row],[Expected_Category ]],"Valid", "invalid")</f>
        <v>Valid</v>
      </c>
    </row>
    <row r="255" spans="1:23">
      <c r="A255" t="s">
        <v>827</v>
      </c>
      <c r="B255" t="s">
        <v>135</v>
      </c>
      <c r="C255" s="31" t="s">
        <v>828</v>
      </c>
      <c r="D255" s="32" t="s">
        <v>829</v>
      </c>
      <c r="E255" t="s">
        <v>84</v>
      </c>
      <c r="F255" t="s">
        <v>116</v>
      </c>
      <c r="G255" t="s">
        <v>46</v>
      </c>
      <c r="H255" t="s">
        <v>37</v>
      </c>
      <c r="I255" t="s">
        <v>87</v>
      </c>
      <c r="J255">
        <v>7.7</v>
      </c>
      <c r="K255">
        <v>8</v>
      </c>
      <c r="L255" t="s">
        <v>26</v>
      </c>
      <c r="M255">
        <v>5</v>
      </c>
      <c r="N255" t="s">
        <v>27</v>
      </c>
      <c r="O255" t="s">
        <v>28</v>
      </c>
      <c r="P255" t="s">
        <v>29</v>
      </c>
      <c r="Q255" t="s">
        <v>58</v>
      </c>
      <c r="R255" t="str">
        <f>IF(Table1[[#This Row],[Resolution_Time_Hrs]]&gt;Table1[[#This Row],[SLA_Target_Hrs]],"No", "Yes")</f>
        <v>Yes</v>
      </c>
      <c r="S255" t="str">
        <f>IF(Table1[[#This Row],[Calculated_SLA]]=Table1[[#This Row],[SLA_Met]],"Match","Mismatch")</f>
        <v>Match</v>
      </c>
      <c r="T255">
        <f>IF(Table1[[#This Row],[Calculated_SLA]]="Yes",1,0)</f>
        <v>1</v>
      </c>
      <c r="U255" t="str">
        <f>IF(COUNTIFS(Reference_data!A:A,Table1[[#This Row],[Category]],Reference_data!B:B,Table1[[#This Row],[Sub_Category]])&gt;0,"Valid","Invalid")</f>
        <v>Valid</v>
      </c>
      <c r="V255" t="str">
        <f>_xlfn.XLOOKUP([1]!Table1[[#This Row],[Sub_Category]],[1]Reference_data!B:B,[1]Reference_data!A:A)</f>
        <v>Supplies &amp; Logistics</v>
      </c>
      <c r="W255" t="str">
        <f>IF([1]!Table1[[#This Row],[Category]]=[1]!Table1[[#This Row],[Expected_Category ]],"Valid", "invalid")</f>
        <v>Valid</v>
      </c>
    </row>
    <row r="256" spans="1:23">
      <c r="A256" t="s">
        <v>830</v>
      </c>
      <c r="B256" t="s">
        <v>75</v>
      </c>
      <c r="C256" s="31" t="s">
        <v>831</v>
      </c>
      <c r="D256" s="32" t="s">
        <v>832</v>
      </c>
      <c r="E256" t="s">
        <v>21</v>
      </c>
      <c r="F256" t="s">
        <v>63</v>
      </c>
      <c r="G256" t="s">
        <v>54</v>
      </c>
      <c r="H256" t="s">
        <v>138</v>
      </c>
      <c r="I256" t="s">
        <v>25</v>
      </c>
      <c r="J256">
        <v>14.3</v>
      </c>
      <c r="K256">
        <v>4</v>
      </c>
      <c r="L256" t="s">
        <v>27</v>
      </c>
      <c r="M256">
        <v>3</v>
      </c>
      <c r="N256" t="s">
        <v>26</v>
      </c>
      <c r="O256" t="s">
        <v>28</v>
      </c>
      <c r="P256" t="s">
        <v>57</v>
      </c>
      <c r="Q256" t="s">
        <v>30</v>
      </c>
      <c r="R256" t="str">
        <f>IF(Table1[[#This Row],[Resolution_Time_Hrs]]&gt;Table1[[#This Row],[SLA_Target_Hrs]],"No", "Yes")</f>
        <v>No</v>
      </c>
      <c r="S256" t="str">
        <f>IF(Table1[[#This Row],[Calculated_SLA]]=Table1[[#This Row],[SLA_Met]],"Match","Mismatch")</f>
        <v>Match</v>
      </c>
      <c r="T256">
        <f>IF(Table1[[#This Row],[Calculated_SLA]]="Yes",1,0)</f>
        <v>0</v>
      </c>
      <c r="U256" t="str">
        <f>IF(COUNTIFS(Reference_data!A:A,Table1[[#This Row],[Category]],Reference_data!B:B,Table1[[#This Row],[Sub_Category]])&gt;0,"Valid","Invalid")</f>
        <v>Valid</v>
      </c>
      <c r="V256" t="str">
        <f>_xlfn.XLOOKUP([1]!Table1[[#This Row],[Sub_Category]],[1]Reference_data!B:B,[1]Reference_data!A:A)</f>
        <v>Connectivity &amp; Software</v>
      </c>
      <c r="W256" t="str">
        <f>IF([1]!Table1[[#This Row],[Category]]=[1]!Table1[[#This Row],[Expected_Category ]],"Valid", "invalid")</f>
        <v>Valid</v>
      </c>
    </row>
    <row r="257" spans="1:23">
      <c r="A257" t="s">
        <v>833</v>
      </c>
      <c r="B257" t="s">
        <v>41</v>
      </c>
      <c r="C257" s="31" t="s">
        <v>834</v>
      </c>
      <c r="D257" s="32" t="s">
        <v>835</v>
      </c>
      <c r="E257" t="s">
        <v>21</v>
      </c>
      <c r="F257" t="s">
        <v>69</v>
      </c>
      <c r="G257" t="s">
        <v>46</v>
      </c>
      <c r="H257" t="s">
        <v>138</v>
      </c>
      <c r="I257" t="s">
        <v>25</v>
      </c>
      <c r="J257">
        <v>13.2</v>
      </c>
      <c r="K257">
        <v>8</v>
      </c>
      <c r="L257" t="s">
        <v>27</v>
      </c>
      <c r="M257">
        <v>2</v>
      </c>
      <c r="N257" t="s">
        <v>26</v>
      </c>
      <c r="O257" t="s">
        <v>28</v>
      </c>
      <c r="P257" t="s">
        <v>1670</v>
      </c>
      <c r="Q257" t="s">
        <v>39</v>
      </c>
      <c r="R257" t="str">
        <f>IF(Table1[[#This Row],[Resolution_Time_Hrs]]&gt;Table1[[#This Row],[SLA_Target_Hrs]],"No", "Yes")</f>
        <v>No</v>
      </c>
      <c r="S257" t="str">
        <f>IF(Table1[[#This Row],[Calculated_SLA]]=Table1[[#This Row],[SLA_Met]],"Match","Mismatch")</f>
        <v>Match</v>
      </c>
      <c r="T257">
        <f>IF(Table1[[#This Row],[Calculated_SLA]]="Yes",1,0)</f>
        <v>0</v>
      </c>
      <c r="U257" t="str">
        <f>IF(COUNTIFS(Reference_data!A:A,Table1[[#This Row],[Category]],Reference_data!B:B,Table1[[#This Row],[Sub_Category]])&gt;0,"Valid","Invalid")</f>
        <v>Valid</v>
      </c>
      <c r="V257" t="str">
        <f>_xlfn.XLOOKUP([1]!Table1[[#This Row],[Sub_Category]],[1]Reference_data!B:B,[1]Reference_data!A:A)</f>
        <v>Connectivity &amp; Software</v>
      </c>
      <c r="W257" t="str">
        <f>IF([1]!Table1[[#This Row],[Category]]=[1]!Table1[[#This Row],[Expected_Category ]],"Valid", "invalid")</f>
        <v>Valid</v>
      </c>
    </row>
    <row r="258" spans="1:23">
      <c r="A258" t="s">
        <v>836</v>
      </c>
      <c r="B258" t="s">
        <v>32</v>
      </c>
      <c r="C258" s="31" t="s">
        <v>837</v>
      </c>
      <c r="D258" s="32" t="s">
        <v>838</v>
      </c>
      <c r="E258" t="s">
        <v>21</v>
      </c>
      <c r="F258" t="s">
        <v>69</v>
      </c>
      <c r="G258" t="s">
        <v>54</v>
      </c>
      <c r="H258" t="s">
        <v>138</v>
      </c>
      <c r="I258" t="s">
        <v>25</v>
      </c>
      <c r="J258">
        <v>9.3000000000000007</v>
      </c>
      <c r="K258">
        <v>4</v>
      </c>
      <c r="L258" t="s">
        <v>27</v>
      </c>
      <c r="M258">
        <v>3</v>
      </c>
      <c r="N258" t="s">
        <v>27</v>
      </c>
      <c r="O258" t="s">
        <v>28</v>
      </c>
      <c r="P258" t="s">
        <v>1670</v>
      </c>
      <c r="Q258" t="s">
        <v>58</v>
      </c>
      <c r="R258" t="str">
        <f>IF(Table1[[#This Row],[Resolution_Time_Hrs]]&gt;Table1[[#This Row],[SLA_Target_Hrs]],"No", "Yes")</f>
        <v>No</v>
      </c>
      <c r="S258" t="str">
        <f>IF(Table1[[#This Row],[Calculated_SLA]]=Table1[[#This Row],[SLA_Met]],"Match","Mismatch")</f>
        <v>Match</v>
      </c>
      <c r="T258">
        <f>IF(Table1[[#This Row],[Calculated_SLA]]="Yes",1,0)</f>
        <v>0</v>
      </c>
      <c r="U258" t="str">
        <f>IF(COUNTIFS(Reference_data!A:A,Table1[[#This Row],[Category]],Reference_data!B:B,Table1[[#This Row],[Sub_Category]])&gt;0,"Valid","Invalid")</f>
        <v>Valid</v>
      </c>
      <c r="V258" t="str">
        <f>_xlfn.XLOOKUP([1]!Table1[[#This Row],[Sub_Category]],[1]Reference_data!B:B,[1]Reference_data!A:A)</f>
        <v>Connectivity &amp; Software</v>
      </c>
      <c r="W258" t="str">
        <f>IF([1]!Table1[[#This Row],[Category]]=[1]!Table1[[#This Row],[Expected_Category ]],"Valid", "invalid")</f>
        <v>Valid</v>
      </c>
    </row>
    <row r="259" spans="1:23">
      <c r="A259" t="s">
        <v>839</v>
      </c>
      <c r="B259" t="s">
        <v>32</v>
      </c>
      <c r="C259" s="31" t="s">
        <v>840</v>
      </c>
      <c r="D259" s="32" t="s">
        <v>841</v>
      </c>
      <c r="E259" t="s">
        <v>35</v>
      </c>
      <c r="F259" t="s">
        <v>127</v>
      </c>
      <c r="G259" t="s">
        <v>46</v>
      </c>
      <c r="H259" t="s">
        <v>91</v>
      </c>
      <c r="I259" t="s">
        <v>56</v>
      </c>
      <c r="J259">
        <v>6.2</v>
      </c>
      <c r="K259">
        <v>8</v>
      </c>
      <c r="L259" t="s">
        <v>26</v>
      </c>
      <c r="M259">
        <v>5</v>
      </c>
      <c r="N259" t="s">
        <v>27</v>
      </c>
      <c r="O259" t="s">
        <v>28</v>
      </c>
      <c r="P259" t="s">
        <v>29</v>
      </c>
      <c r="Q259" t="s">
        <v>101</v>
      </c>
      <c r="R259" t="str">
        <f>IF(Table1[[#This Row],[Resolution_Time_Hrs]]&gt;Table1[[#This Row],[SLA_Target_Hrs]],"No", "Yes")</f>
        <v>Yes</v>
      </c>
      <c r="S259" t="str">
        <f>IF(Table1[[#This Row],[Calculated_SLA]]=Table1[[#This Row],[SLA_Met]],"Match","Mismatch")</f>
        <v>Match</v>
      </c>
      <c r="T259">
        <f>IF(Table1[[#This Row],[Calculated_SLA]]="Yes",1,0)</f>
        <v>1</v>
      </c>
      <c r="U259" t="str">
        <f>IF(COUNTIFS(Reference_data!A:A,Table1[[#This Row],[Category]],Reference_data!B:B,Table1[[#This Row],[Sub_Category]])&gt;0,"Valid","Invalid")</f>
        <v>Valid</v>
      </c>
      <c r="V259" t="str">
        <f>_xlfn.XLOOKUP([1]!Table1[[#This Row],[Sub_Category]],[1]Reference_data!B:B,[1]Reference_data!A:A)</f>
        <v>Print Quality</v>
      </c>
      <c r="W259" t="str">
        <f>IF([1]!Table1[[#This Row],[Category]]=[1]!Table1[[#This Row],[Expected_Category ]],"Valid", "invalid")</f>
        <v>Valid</v>
      </c>
    </row>
    <row r="260" spans="1:23">
      <c r="A260" t="s">
        <v>842</v>
      </c>
      <c r="B260" t="s">
        <v>50</v>
      </c>
      <c r="C260" s="31" t="s">
        <v>843</v>
      </c>
      <c r="D260" s="32" t="s">
        <v>844</v>
      </c>
      <c r="E260" t="s">
        <v>21</v>
      </c>
      <c r="F260" t="s">
        <v>69</v>
      </c>
      <c r="G260" t="s">
        <v>23</v>
      </c>
      <c r="H260" t="s">
        <v>64</v>
      </c>
      <c r="I260" t="s">
        <v>25</v>
      </c>
      <c r="J260">
        <v>8.3000000000000007</v>
      </c>
      <c r="K260">
        <v>24</v>
      </c>
      <c r="L260" t="s">
        <v>26</v>
      </c>
      <c r="M260">
        <v>4</v>
      </c>
      <c r="N260" t="s">
        <v>27</v>
      </c>
      <c r="O260" t="s">
        <v>28</v>
      </c>
      <c r="P260" t="s">
        <v>29</v>
      </c>
      <c r="Q260" t="s">
        <v>101</v>
      </c>
      <c r="R260" t="str">
        <f>IF(Table1[[#This Row],[Resolution_Time_Hrs]]&gt;Table1[[#This Row],[SLA_Target_Hrs]],"No", "Yes")</f>
        <v>Yes</v>
      </c>
      <c r="S260" t="str">
        <f>IF(Table1[[#This Row],[Calculated_SLA]]=Table1[[#This Row],[SLA_Met]],"Match","Mismatch")</f>
        <v>Match</v>
      </c>
      <c r="T260">
        <f>IF(Table1[[#This Row],[Calculated_SLA]]="Yes",1,0)</f>
        <v>1</v>
      </c>
      <c r="U260" t="str">
        <f>IF(COUNTIFS(Reference_data!A:A,Table1[[#This Row],[Category]],Reference_data!B:B,Table1[[#This Row],[Sub_Category]])&gt;0,"Valid","Invalid")</f>
        <v>Valid</v>
      </c>
      <c r="V260" t="str">
        <f>_xlfn.XLOOKUP([1]!Table1[[#This Row],[Sub_Category]],[1]Reference_data!B:B,[1]Reference_data!A:A)</f>
        <v>Connectivity &amp; Software</v>
      </c>
      <c r="W260" t="str">
        <f>IF([1]!Table1[[#This Row],[Category]]=[1]!Table1[[#This Row],[Expected_Category ]],"Valid", "invalid")</f>
        <v>Valid</v>
      </c>
    </row>
    <row r="261" spans="1:23">
      <c r="A261" t="s">
        <v>845</v>
      </c>
      <c r="B261" t="s">
        <v>121</v>
      </c>
      <c r="C261" s="31" t="s">
        <v>846</v>
      </c>
      <c r="D261" s="32" t="s">
        <v>847</v>
      </c>
      <c r="E261" t="s">
        <v>84</v>
      </c>
      <c r="F261" t="s">
        <v>85</v>
      </c>
      <c r="G261" t="s">
        <v>46</v>
      </c>
      <c r="H261" t="s">
        <v>64</v>
      </c>
      <c r="I261" t="s">
        <v>87</v>
      </c>
      <c r="J261">
        <v>5.8</v>
      </c>
      <c r="K261">
        <v>8</v>
      </c>
      <c r="L261" t="s">
        <v>26</v>
      </c>
      <c r="M261">
        <v>4</v>
      </c>
      <c r="N261" t="s">
        <v>27</v>
      </c>
      <c r="O261" t="s">
        <v>28</v>
      </c>
      <c r="P261" t="s">
        <v>29</v>
      </c>
      <c r="Q261" t="s">
        <v>39</v>
      </c>
      <c r="R261" t="str">
        <f>IF(Table1[[#This Row],[Resolution_Time_Hrs]]&gt;Table1[[#This Row],[SLA_Target_Hrs]],"No", "Yes")</f>
        <v>Yes</v>
      </c>
      <c r="S261" t="str">
        <f>IF(Table1[[#This Row],[Calculated_SLA]]=Table1[[#This Row],[SLA_Met]],"Match","Mismatch")</f>
        <v>Match</v>
      </c>
      <c r="T261">
        <f>IF(Table1[[#This Row],[Calculated_SLA]]="Yes",1,0)</f>
        <v>1</v>
      </c>
      <c r="U261" t="str">
        <f>IF(COUNTIFS(Reference_data!A:A,Table1[[#This Row],[Category]],Reference_data!B:B,Table1[[#This Row],[Sub_Category]])&gt;0,"Valid","Invalid")</f>
        <v>Valid</v>
      </c>
      <c r="V261" t="str">
        <f>_xlfn.XLOOKUP([1]!Table1[[#This Row],[Sub_Category]],[1]Reference_data!B:B,[1]Reference_data!A:A)</f>
        <v>Supplies &amp; Logistics</v>
      </c>
      <c r="W261" t="str">
        <f>IF([1]!Table1[[#This Row],[Category]]=[1]!Table1[[#This Row],[Expected_Category ]],"Valid", "invalid")</f>
        <v>Valid</v>
      </c>
    </row>
    <row r="262" spans="1:23">
      <c r="A262" t="s">
        <v>848</v>
      </c>
      <c r="B262" t="s">
        <v>32</v>
      </c>
      <c r="C262" s="31" t="s">
        <v>849</v>
      </c>
      <c r="D262" s="32" t="s">
        <v>850</v>
      </c>
      <c r="E262" t="s">
        <v>21</v>
      </c>
      <c r="F262" t="s">
        <v>63</v>
      </c>
      <c r="G262" t="s">
        <v>46</v>
      </c>
      <c r="H262" t="s">
        <v>37</v>
      </c>
      <c r="I262" t="s">
        <v>25</v>
      </c>
      <c r="J262">
        <v>14.6</v>
      </c>
      <c r="K262">
        <v>8</v>
      </c>
      <c r="L262" t="s">
        <v>27</v>
      </c>
      <c r="N262" t="s">
        <v>26</v>
      </c>
      <c r="O262" t="s">
        <v>28</v>
      </c>
      <c r="P262" t="s">
        <v>57</v>
      </c>
      <c r="Q262" t="s">
        <v>58</v>
      </c>
      <c r="R262" t="str">
        <f>IF(Table1[[#This Row],[Resolution_Time_Hrs]]&gt;Table1[[#This Row],[SLA_Target_Hrs]],"No", "Yes")</f>
        <v>No</v>
      </c>
      <c r="S262" t="str">
        <f>IF(Table1[[#This Row],[Calculated_SLA]]=Table1[[#This Row],[SLA_Met]],"Match","Mismatch")</f>
        <v>Match</v>
      </c>
      <c r="T262">
        <f>IF(Table1[[#This Row],[Calculated_SLA]]="Yes",1,0)</f>
        <v>0</v>
      </c>
      <c r="U262" t="str">
        <f>IF(COUNTIFS(Reference_data!A:A,Table1[[#This Row],[Category]],Reference_data!B:B,Table1[[#This Row],[Sub_Category]])&gt;0,"Valid","Invalid")</f>
        <v>Valid</v>
      </c>
      <c r="V262" t="str">
        <f>_xlfn.XLOOKUP([1]!Table1[[#This Row],[Sub_Category]],[1]Reference_data!B:B,[1]Reference_data!A:A)</f>
        <v>Connectivity &amp; Software</v>
      </c>
      <c r="W262" t="str">
        <f>IF([1]!Table1[[#This Row],[Category]]=[1]!Table1[[#This Row],[Expected_Category ]],"Valid", "invalid")</f>
        <v>Valid</v>
      </c>
    </row>
    <row r="263" spans="1:23">
      <c r="A263" t="s">
        <v>851</v>
      </c>
      <c r="B263" t="s">
        <v>18</v>
      </c>
      <c r="C263" s="31" t="s">
        <v>852</v>
      </c>
      <c r="D263" s="32" t="s">
        <v>853</v>
      </c>
      <c r="E263" t="s">
        <v>84</v>
      </c>
      <c r="F263" t="s">
        <v>116</v>
      </c>
      <c r="G263" t="s">
        <v>23</v>
      </c>
      <c r="H263" t="s">
        <v>37</v>
      </c>
      <c r="I263" t="s">
        <v>87</v>
      </c>
      <c r="J263">
        <v>7.3</v>
      </c>
      <c r="K263">
        <v>24</v>
      </c>
      <c r="L263" t="s">
        <v>26</v>
      </c>
      <c r="M263">
        <v>5</v>
      </c>
      <c r="N263" t="s">
        <v>27</v>
      </c>
      <c r="O263" t="s">
        <v>28</v>
      </c>
      <c r="P263" t="s">
        <v>29</v>
      </c>
      <c r="Q263" t="s">
        <v>101</v>
      </c>
      <c r="R263" t="str">
        <f>IF(Table1[[#This Row],[Resolution_Time_Hrs]]&gt;Table1[[#This Row],[SLA_Target_Hrs]],"No", "Yes")</f>
        <v>Yes</v>
      </c>
      <c r="S263" t="str">
        <f>IF(Table1[[#This Row],[Calculated_SLA]]=Table1[[#This Row],[SLA_Met]],"Match","Mismatch")</f>
        <v>Match</v>
      </c>
      <c r="T263">
        <f>IF(Table1[[#This Row],[Calculated_SLA]]="Yes",1,0)</f>
        <v>1</v>
      </c>
      <c r="U263" t="str">
        <f>IF(COUNTIFS(Reference_data!A:A,Table1[[#This Row],[Category]],Reference_data!B:B,Table1[[#This Row],[Sub_Category]])&gt;0,"Valid","Invalid")</f>
        <v>Valid</v>
      </c>
      <c r="V263" t="str">
        <f>_xlfn.XLOOKUP([1]!Table1[[#This Row],[Sub_Category]],[1]Reference_data!B:B,[1]Reference_data!A:A)</f>
        <v>Supplies &amp; Logistics</v>
      </c>
      <c r="W263" t="str">
        <f>IF([1]!Table1[[#This Row],[Category]]=[1]!Table1[[#This Row],[Expected_Category ]],"Valid", "invalid")</f>
        <v>Valid</v>
      </c>
    </row>
    <row r="264" spans="1:23">
      <c r="A264" t="s">
        <v>854</v>
      </c>
      <c r="B264" t="s">
        <v>75</v>
      </c>
      <c r="C264" s="31" t="s">
        <v>855</v>
      </c>
      <c r="D264" s="32" t="s">
        <v>856</v>
      </c>
      <c r="E264" t="s">
        <v>44</v>
      </c>
      <c r="F264" t="s">
        <v>45</v>
      </c>
      <c r="G264" t="s">
        <v>54</v>
      </c>
      <c r="H264" t="s">
        <v>64</v>
      </c>
      <c r="I264" t="s">
        <v>48</v>
      </c>
      <c r="J264">
        <v>2.8</v>
      </c>
      <c r="K264">
        <v>4</v>
      </c>
      <c r="L264" t="s">
        <v>26</v>
      </c>
      <c r="M264">
        <v>4</v>
      </c>
      <c r="N264" t="s">
        <v>27</v>
      </c>
      <c r="O264" t="s">
        <v>28</v>
      </c>
      <c r="P264" t="s">
        <v>29</v>
      </c>
      <c r="Q264" t="s">
        <v>39</v>
      </c>
      <c r="R264" t="str">
        <f>IF(Table1[[#This Row],[Resolution_Time_Hrs]]&gt;Table1[[#This Row],[SLA_Target_Hrs]],"No", "Yes")</f>
        <v>Yes</v>
      </c>
      <c r="S264" t="str">
        <f>IF(Table1[[#This Row],[Calculated_SLA]]=Table1[[#This Row],[SLA_Met]],"Match","Mismatch")</f>
        <v>Match</v>
      </c>
      <c r="T264">
        <f>IF(Table1[[#This Row],[Calculated_SLA]]="Yes",1,0)</f>
        <v>1</v>
      </c>
      <c r="U264" t="str">
        <f>IF(COUNTIFS(Reference_data!A:A,Table1[[#This Row],[Category]],Reference_data!B:B,Table1[[#This Row],[Sub_Category]])&gt;0,"Valid","Invalid")</f>
        <v>Valid</v>
      </c>
      <c r="V264" t="str">
        <f>_xlfn.XLOOKUP([1]!Table1[[#This Row],[Sub_Category]],[1]Reference_data!B:B,[1]Reference_data!A:A)</f>
        <v>Contract &amp; Billing</v>
      </c>
      <c r="W264" t="str">
        <f>IF([1]!Table1[[#This Row],[Category]]=[1]!Table1[[#This Row],[Expected_Category ]],"Valid", "invalid")</f>
        <v>Valid</v>
      </c>
    </row>
    <row r="265" spans="1:23">
      <c r="A265" t="s">
        <v>857</v>
      </c>
      <c r="B265" t="s">
        <v>32</v>
      </c>
      <c r="C265" s="31" t="s">
        <v>858</v>
      </c>
      <c r="D265" s="32" t="s">
        <v>859</v>
      </c>
      <c r="E265" t="s">
        <v>21</v>
      </c>
      <c r="F265" t="s">
        <v>63</v>
      </c>
      <c r="G265" t="s">
        <v>46</v>
      </c>
      <c r="H265" t="s">
        <v>24</v>
      </c>
      <c r="I265" t="s">
        <v>25</v>
      </c>
      <c r="J265">
        <v>12.9</v>
      </c>
      <c r="K265">
        <v>8</v>
      </c>
      <c r="L265" t="s">
        <v>27</v>
      </c>
      <c r="M265">
        <v>1</v>
      </c>
      <c r="N265" t="s">
        <v>27</v>
      </c>
      <c r="O265" t="s">
        <v>28</v>
      </c>
      <c r="P265" t="s">
        <v>57</v>
      </c>
      <c r="Q265" t="s">
        <v>58</v>
      </c>
      <c r="R265" t="str">
        <f>IF(Table1[[#This Row],[Resolution_Time_Hrs]]&gt;Table1[[#This Row],[SLA_Target_Hrs]],"No", "Yes")</f>
        <v>No</v>
      </c>
      <c r="S265" t="str">
        <f>IF(Table1[[#This Row],[Calculated_SLA]]=Table1[[#This Row],[SLA_Met]],"Match","Mismatch")</f>
        <v>Match</v>
      </c>
      <c r="T265">
        <f>IF(Table1[[#This Row],[Calculated_SLA]]="Yes",1,0)</f>
        <v>0</v>
      </c>
      <c r="U265" t="str">
        <f>IF(COUNTIFS(Reference_data!A:A,Table1[[#This Row],[Category]],Reference_data!B:B,Table1[[#This Row],[Sub_Category]])&gt;0,"Valid","Invalid")</f>
        <v>Valid</v>
      </c>
      <c r="V265" t="str">
        <f>_xlfn.XLOOKUP([1]!Table1[[#This Row],[Sub_Category]],[1]Reference_data!B:B,[1]Reference_data!A:A)</f>
        <v>Connectivity &amp; Software</v>
      </c>
      <c r="W265" t="str">
        <f>IF([1]!Table1[[#This Row],[Category]]=[1]!Table1[[#This Row],[Expected_Category ]],"Valid", "invalid")</f>
        <v>Valid</v>
      </c>
    </row>
    <row r="266" spans="1:23">
      <c r="A266" t="s">
        <v>860</v>
      </c>
      <c r="B266" t="s">
        <v>50</v>
      </c>
      <c r="C266" s="31" t="s">
        <v>861</v>
      </c>
      <c r="D266" s="32" t="s">
        <v>862</v>
      </c>
      <c r="E266" t="s">
        <v>35</v>
      </c>
      <c r="F266" t="s">
        <v>53</v>
      </c>
      <c r="G266" t="s">
        <v>46</v>
      </c>
      <c r="H266" t="s">
        <v>234</v>
      </c>
      <c r="I266" t="s">
        <v>56</v>
      </c>
      <c r="J266">
        <v>5.3</v>
      </c>
      <c r="K266">
        <v>8</v>
      </c>
      <c r="L266" t="s">
        <v>26</v>
      </c>
      <c r="M266">
        <v>5</v>
      </c>
      <c r="N266" t="s">
        <v>27</v>
      </c>
      <c r="O266" t="s">
        <v>28</v>
      </c>
      <c r="P266" t="s">
        <v>29</v>
      </c>
      <c r="Q266" t="s">
        <v>30</v>
      </c>
      <c r="R266" t="str">
        <f>IF(Table1[[#This Row],[Resolution_Time_Hrs]]&gt;Table1[[#This Row],[SLA_Target_Hrs]],"No", "Yes")</f>
        <v>Yes</v>
      </c>
      <c r="S266" t="str">
        <f>IF(Table1[[#This Row],[Calculated_SLA]]=Table1[[#This Row],[SLA_Met]],"Match","Mismatch")</f>
        <v>Match</v>
      </c>
      <c r="T266">
        <f>IF(Table1[[#This Row],[Calculated_SLA]]="Yes",1,0)</f>
        <v>1</v>
      </c>
      <c r="U266" t="str">
        <f>IF(COUNTIFS(Reference_data!A:A,Table1[[#This Row],[Category]],Reference_data!B:B,Table1[[#This Row],[Sub_Category]])&gt;0,"Valid","Invalid")</f>
        <v>Valid</v>
      </c>
      <c r="V266" t="str">
        <f>_xlfn.XLOOKUP([1]!Table1[[#This Row],[Sub_Category]],[1]Reference_data!B:B,[1]Reference_data!A:A)</f>
        <v>Print Quality</v>
      </c>
      <c r="W266" t="str">
        <f>IF([1]!Table1[[#This Row],[Category]]=[1]!Table1[[#This Row],[Expected_Category ]],"Valid", "invalid")</f>
        <v>Valid</v>
      </c>
    </row>
    <row r="267" spans="1:23">
      <c r="A267" t="s">
        <v>863</v>
      </c>
      <c r="B267" t="s">
        <v>121</v>
      </c>
      <c r="C267" s="31" t="s">
        <v>864</v>
      </c>
      <c r="D267" s="32" t="s">
        <v>865</v>
      </c>
      <c r="E267" t="s">
        <v>21</v>
      </c>
      <c r="F267" t="s">
        <v>22</v>
      </c>
      <c r="G267" t="s">
        <v>46</v>
      </c>
      <c r="H267" t="s">
        <v>234</v>
      </c>
      <c r="I267" t="s">
        <v>25</v>
      </c>
      <c r="J267">
        <v>11.3</v>
      </c>
      <c r="K267">
        <v>8</v>
      </c>
      <c r="L267" t="s">
        <v>27</v>
      </c>
      <c r="M267">
        <v>1</v>
      </c>
      <c r="N267" t="s">
        <v>26</v>
      </c>
      <c r="O267" t="s">
        <v>28</v>
      </c>
      <c r="P267" t="s">
        <v>1670</v>
      </c>
      <c r="Q267" t="s">
        <v>101</v>
      </c>
      <c r="R267" t="str">
        <f>IF(Table1[[#This Row],[Resolution_Time_Hrs]]&gt;Table1[[#This Row],[SLA_Target_Hrs]],"No", "Yes")</f>
        <v>No</v>
      </c>
      <c r="S267" t="str">
        <f>IF(Table1[[#This Row],[Calculated_SLA]]=Table1[[#This Row],[SLA_Met]],"Match","Mismatch")</f>
        <v>Match</v>
      </c>
      <c r="T267">
        <f>IF(Table1[[#This Row],[Calculated_SLA]]="Yes",1,0)</f>
        <v>0</v>
      </c>
      <c r="U267" t="str">
        <f>IF(COUNTIFS(Reference_data!A:A,Table1[[#This Row],[Category]],Reference_data!B:B,Table1[[#This Row],[Sub_Category]])&gt;0,"Valid","Invalid")</f>
        <v>Valid</v>
      </c>
      <c r="V267" t="str">
        <f>_xlfn.XLOOKUP([1]!Table1[[#This Row],[Sub_Category]],[1]Reference_data!B:B,[1]Reference_data!A:A)</f>
        <v>Connectivity &amp; Software</v>
      </c>
      <c r="W267" t="str">
        <f>IF([1]!Table1[[#This Row],[Category]]=[1]!Table1[[#This Row],[Expected_Category ]],"Valid", "invalid")</f>
        <v>Valid</v>
      </c>
    </row>
    <row r="268" spans="1:23">
      <c r="A268" t="s">
        <v>866</v>
      </c>
      <c r="B268" t="s">
        <v>32</v>
      </c>
      <c r="C268" s="31" t="s">
        <v>867</v>
      </c>
      <c r="D268" s="32" t="s">
        <v>868</v>
      </c>
      <c r="E268" t="s">
        <v>78</v>
      </c>
      <c r="F268" t="s">
        <v>191</v>
      </c>
      <c r="G268" t="s">
        <v>46</v>
      </c>
      <c r="H268" t="s">
        <v>86</v>
      </c>
      <c r="I268" t="s">
        <v>38</v>
      </c>
      <c r="J268">
        <v>22.3</v>
      </c>
      <c r="K268">
        <v>8</v>
      </c>
      <c r="L268" t="s">
        <v>27</v>
      </c>
      <c r="M268">
        <v>1</v>
      </c>
      <c r="N268" t="s">
        <v>27</v>
      </c>
      <c r="O268" t="s">
        <v>28</v>
      </c>
      <c r="P268" t="s">
        <v>57</v>
      </c>
      <c r="Q268" t="s">
        <v>58</v>
      </c>
      <c r="R268" t="str">
        <f>IF(Table1[[#This Row],[Resolution_Time_Hrs]]&gt;Table1[[#This Row],[SLA_Target_Hrs]],"No", "Yes")</f>
        <v>No</v>
      </c>
      <c r="S268" t="str">
        <f>IF(Table1[[#This Row],[Calculated_SLA]]=Table1[[#This Row],[SLA_Met]],"Match","Mismatch")</f>
        <v>Match</v>
      </c>
      <c r="T268">
        <f>IF(Table1[[#This Row],[Calculated_SLA]]="Yes",1,0)</f>
        <v>0</v>
      </c>
      <c r="U268" t="str">
        <f>IF(COUNTIFS(Reference_data!A:A,Table1[[#This Row],[Category]],Reference_data!B:B,Table1[[#This Row],[Sub_Category]])&gt;0,"Valid","Invalid")</f>
        <v>Valid</v>
      </c>
      <c r="V268" t="str">
        <f>_xlfn.XLOOKUP([1]!Table1[[#This Row],[Sub_Category]],[1]Reference_data!B:B,[1]Reference_data!A:A)</f>
        <v>Hardware &amp; Mechanical</v>
      </c>
      <c r="W268" t="str">
        <f>IF([1]!Table1[[#This Row],[Category]]=[1]!Table1[[#This Row],[Expected_Category ]],"Valid", "invalid")</f>
        <v>Valid</v>
      </c>
    </row>
    <row r="269" spans="1:23">
      <c r="A269" t="s">
        <v>869</v>
      </c>
      <c r="B269" t="s">
        <v>18</v>
      </c>
      <c r="C269" s="31" t="s">
        <v>870</v>
      </c>
      <c r="D269" s="32" t="s">
        <v>871</v>
      </c>
      <c r="E269" t="s">
        <v>35</v>
      </c>
      <c r="F269" t="s">
        <v>127</v>
      </c>
      <c r="G269" t="s">
        <v>46</v>
      </c>
      <c r="H269" t="s">
        <v>70</v>
      </c>
      <c r="I269" t="s">
        <v>56</v>
      </c>
      <c r="J269">
        <v>8.1999999999999993</v>
      </c>
      <c r="K269">
        <v>8</v>
      </c>
      <c r="L269" t="s">
        <v>27</v>
      </c>
      <c r="M269">
        <v>3</v>
      </c>
      <c r="N269" t="s">
        <v>27</v>
      </c>
      <c r="O269" t="s">
        <v>28</v>
      </c>
      <c r="P269" t="s">
        <v>57</v>
      </c>
      <c r="Q269" t="s">
        <v>58</v>
      </c>
      <c r="R269" t="str">
        <f>IF(Table1[[#This Row],[Resolution_Time_Hrs]]&gt;Table1[[#This Row],[SLA_Target_Hrs]],"No", "Yes")</f>
        <v>No</v>
      </c>
      <c r="S269" t="str">
        <f>IF(Table1[[#This Row],[Calculated_SLA]]=Table1[[#This Row],[SLA_Met]],"Match","Mismatch")</f>
        <v>Match</v>
      </c>
      <c r="T269">
        <f>IF(Table1[[#This Row],[Calculated_SLA]]="Yes",1,0)</f>
        <v>0</v>
      </c>
      <c r="U269" t="str">
        <f>IF(COUNTIFS(Reference_data!A:A,Table1[[#This Row],[Category]],Reference_data!B:B,Table1[[#This Row],[Sub_Category]])&gt;0,"Valid","Invalid")</f>
        <v>Valid</v>
      </c>
      <c r="V269" t="str">
        <f>_xlfn.XLOOKUP([1]!Table1[[#This Row],[Sub_Category]],[1]Reference_data!B:B,[1]Reference_data!A:A)</f>
        <v>Print Quality</v>
      </c>
      <c r="W269" t="str">
        <f>IF([1]!Table1[[#This Row],[Category]]=[1]!Table1[[#This Row],[Expected_Category ]],"Valid", "invalid")</f>
        <v>Valid</v>
      </c>
    </row>
    <row r="270" spans="1:23">
      <c r="A270" t="s">
        <v>872</v>
      </c>
      <c r="B270" t="s">
        <v>66</v>
      </c>
      <c r="C270" s="31" t="s">
        <v>873</v>
      </c>
      <c r="D270" s="32" t="s">
        <v>874</v>
      </c>
      <c r="E270" t="s">
        <v>21</v>
      </c>
      <c r="F270" t="s">
        <v>63</v>
      </c>
      <c r="G270" t="s">
        <v>23</v>
      </c>
      <c r="H270" t="s">
        <v>55</v>
      </c>
      <c r="I270" t="s">
        <v>25</v>
      </c>
      <c r="J270">
        <v>12.2</v>
      </c>
      <c r="K270">
        <v>24</v>
      </c>
      <c r="L270" t="s">
        <v>26</v>
      </c>
      <c r="M270">
        <v>5</v>
      </c>
      <c r="N270" t="s">
        <v>27</v>
      </c>
      <c r="O270" t="s">
        <v>28</v>
      </c>
      <c r="P270" t="s">
        <v>29</v>
      </c>
      <c r="Q270" t="s">
        <v>39</v>
      </c>
      <c r="R270" t="str">
        <f>IF(Table1[[#This Row],[Resolution_Time_Hrs]]&gt;Table1[[#This Row],[SLA_Target_Hrs]],"No", "Yes")</f>
        <v>Yes</v>
      </c>
      <c r="S270" t="str">
        <f>IF(Table1[[#This Row],[Calculated_SLA]]=Table1[[#This Row],[SLA_Met]],"Match","Mismatch")</f>
        <v>Match</v>
      </c>
      <c r="T270">
        <f>IF(Table1[[#This Row],[Calculated_SLA]]="Yes",1,0)</f>
        <v>1</v>
      </c>
      <c r="U270" t="str">
        <f>IF(COUNTIFS(Reference_data!A:A,Table1[[#This Row],[Category]],Reference_data!B:B,Table1[[#This Row],[Sub_Category]])&gt;0,"Valid","Invalid")</f>
        <v>Valid</v>
      </c>
      <c r="V270" t="str">
        <f>_xlfn.XLOOKUP([1]!Table1[[#This Row],[Sub_Category]],[1]Reference_data!B:B,[1]Reference_data!A:A)</f>
        <v>Connectivity &amp; Software</v>
      </c>
      <c r="W270" t="str">
        <f>IF([1]!Table1[[#This Row],[Category]]=[1]!Table1[[#This Row],[Expected_Category ]],"Valid", "invalid")</f>
        <v>Valid</v>
      </c>
    </row>
    <row r="271" spans="1:23">
      <c r="A271" t="s">
        <v>875</v>
      </c>
      <c r="B271" t="s">
        <v>75</v>
      </c>
      <c r="C271" s="31" t="s">
        <v>876</v>
      </c>
      <c r="D271" s="32" t="s">
        <v>877</v>
      </c>
      <c r="E271" t="s">
        <v>44</v>
      </c>
      <c r="F271" t="s">
        <v>45</v>
      </c>
      <c r="G271" t="s">
        <v>23</v>
      </c>
      <c r="H271" t="s">
        <v>24</v>
      </c>
      <c r="I271" t="s">
        <v>48</v>
      </c>
      <c r="J271">
        <v>4.7</v>
      </c>
      <c r="K271">
        <v>24</v>
      </c>
      <c r="L271" t="s">
        <v>26</v>
      </c>
      <c r="M271">
        <v>4</v>
      </c>
      <c r="N271" t="s">
        <v>27</v>
      </c>
      <c r="O271" t="s">
        <v>28</v>
      </c>
      <c r="P271" t="s">
        <v>29</v>
      </c>
      <c r="Q271" t="s">
        <v>30</v>
      </c>
      <c r="R271" t="str">
        <f>IF(Table1[[#This Row],[Resolution_Time_Hrs]]&gt;Table1[[#This Row],[SLA_Target_Hrs]],"No", "Yes")</f>
        <v>Yes</v>
      </c>
      <c r="S271" t="str">
        <f>IF(Table1[[#This Row],[Calculated_SLA]]=Table1[[#This Row],[SLA_Met]],"Match","Mismatch")</f>
        <v>Match</v>
      </c>
      <c r="T271">
        <f>IF(Table1[[#This Row],[Calculated_SLA]]="Yes",1,0)</f>
        <v>1</v>
      </c>
      <c r="U271" t="str">
        <f>IF(COUNTIFS(Reference_data!A:A,Table1[[#This Row],[Category]],Reference_data!B:B,Table1[[#This Row],[Sub_Category]])&gt;0,"Valid","Invalid")</f>
        <v>Valid</v>
      </c>
      <c r="V271" t="str">
        <f>_xlfn.XLOOKUP([1]!Table1[[#This Row],[Sub_Category]],[1]Reference_data!B:B,[1]Reference_data!A:A)</f>
        <v>Contract &amp; Billing</v>
      </c>
      <c r="W271" t="str">
        <f>IF([1]!Table1[[#This Row],[Category]]=[1]!Table1[[#This Row],[Expected_Category ]],"Valid", "invalid")</f>
        <v>Valid</v>
      </c>
    </row>
    <row r="272" spans="1:23">
      <c r="A272" t="s">
        <v>878</v>
      </c>
      <c r="B272" t="s">
        <v>60</v>
      </c>
      <c r="C272" s="31" t="s">
        <v>879</v>
      </c>
      <c r="D272" s="32" t="s">
        <v>880</v>
      </c>
      <c r="E272" t="s">
        <v>78</v>
      </c>
      <c r="F272" t="s">
        <v>166</v>
      </c>
      <c r="G272" t="s">
        <v>23</v>
      </c>
      <c r="H272" t="s">
        <v>234</v>
      </c>
      <c r="I272" t="s">
        <v>80</v>
      </c>
      <c r="J272">
        <v>18.7</v>
      </c>
      <c r="K272">
        <v>24</v>
      </c>
      <c r="L272" t="s">
        <v>26</v>
      </c>
      <c r="M272">
        <v>4</v>
      </c>
      <c r="N272" t="s">
        <v>27</v>
      </c>
      <c r="O272" t="s">
        <v>28</v>
      </c>
      <c r="P272" t="s">
        <v>29</v>
      </c>
      <c r="Q272" t="s">
        <v>101</v>
      </c>
      <c r="R272" t="str">
        <f>IF(Table1[[#This Row],[Resolution_Time_Hrs]]&gt;Table1[[#This Row],[SLA_Target_Hrs]],"No", "Yes")</f>
        <v>Yes</v>
      </c>
      <c r="S272" t="str">
        <f>IF(Table1[[#This Row],[Calculated_SLA]]=Table1[[#This Row],[SLA_Met]],"Match","Mismatch")</f>
        <v>Match</v>
      </c>
      <c r="T272">
        <f>IF(Table1[[#This Row],[Calculated_SLA]]="Yes",1,0)</f>
        <v>1</v>
      </c>
      <c r="U272" t="str">
        <f>IF(COUNTIFS(Reference_data!A:A,Table1[[#This Row],[Category]],Reference_data!B:B,Table1[[#This Row],[Sub_Category]])&gt;0,"Valid","Invalid")</f>
        <v>Valid</v>
      </c>
      <c r="V272" t="str">
        <f>_xlfn.XLOOKUP([1]!Table1[[#This Row],[Sub_Category]],[1]Reference_data!B:B,[1]Reference_data!A:A)</f>
        <v>Hardware &amp; Mechanical</v>
      </c>
      <c r="W272" t="str">
        <f>IF([1]!Table1[[#This Row],[Category]]=[1]!Table1[[#This Row],[Expected_Category ]],"Valid", "invalid")</f>
        <v>Valid</v>
      </c>
    </row>
    <row r="273" spans="1:23">
      <c r="A273" t="s">
        <v>881</v>
      </c>
      <c r="B273" t="s">
        <v>50</v>
      </c>
      <c r="C273" s="31" t="s">
        <v>882</v>
      </c>
      <c r="D273" s="32" t="s">
        <v>883</v>
      </c>
      <c r="E273" t="s">
        <v>78</v>
      </c>
      <c r="F273" t="s">
        <v>166</v>
      </c>
      <c r="G273" t="s">
        <v>23</v>
      </c>
      <c r="H273" t="s">
        <v>37</v>
      </c>
      <c r="I273" t="s">
        <v>80</v>
      </c>
      <c r="J273">
        <v>19.899999999999999</v>
      </c>
      <c r="K273">
        <v>24</v>
      </c>
      <c r="L273" t="s">
        <v>26</v>
      </c>
      <c r="M273">
        <v>4</v>
      </c>
      <c r="N273" t="s">
        <v>27</v>
      </c>
      <c r="O273" t="s">
        <v>28</v>
      </c>
      <c r="P273" t="s">
        <v>29</v>
      </c>
      <c r="Q273" t="s">
        <v>101</v>
      </c>
      <c r="R273" t="str">
        <f>IF(Table1[[#This Row],[Resolution_Time_Hrs]]&gt;Table1[[#This Row],[SLA_Target_Hrs]],"No", "Yes")</f>
        <v>Yes</v>
      </c>
      <c r="S273" t="str">
        <f>IF(Table1[[#This Row],[Calculated_SLA]]=Table1[[#This Row],[SLA_Met]],"Match","Mismatch")</f>
        <v>Match</v>
      </c>
      <c r="T273">
        <f>IF(Table1[[#This Row],[Calculated_SLA]]="Yes",1,0)</f>
        <v>1</v>
      </c>
      <c r="U273" t="str">
        <f>IF(COUNTIFS(Reference_data!A:A,Table1[[#This Row],[Category]],Reference_data!B:B,Table1[[#This Row],[Sub_Category]])&gt;0,"Valid","Invalid")</f>
        <v>Valid</v>
      </c>
      <c r="V273" t="str">
        <f>_xlfn.XLOOKUP([1]!Table1[[#This Row],[Sub_Category]],[1]Reference_data!B:B,[1]Reference_data!A:A)</f>
        <v>Hardware &amp; Mechanical</v>
      </c>
      <c r="W273" t="str">
        <f>IF([1]!Table1[[#This Row],[Category]]=[1]!Table1[[#This Row],[Expected_Category ]],"Valid", "invalid")</f>
        <v>Valid</v>
      </c>
    </row>
    <row r="274" spans="1:23">
      <c r="A274" t="s">
        <v>884</v>
      </c>
      <c r="B274" t="s">
        <v>121</v>
      </c>
      <c r="C274" s="31" t="s">
        <v>885</v>
      </c>
      <c r="D274" s="32" t="s">
        <v>886</v>
      </c>
      <c r="E274" t="s">
        <v>84</v>
      </c>
      <c r="F274" t="s">
        <v>116</v>
      </c>
      <c r="G274" t="s">
        <v>54</v>
      </c>
      <c r="H274" t="s">
        <v>37</v>
      </c>
      <c r="I274" t="s">
        <v>87</v>
      </c>
      <c r="J274">
        <v>9.1999999999999993</v>
      </c>
      <c r="K274">
        <v>4</v>
      </c>
      <c r="L274" t="s">
        <v>27</v>
      </c>
      <c r="M274">
        <v>1</v>
      </c>
      <c r="N274" t="s">
        <v>26</v>
      </c>
      <c r="O274" t="s">
        <v>28</v>
      </c>
      <c r="P274" t="s">
        <v>57</v>
      </c>
      <c r="Q274" t="s">
        <v>58</v>
      </c>
      <c r="R274" t="str">
        <f>IF(Table1[[#This Row],[Resolution_Time_Hrs]]&gt;Table1[[#This Row],[SLA_Target_Hrs]],"No", "Yes")</f>
        <v>No</v>
      </c>
      <c r="S274" t="str">
        <f>IF(Table1[[#This Row],[Calculated_SLA]]=Table1[[#This Row],[SLA_Met]],"Match","Mismatch")</f>
        <v>Match</v>
      </c>
      <c r="T274">
        <f>IF(Table1[[#This Row],[Calculated_SLA]]="Yes",1,0)</f>
        <v>0</v>
      </c>
      <c r="U274" t="str">
        <f>IF(COUNTIFS(Reference_data!A:A,Table1[[#This Row],[Category]],Reference_data!B:B,Table1[[#This Row],[Sub_Category]])&gt;0,"Valid","Invalid")</f>
        <v>Valid</v>
      </c>
      <c r="V274" t="str">
        <f>_xlfn.XLOOKUP([1]!Table1[[#This Row],[Sub_Category]],[1]Reference_data!B:B,[1]Reference_data!A:A)</f>
        <v>Supplies &amp; Logistics</v>
      </c>
      <c r="W274" t="str">
        <f>IF([1]!Table1[[#This Row],[Category]]=[1]!Table1[[#This Row],[Expected_Category ]],"Valid", "invalid")</f>
        <v>Valid</v>
      </c>
    </row>
    <row r="275" spans="1:23">
      <c r="A275" t="s">
        <v>887</v>
      </c>
      <c r="B275" t="s">
        <v>66</v>
      </c>
      <c r="C275" s="31" t="s">
        <v>888</v>
      </c>
      <c r="D275" s="32" t="s">
        <v>889</v>
      </c>
      <c r="E275" t="s">
        <v>44</v>
      </c>
      <c r="F275" t="s">
        <v>109</v>
      </c>
      <c r="G275" t="s">
        <v>23</v>
      </c>
      <c r="H275" t="s">
        <v>55</v>
      </c>
      <c r="I275" t="s">
        <v>48</v>
      </c>
      <c r="J275">
        <v>1.9</v>
      </c>
      <c r="K275">
        <v>24</v>
      </c>
      <c r="L275" t="s">
        <v>26</v>
      </c>
      <c r="M275">
        <v>4</v>
      </c>
      <c r="N275" t="s">
        <v>27</v>
      </c>
      <c r="O275" t="s">
        <v>28</v>
      </c>
      <c r="P275" t="s">
        <v>29</v>
      </c>
      <c r="Q275" t="s">
        <v>58</v>
      </c>
      <c r="R275" t="str">
        <f>IF(Table1[[#This Row],[Resolution_Time_Hrs]]&gt;Table1[[#This Row],[SLA_Target_Hrs]],"No", "Yes")</f>
        <v>Yes</v>
      </c>
      <c r="S275" t="str">
        <f>IF(Table1[[#This Row],[Calculated_SLA]]=Table1[[#This Row],[SLA_Met]],"Match","Mismatch")</f>
        <v>Match</v>
      </c>
      <c r="T275">
        <f>IF(Table1[[#This Row],[Calculated_SLA]]="Yes",1,0)</f>
        <v>1</v>
      </c>
      <c r="U275" t="str">
        <f>IF(COUNTIFS(Reference_data!A:A,Table1[[#This Row],[Category]],Reference_data!B:B,Table1[[#This Row],[Sub_Category]])&gt;0,"Valid","Invalid")</f>
        <v>Valid</v>
      </c>
      <c r="V275" t="str">
        <f>_xlfn.XLOOKUP([1]!Table1[[#This Row],[Sub_Category]],[1]Reference_data!B:B,[1]Reference_data!A:A)</f>
        <v>Contract &amp; Billing</v>
      </c>
      <c r="W275" t="str">
        <f>IF([1]!Table1[[#This Row],[Category]]=[1]!Table1[[#This Row],[Expected_Category ]],"Valid", "invalid")</f>
        <v>Valid</v>
      </c>
    </row>
    <row r="276" spans="1:23">
      <c r="A276" t="s">
        <v>890</v>
      </c>
      <c r="B276" t="s">
        <v>75</v>
      </c>
      <c r="C276" s="31" t="s">
        <v>891</v>
      </c>
      <c r="D276" s="32" t="s">
        <v>892</v>
      </c>
      <c r="E276" t="s">
        <v>21</v>
      </c>
      <c r="F276" t="s">
        <v>69</v>
      </c>
      <c r="G276" t="s">
        <v>54</v>
      </c>
      <c r="H276" t="s">
        <v>55</v>
      </c>
      <c r="I276" t="s">
        <v>25</v>
      </c>
      <c r="J276">
        <v>8</v>
      </c>
      <c r="K276">
        <v>4</v>
      </c>
      <c r="L276" t="s">
        <v>27</v>
      </c>
      <c r="M276">
        <v>1</v>
      </c>
      <c r="N276" t="s">
        <v>26</v>
      </c>
      <c r="O276" t="s">
        <v>28</v>
      </c>
      <c r="P276" t="s">
        <v>1670</v>
      </c>
      <c r="Q276" t="s">
        <v>39</v>
      </c>
      <c r="R276" t="str">
        <f>IF(Table1[[#This Row],[Resolution_Time_Hrs]]&gt;Table1[[#This Row],[SLA_Target_Hrs]],"No", "Yes")</f>
        <v>No</v>
      </c>
      <c r="S276" t="str">
        <f>IF(Table1[[#This Row],[Calculated_SLA]]=Table1[[#This Row],[SLA_Met]],"Match","Mismatch")</f>
        <v>Match</v>
      </c>
      <c r="T276">
        <f>IF(Table1[[#This Row],[Calculated_SLA]]="Yes",1,0)</f>
        <v>0</v>
      </c>
      <c r="U276" t="str">
        <f>IF(COUNTIFS(Reference_data!A:A,Table1[[#This Row],[Category]],Reference_data!B:B,Table1[[#This Row],[Sub_Category]])&gt;0,"Valid","Invalid")</f>
        <v>Valid</v>
      </c>
      <c r="V276" t="str">
        <f>_xlfn.XLOOKUP([1]!Table1[[#This Row],[Sub_Category]],[1]Reference_data!B:B,[1]Reference_data!A:A)</f>
        <v>Connectivity &amp; Software</v>
      </c>
      <c r="W276" t="str">
        <f>IF([1]!Table1[[#This Row],[Category]]=[1]!Table1[[#This Row],[Expected_Category ]],"Valid", "invalid")</f>
        <v>Valid</v>
      </c>
    </row>
    <row r="277" spans="1:23">
      <c r="A277" t="s">
        <v>893</v>
      </c>
      <c r="B277" t="s">
        <v>121</v>
      </c>
      <c r="C277" s="31" t="s">
        <v>894</v>
      </c>
      <c r="D277" s="32" t="s">
        <v>895</v>
      </c>
      <c r="E277" t="s">
        <v>21</v>
      </c>
      <c r="F277" t="s">
        <v>69</v>
      </c>
      <c r="G277" t="s">
        <v>46</v>
      </c>
      <c r="H277" t="s">
        <v>64</v>
      </c>
      <c r="I277" t="s">
        <v>25</v>
      </c>
      <c r="J277">
        <v>9.1</v>
      </c>
      <c r="K277">
        <v>8</v>
      </c>
      <c r="L277" t="s">
        <v>27</v>
      </c>
      <c r="M277">
        <v>3</v>
      </c>
      <c r="N277" t="s">
        <v>26</v>
      </c>
      <c r="O277" t="s">
        <v>28</v>
      </c>
      <c r="P277" t="s">
        <v>1670</v>
      </c>
      <c r="Q277" t="s">
        <v>101</v>
      </c>
      <c r="R277" t="str">
        <f>IF(Table1[[#This Row],[Resolution_Time_Hrs]]&gt;Table1[[#This Row],[SLA_Target_Hrs]],"No", "Yes")</f>
        <v>No</v>
      </c>
      <c r="S277" t="str">
        <f>IF(Table1[[#This Row],[Calculated_SLA]]=Table1[[#This Row],[SLA_Met]],"Match","Mismatch")</f>
        <v>Match</v>
      </c>
      <c r="T277">
        <f>IF(Table1[[#This Row],[Calculated_SLA]]="Yes",1,0)</f>
        <v>0</v>
      </c>
      <c r="U277" t="str">
        <f>IF(COUNTIFS(Reference_data!A:A,Table1[[#This Row],[Category]],Reference_data!B:B,Table1[[#This Row],[Sub_Category]])&gt;0,"Valid","Invalid")</f>
        <v>Valid</v>
      </c>
      <c r="V277" t="str">
        <f>_xlfn.XLOOKUP([1]!Table1[[#This Row],[Sub_Category]],[1]Reference_data!B:B,[1]Reference_data!A:A)</f>
        <v>Connectivity &amp; Software</v>
      </c>
      <c r="W277" t="str">
        <f>IF([1]!Table1[[#This Row],[Category]]=[1]!Table1[[#This Row],[Expected_Category ]],"Valid", "invalid")</f>
        <v>Valid</v>
      </c>
    </row>
    <row r="278" spans="1:23">
      <c r="A278" t="s">
        <v>896</v>
      </c>
      <c r="B278" t="s">
        <v>41</v>
      </c>
      <c r="C278" s="31" t="s">
        <v>897</v>
      </c>
      <c r="D278" s="32" t="s">
        <v>898</v>
      </c>
      <c r="E278" t="s">
        <v>78</v>
      </c>
      <c r="F278" t="s">
        <v>191</v>
      </c>
      <c r="G278" t="s">
        <v>23</v>
      </c>
      <c r="H278" t="s">
        <v>70</v>
      </c>
      <c r="I278" t="s">
        <v>38</v>
      </c>
      <c r="J278">
        <v>9.3000000000000007</v>
      </c>
      <c r="K278">
        <v>24</v>
      </c>
      <c r="L278" t="s">
        <v>26</v>
      </c>
      <c r="M278">
        <v>4</v>
      </c>
      <c r="N278" t="s">
        <v>27</v>
      </c>
      <c r="O278" t="s">
        <v>28</v>
      </c>
      <c r="P278" t="s">
        <v>29</v>
      </c>
      <c r="Q278" t="s">
        <v>101</v>
      </c>
      <c r="R278" t="str">
        <f>IF(Table1[[#This Row],[Resolution_Time_Hrs]]&gt;Table1[[#This Row],[SLA_Target_Hrs]],"No", "Yes")</f>
        <v>Yes</v>
      </c>
      <c r="S278" t="str">
        <f>IF(Table1[[#This Row],[Calculated_SLA]]=Table1[[#This Row],[SLA_Met]],"Match","Mismatch")</f>
        <v>Match</v>
      </c>
      <c r="T278">
        <f>IF(Table1[[#This Row],[Calculated_SLA]]="Yes",1,0)</f>
        <v>1</v>
      </c>
      <c r="U278" t="str">
        <f>IF(COUNTIFS(Reference_data!A:A,Table1[[#This Row],[Category]],Reference_data!B:B,Table1[[#This Row],[Sub_Category]])&gt;0,"Valid","Invalid")</f>
        <v>Valid</v>
      </c>
      <c r="V278" t="str">
        <f>_xlfn.XLOOKUP([1]!Table1[[#This Row],[Sub_Category]],[1]Reference_data!B:B,[1]Reference_data!A:A)</f>
        <v>Hardware &amp; Mechanical</v>
      </c>
      <c r="W278" t="str">
        <f>IF([1]!Table1[[#This Row],[Category]]=[1]!Table1[[#This Row],[Expected_Category ]],"Valid", "invalid")</f>
        <v>Valid</v>
      </c>
    </row>
    <row r="279" spans="1:23">
      <c r="A279" t="s">
        <v>899</v>
      </c>
      <c r="B279" t="s">
        <v>121</v>
      </c>
      <c r="C279" s="31" t="s">
        <v>900</v>
      </c>
      <c r="D279" s="32" t="s">
        <v>901</v>
      </c>
      <c r="E279" t="s">
        <v>78</v>
      </c>
      <c r="F279" t="s">
        <v>79</v>
      </c>
      <c r="G279" t="s">
        <v>46</v>
      </c>
      <c r="H279" t="s">
        <v>70</v>
      </c>
      <c r="I279" t="s">
        <v>80</v>
      </c>
      <c r="J279">
        <v>17.3</v>
      </c>
      <c r="K279">
        <v>8</v>
      </c>
      <c r="L279" t="s">
        <v>27</v>
      </c>
      <c r="N279" t="s">
        <v>26</v>
      </c>
      <c r="O279" t="s">
        <v>28</v>
      </c>
      <c r="P279" t="s">
        <v>1670</v>
      </c>
      <c r="Q279" t="s">
        <v>39</v>
      </c>
      <c r="R279" t="str">
        <f>IF(Table1[[#This Row],[Resolution_Time_Hrs]]&gt;Table1[[#This Row],[SLA_Target_Hrs]],"No", "Yes")</f>
        <v>No</v>
      </c>
      <c r="S279" t="str">
        <f>IF(Table1[[#This Row],[Calculated_SLA]]=Table1[[#This Row],[SLA_Met]],"Match","Mismatch")</f>
        <v>Match</v>
      </c>
      <c r="T279">
        <f>IF(Table1[[#This Row],[Calculated_SLA]]="Yes",1,0)</f>
        <v>0</v>
      </c>
      <c r="U279" t="str">
        <f>IF(COUNTIFS(Reference_data!A:A,Table1[[#This Row],[Category]],Reference_data!B:B,Table1[[#This Row],[Sub_Category]])&gt;0,"Valid","Invalid")</f>
        <v>Valid</v>
      </c>
      <c r="V279" t="str">
        <f>_xlfn.XLOOKUP([1]!Table1[[#This Row],[Sub_Category]],[1]Reference_data!B:B,[1]Reference_data!A:A)</f>
        <v>Hardware &amp; Mechanical</v>
      </c>
      <c r="W279" t="str">
        <f>IF([1]!Table1[[#This Row],[Category]]=[1]!Table1[[#This Row],[Expected_Category ]],"Valid", "invalid")</f>
        <v>Valid</v>
      </c>
    </row>
    <row r="280" spans="1:23">
      <c r="A280" t="s">
        <v>902</v>
      </c>
      <c r="B280" t="s">
        <v>32</v>
      </c>
      <c r="C280" s="31" t="s">
        <v>903</v>
      </c>
      <c r="D280" s="32" t="s">
        <v>904</v>
      </c>
      <c r="E280" t="s">
        <v>78</v>
      </c>
      <c r="F280" t="s">
        <v>79</v>
      </c>
      <c r="G280" t="s">
        <v>46</v>
      </c>
      <c r="H280" t="s">
        <v>86</v>
      </c>
      <c r="I280" t="s">
        <v>80</v>
      </c>
      <c r="J280">
        <v>16.5</v>
      </c>
      <c r="K280">
        <v>8</v>
      </c>
      <c r="L280" t="s">
        <v>27</v>
      </c>
      <c r="M280">
        <v>2</v>
      </c>
      <c r="N280" t="s">
        <v>27</v>
      </c>
      <c r="O280" t="s">
        <v>28</v>
      </c>
      <c r="P280" t="s">
        <v>57</v>
      </c>
      <c r="Q280" t="s">
        <v>58</v>
      </c>
      <c r="R280" t="str">
        <f>IF(Table1[[#This Row],[Resolution_Time_Hrs]]&gt;Table1[[#This Row],[SLA_Target_Hrs]],"No", "Yes")</f>
        <v>No</v>
      </c>
      <c r="S280" t="str">
        <f>IF(Table1[[#This Row],[Calculated_SLA]]=Table1[[#This Row],[SLA_Met]],"Match","Mismatch")</f>
        <v>Match</v>
      </c>
      <c r="T280">
        <f>IF(Table1[[#This Row],[Calculated_SLA]]="Yes",1,0)</f>
        <v>0</v>
      </c>
      <c r="U280" t="str">
        <f>IF(COUNTIFS(Reference_data!A:A,Table1[[#This Row],[Category]],Reference_data!B:B,Table1[[#This Row],[Sub_Category]])&gt;0,"Valid","Invalid")</f>
        <v>Valid</v>
      </c>
      <c r="V280" t="str">
        <f>_xlfn.XLOOKUP([1]!Table1[[#This Row],[Sub_Category]],[1]Reference_data!B:B,[1]Reference_data!A:A)</f>
        <v>Hardware &amp; Mechanical</v>
      </c>
      <c r="W280" t="str">
        <f>IF([1]!Table1[[#This Row],[Category]]=[1]!Table1[[#This Row],[Expected_Category ]],"Valid", "invalid")</f>
        <v>Valid</v>
      </c>
    </row>
    <row r="281" spans="1:23">
      <c r="A281" t="s">
        <v>905</v>
      </c>
      <c r="B281" t="s">
        <v>135</v>
      </c>
      <c r="C281" s="31" t="s">
        <v>906</v>
      </c>
      <c r="D281" s="32" t="s">
        <v>907</v>
      </c>
      <c r="E281" t="s">
        <v>84</v>
      </c>
      <c r="F281" t="s">
        <v>116</v>
      </c>
      <c r="G281" t="s">
        <v>54</v>
      </c>
      <c r="H281" t="s">
        <v>24</v>
      </c>
      <c r="I281" t="s">
        <v>87</v>
      </c>
      <c r="J281">
        <v>8.4</v>
      </c>
      <c r="K281">
        <v>4</v>
      </c>
      <c r="L281" t="s">
        <v>27</v>
      </c>
      <c r="M281">
        <v>1</v>
      </c>
      <c r="N281" t="s">
        <v>26</v>
      </c>
      <c r="O281" t="s">
        <v>28</v>
      </c>
      <c r="P281" t="s">
        <v>57</v>
      </c>
      <c r="Q281" t="s">
        <v>58</v>
      </c>
      <c r="R281" t="str">
        <f>IF(Table1[[#This Row],[Resolution_Time_Hrs]]&gt;Table1[[#This Row],[SLA_Target_Hrs]],"No", "Yes")</f>
        <v>No</v>
      </c>
      <c r="S281" t="str">
        <f>IF(Table1[[#This Row],[Calculated_SLA]]=Table1[[#This Row],[SLA_Met]],"Match","Mismatch")</f>
        <v>Match</v>
      </c>
      <c r="T281">
        <f>IF(Table1[[#This Row],[Calculated_SLA]]="Yes",1,0)</f>
        <v>0</v>
      </c>
      <c r="U281" t="str">
        <f>IF(COUNTIFS(Reference_data!A:A,Table1[[#This Row],[Category]],Reference_data!B:B,Table1[[#This Row],[Sub_Category]])&gt;0,"Valid","Invalid")</f>
        <v>Valid</v>
      </c>
      <c r="V281" t="str">
        <f>_xlfn.XLOOKUP([1]!Table1[[#This Row],[Sub_Category]],[1]Reference_data!B:B,[1]Reference_data!A:A)</f>
        <v>Supplies &amp; Logistics</v>
      </c>
      <c r="W281" t="str">
        <f>IF([1]!Table1[[#This Row],[Category]]=[1]!Table1[[#This Row],[Expected_Category ]],"Valid", "invalid")</f>
        <v>Valid</v>
      </c>
    </row>
    <row r="282" spans="1:23">
      <c r="A282" t="s">
        <v>908</v>
      </c>
      <c r="B282" t="s">
        <v>32</v>
      </c>
      <c r="C282" s="31" t="s">
        <v>909</v>
      </c>
      <c r="D282" s="32" t="s">
        <v>910</v>
      </c>
      <c r="E282" t="s">
        <v>21</v>
      </c>
      <c r="F282" t="s">
        <v>69</v>
      </c>
      <c r="G282" t="s">
        <v>46</v>
      </c>
      <c r="H282" t="s">
        <v>70</v>
      </c>
      <c r="I282" t="s">
        <v>25</v>
      </c>
      <c r="J282">
        <v>7.9</v>
      </c>
      <c r="K282">
        <v>8</v>
      </c>
      <c r="L282" t="s">
        <v>26</v>
      </c>
      <c r="M282">
        <v>4</v>
      </c>
      <c r="N282" t="s">
        <v>27</v>
      </c>
      <c r="O282" t="s">
        <v>28</v>
      </c>
      <c r="P282" t="s">
        <v>29</v>
      </c>
      <c r="Q282" t="s">
        <v>58</v>
      </c>
      <c r="R282" t="str">
        <f>IF(Table1[[#This Row],[Resolution_Time_Hrs]]&gt;Table1[[#This Row],[SLA_Target_Hrs]],"No", "Yes")</f>
        <v>Yes</v>
      </c>
      <c r="S282" t="str">
        <f>IF(Table1[[#This Row],[Calculated_SLA]]=Table1[[#This Row],[SLA_Met]],"Match","Mismatch")</f>
        <v>Match</v>
      </c>
      <c r="T282">
        <f>IF(Table1[[#This Row],[Calculated_SLA]]="Yes",1,0)</f>
        <v>1</v>
      </c>
      <c r="U282" t="str">
        <f>IF(COUNTIFS(Reference_data!A:A,Table1[[#This Row],[Category]],Reference_data!B:B,Table1[[#This Row],[Sub_Category]])&gt;0,"Valid","Invalid")</f>
        <v>Valid</v>
      </c>
      <c r="V282" t="str">
        <f>_xlfn.XLOOKUP([1]!Table1[[#This Row],[Sub_Category]],[1]Reference_data!B:B,[1]Reference_data!A:A)</f>
        <v>Connectivity &amp; Software</v>
      </c>
      <c r="W282" t="str">
        <f>IF([1]!Table1[[#This Row],[Category]]=[1]!Table1[[#This Row],[Expected_Category ]],"Valid", "invalid")</f>
        <v>Valid</v>
      </c>
    </row>
    <row r="283" spans="1:23">
      <c r="A283" t="s">
        <v>911</v>
      </c>
      <c r="B283" t="s">
        <v>75</v>
      </c>
      <c r="C283" s="31" t="s">
        <v>912</v>
      </c>
      <c r="D283" s="32" t="s">
        <v>913</v>
      </c>
      <c r="E283" t="s">
        <v>84</v>
      </c>
      <c r="F283" t="s">
        <v>116</v>
      </c>
      <c r="G283" t="s">
        <v>46</v>
      </c>
      <c r="H283" t="s">
        <v>70</v>
      </c>
      <c r="I283" t="s">
        <v>87</v>
      </c>
      <c r="J283">
        <v>9.1999999999999993</v>
      </c>
      <c r="K283">
        <v>8</v>
      </c>
      <c r="L283" t="s">
        <v>27</v>
      </c>
      <c r="M283">
        <v>2</v>
      </c>
      <c r="N283" t="s">
        <v>26</v>
      </c>
      <c r="O283" t="s">
        <v>28</v>
      </c>
      <c r="P283" t="s">
        <v>1670</v>
      </c>
      <c r="Q283" t="s">
        <v>30</v>
      </c>
      <c r="R283" t="str">
        <f>IF(Table1[[#This Row],[Resolution_Time_Hrs]]&gt;Table1[[#This Row],[SLA_Target_Hrs]],"No", "Yes")</f>
        <v>No</v>
      </c>
      <c r="S283" t="str">
        <f>IF(Table1[[#This Row],[Calculated_SLA]]=Table1[[#This Row],[SLA_Met]],"Match","Mismatch")</f>
        <v>Match</v>
      </c>
      <c r="T283">
        <f>IF(Table1[[#This Row],[Calculated_SLA]]="Yes",1,0)</f>
        <v>0</v>
      </c>
      <c r="U283" t="str">
        <f>IF(COUNTIFS(Reference_data!A:A,Table1[[#This Row],[Category]],Reference_data!B:B,Table1[[#This Row],[Sub_Category]])&gt;0,"Valid","Invalid")</f>
        <v>Valid</v>
      </c>
      <c r="V283" t="str">
        <f>_xlfn.XLOOKUP([1]!Table1[[#This Row],[Sub_Category]],[1]Reference_data!B:B,[1]Reference_data!A:A)</f>
        <v>Supplies &amp; Logistics</v>
      </c>
      <c r="W283" t="str">
        <f>IF([1]!Table1[[#This Row],[Category]]=[1]!Table1[[#This Row],[Expected_Category ]],"Valid", "invalid")</f>
        <v>Valid</v>
      </c>
    </row>
    <row r="284" spans="1:23">
      <c r="A284" t="s">
        <v>914</v>
      </c>
      <c r="B284" t="s">
        <v>41</v>
      </c>
      <c r="C284" s="31" t="s">
        <v>915</v>
      </c>
      <c r="D284" s="32" t="s">
        <v>916</v>
      </c>
      <c r="E284" t="s">
        <v>21</v>
      </c>
      <c r="F284" t="s">
        <v>22</v>
      </c>
      <c r="G284" t="s">
        <v>23</v>
      </c>
      <c r="H284" t="s">
        <v>24</v>
      </c>
      <c r="I284" t="s">
        <v>25</v>
      </c>
      <c r="J284">
        <v>19.899999999999999</v>
      </c>
      <c r="K284">
        <v>24</v>
      </c>
      <c r="L284" t="s">
        <v>26</v>
      </c>
      <c r="M284">
        <v>5</v>
      </c>
      <c r="N284" t="s">
        <v>27</v>
      </c>
      <c r="O284" t="s">
        <v>28</v>
      </c>
      <c r="P284" t="s">
        <v>29</v>
      </c>
      <c r="Q284" t="s">
        <v>30</v>
      </c>
      <c r="R284" t="str">
        <f>IF(Table1[[#This Row],[Resolution_Time_Hrs]]&gt;Table1[[#This Row],[SLA_Target_Hrs]],"No", "Yes")</f>
        <v>Yes</v>
      </c>
      <c r="S284" t="str">
        <f>IF(Table1[[#This Row],[Calculated_SLA]]=Table1[[#This Row],[SLA_Met]],"Match","Mismatch")</f>
        <v>Match</v>
      </c>
      <c r="T284">
        <f>IF(Table1[[#This Row],[Calculated_SLA]]="Yes",1,0)</f>
        <v>1</v>
      </c>
      <c r="U284" t="str">
        <f>IF(COUNTIFS(Reference_data!A:A,Table1[[#This Row],[Category]],Reference_data!B:B,Table1[[#This Row],[Sub_Category]])&gt;0,"Valid","Invalid")</f>
        <v>Valid</v>
      </c>
      <c r="V284" t="str">
        <f>_xlfn.XLOOKUP([1]!Table1[[#This Row],[Sub_Category]],[1]Reference_data!B:B,[1]Reference_data!A:A)</f>
        <v>Connectivity &amp; Software</v>
      </c>
      <c r="W284" t="str">
        <f>IF([1]!Table1[[#This Row],[Category]]=[1]!Table1[[#This Row],[Expected_Category ]],"Valid", "invalid")</f>
        <v>Valid</v>
      </c>
    </row>
    <row r="285" spans="1:23">
      <c r="A285" t="s">
        <v>917</v>
      </c>
      <c r="B285" t="s">
        <v>75</v>
      </c>
      <c r="C285" s="31" t="s">
        <v>918</v>
      </c>
      <c r="D285" s="32" t="s">
        <v>919</v>
      </c>
      <c r="E285" t="s">
        <v>35</v>
      </c>
      <c r="F285" t="s">
        <v>36</v>
      </c>
      <c r="G285" t="s">
        <v>23</v>
      </c>
      <c r="H285" t="s">
        <v>86</v>
      </c>
      <c r="I285" t="s">
        <v>38</v>
      </c>
      <c r="J285">
        <v>5.7</v>
      </c>
      <c r="K285">
        <v>24</v>
      </c>
      <c r="L285" t="s">
        <v>26</v>
      </c>
      <c r="M285">
        <v>4</v>
      </c>
      <c r="N285" t="s">
        <v>27</v>
      </c>
      <c r="O285" t="s">
        <v>28</v>
      </c>
      <c r="P285" t="s">
        <v>29</v>
      </c>
      <c r="Q285" t="s">
        <v>39</v>
      </c>
      <c r="R285" t="str">
        <f>IF(Table1[[#This Row],[Resolution_Time_Hrs]]&gt;Table1[[#This Row],[SLA_Target_Hrs]],"No", "Yes")</f>
        <v>Yes</v>
      </c>
      <c r="S285" t="str">
        <f>IF(Table1[[#This Row],[Calculated_SLA]]=Table1[[#This Row],[SLA_Met]],"Match","Mismatch")</f>
        <v>Match</v>
      </c>
      <c r="T285">
        <f>IF(Table1[[#This Row],[Calculated_SLA]]="Yes",1,0)</f>
        <v>1</v>
      </c>
      <c r="U285" t="str">
        <f>IF(COUNTIFS(Reference_data!A:A,Table1[[#This Row],[Category]],Reference_data!B:B,Table1[[#This Row],[Sub_Category]])&gt;0,"Valid","Invalid")</f>
        <v>Valid</v>
      </c>
      <c r="V285" t="str">
        <f>_xlfn.XLOOKUP([1]!Table1[[#This Row],[Sub_Category]],[1]Reference_data!B:B,[1]Reference_data!A:A)</f>
        <v>Print Quality</v>
      </c>
      <c r="W285" t="str">
        <f>IF([1]!Table1[[#This Row],[Category]]=[1]!Table1[[#This Row],[Expected_Category ]],"Valid", "invalid")</f>
        <v>Valid</v>
      </c>
    </row>
    <row r="286" spans="1:23">
      <c r="A286" t="s">
        <v>920</v>
      </c>
      <c r="B286" t="s">
        <v>41</v>
      </c>
      <c r="C286" s="31" t="s">
        <v>921</v>
      </c>
      <c r="D286" s="32" t="s">
        <v>922</v>
      </c>
      <c r="E286" t="s">
        <v>35</v>
      </c>
      <c r="F286" t="s">
        <v>36</v>
      </c>
      <c r="G286" t="s">
        <v>23</v>
      </c>
      <c r="H286" t="s">
        <v>70</v>
      </c>
      <c r="I286" t="s">
        <v>38</v>
      </c>
      <c r="J286">
        <v>10.199999999999999</v>
      </c>
      <c r="K286">
        <v>24</v>
      </c>
      <c r="L286" t="s">
        <v>26</v>
      </c>
      <c r="M286">
        <v>5</v>
      </c>
      <c r="N286" t="s">
        <v>27</v>
      </c>
      <c r="O286" t="s">
        <v>28</v>
      </c>
      <c r="P286" t="s">
        <v>29</v>
      </c>
      <c r="Q286" t="s">
        <v>30</v>
      </c>
      <c r="R286" t="str">
        <f>IF(Table1[[#This Row],[Resolution_Time_Hrs]]&gt;Table1[[#This Row],[SLA_Target_Hrs]],"No", "Yes")</f>
        <v>Yes</v>
      </c>
      <c r="S286" t="str">
        <f>IF(Table1[[#This Row],[Calculated_SLA]]=Table1[[#This Row],[SLA_Met]],"Match","Mismatch")</f>
        <v>Match</v>
      </c>
      <c r="T286">
        <f>IF(Table1[[#This Row],[Calculated_SLA]]="Yes",1,0)</f>
        <v>1</v>
      </c>
      <c r="U286" t="str">
        <f>IF(COUNTIFS(Reference_data!A:A,Table1[[#This Row],[Category]],Reference_data!B:B,Table1[[#This Row],[Sub_Category]])&gt;0,"Valid","Invalid")</f>
        <v>Valid</v>
      </c>
      <c r="V286" t="str">
        <f>_xlfn.XLOOKUP([1]!Table1[[#This Row],[Sub_Category]],[1]Reference_data!B:B,[1]Reference_data!A:A)</f>
        <v>Print Quality</v>
      </c>
      <c r="W286" t="str">
        <f>IF([1]!Table1[[#This Row],[Category]]=[1]!Table1[[#This Row],[Expected_Category ]],"Valid", "invalid")</f>
        <v>Valid</v>
      </c>
    </row>
    <row r="287" spans="1:23">
      <c r="A287" t="s">
        <v>923</v>
      </c>
      <c r="B287" t="s">
        <v>32</v>
      </c>
      <c r="C287" s="31" t="s">
        <v>894</v>
      </c>
      <c r="D287" s="32" t="s">
        <v>924</v>
      </c>
      <c r="E287" t="s">
        <v>78</v>
      </c>
      <c r="F287" t="s">
        <v>166</v>
      </c>
      <c r="G287" t="s">
        <v>46</v>
      </c>
      <c r="H287" t="s">
        <v>24</v>
      </c>
      <c r="I287" t="s">
        <v>80</v>
      </c>
      <c r="J287">
        <v>27.3</v>
      </c>
      <c r="K287">
        <v>8</v>
      </c>
      <c r="L287" t="s">
        <v>27</v>
      </c>
      <c r="M287">
        <v>1</v>
      </c>
      <c r="N287" t="s">
        <v>27</v>
      </c>
      <c r="O287" t="s">
        <v>28</v>
      </c>
      <c r="P287" t="s">
        <v>1670</v>
      </c>
      <c r="Q287" t="s">
        <v>58</v>
      </c>
      <c r="R287" t="str">
        <f>IF(Table1[[#This Row],[Resolution_Time_Hrs]]&gt;Table1[[#This Row],[SLA_Target_Hrs]],"No", "Yes")</f>
        <v>No</v>
      </c>
      <c r="S287" t="str">
        <f>IF(Table1[[#This Row],[Calculated_SLA]]=Table1[[#This Row],[SLA_Met]],"Match","Mismatch")</f>
        <v>Match</v>
      </c>
      <c r="T287">
        <f>IF(Table1[[#This Row],[Calculated_SLA]]="Yes",1,0)</f>
        <v>0</v>
      </c>
      <c r="U287" t="str">
        <f>IF(COUNTIFS(Reference_data!A:A,Table1[[#This Row],[Category]],Reference_data!B:B,Table1[[#This Row],[Sub_Category]])&gt;0,"Valid","Invalid")</f>
        <v>Valid</v>
      </c>
      <c r="V287" t="str">
        <f>_xlfn.XLOOKUP([1]!Table1[[#This Row],[Sub_Category]],[1]Reference_data!B:B,[1]Reference_data!A:A)</f>
        <v>Hardware &amp; Mechanical</v>
      </c>
      <c r="W287" t="str">
        <f>IF([1]!Table1[[#This Row],[Category]]=[1]!Table1[[#This Row],[Expected_Category ]],"Valid", "invalid")</f>
        <v>Valid</v>
      </c>
    </row>
    <row r="288" spans="1:23">
      <c r="A288" t="s">
        <v>925</v>
      </c>
      <c r="B288" t="s">
        <v>75</v>
      </c>
      <c r="C288" s="31" t="s">
        <v>926</v>
      </c>
      <c r="D288" s="32" t="s">
        <v>927</v>
      </c>
      <c r="E288" t="s">
        <v>21</v>
      </c>
      <c r="F288" t="s">
        <v>22</v>
      </c>
      <c r="G288" t="s">
        <v>23</v>
      </c>
      <c r="H288" t="s">
        <v>47</v>
      </c>
      <c r="I288" t="s">
        <v>25</v>
      </c>
      <c r="J288">
        <v>6.5</v>
      </c>
      <c r="K288">
        <v>24</v>
      </c>
      <c r="L288" t="s">
        <v>26</v>
      </c>
      <c r="M288">
        <v>4</v>
      </c>
      <c r="N288" t="s">
        <v>27</v>
      </c>
      <c r="O288" t="s">
        <v>28</v>
      </c>
      <c r="P288" t="s">
        <v>29</v>
      </c>
      <c r="Q288" t="s">
        <v>30</v>
      </c>
      <c r="R288" t="str">
        <f>IF(Table1[[#This Row],[Resolution_Time_Hrs]]&gt;Table1[[#This Row],[SLA_Target_Hrs]],"No", "Yes")</f>
        <v>Yes</v>
      </c>
      <c r="S288" t="str">
        <f>IF(Table1[[#This Row],[Calculated_SLA]]=Table1[[#This Row],[SLA_Met]],"Match","Mismatch")</f>
        <v>Match</v>
      </c>
      <c r="T288">
        <f>IF(Table1[[#This Row],[Calculated_SLA]]="Yes",1,0)</f>
        <v>1</v>
      </c>
      <c r="U288" t="str">
        <f>IF(COUNTIFS(Reference_data!A:A,Table1[[#This Row],[Category]],Reference_data!B:B,Table1[[#This Row],[Sub_Category]])&gt;0,"Valid","Invalid")</f>
        <v>Valid</v>
      </c>
      <c r="V288" t="str">
        <f>_xlfn.XLOOKUP([1]!Table1[[#This Row],[Sub_Category]],[1]Reference_data!B:B,[1]Reference_data!A:A)</f>
        <v>Connectivity &amp; Software</v>
      </c>
      <c r="W288" t="str">
        <f>IF([1]!Table1[[#This Row],[Category]]=[1]!Table1[[#This Row],[Expected_Category ]],"Valid", "invalid")</f>
        <v>Valid</v>
      </c>
    </row>
    <row r="289" spans="1:23">
      <c r="A289" t="s">
        <v>928</v>
      </c>
      <c r="B289" t="s">
        <v>32</v>
      </c>
      <c r="C289" s="31" t="s">
        <v>929</v>
      </c>
      <c r="D289" s="32" t="s">
        <v>930</v>
      </c>
      <c r="E289" t="s">
        <v>84</v>
      </c>
      <c r="F289" t="s">
        <v>116</v>
      </c>
      <c r="G289" t="s">
        <v>23</v>
      </c>
      <c r="H289" t="s">
        <v>138</v>
      </c>
      <c r="I289" t="s">
        <v>87</v>
      </c>
      <c r="J289">
        <v>7.8</v>
      </c>
      <c r="K289">
        <v>24</v>
      </c>
      <c r="L289" t="s">
        <v>26</v>
      </c>
      <c r="M289">
        <v>4</v>
      </c>
      <c r="N289" t="s">
        <v>27</v>
      </c>
      <c r="O289" t="s">
        <v>28</v>
      </c>
      <c r="P289" t="s">
        <v>29</v>
      </c>
      <c r="Q289" t="s">
        <v>101</v>
      </c>
      <c r="R289" t="str">
        <f>IF(Table1[[#This Row],[Resolution_Time_Hrs]]&gt;Table1[[#This Row],[SLA_Target_Hrs]],"No", "Yes")</f>
        <v>Yes</v>
      </c>
      <c r="S289" t="str">
        <f>IF(Table1[[#This Row],[Calculated_SLA]]=Table1[[#This Row],[SLA_Met]],"Match","Mismatch")</f>
        <v>Match</v>
      </c>
      <c r="T289">
        <f>IF(Table1[[#This Row],[Calculated_SLA]]="Yes",1,0)</f>
        <v>1</v>
      </c>
      <c r="U289" t="str">
        <f>IF(COUNTIFS(Reference_data!A:A,Table1[[#This Row],[Category]],Reference_data!B:B,Table1[[#This Row],[Sub_Category]])&gt;0,"Valid","Invalid")</f>
        <v>Valid</v>
      </c>
      <c r="V289" t="str">
        <f>_xlfn.XLOOKUP([1]!Table1[[#This Row],[Sub_Category]],[1]Reference_data!B:B,[1]Reference_data!A:A)</f>
        <v>Supplies &amp; Logistics</v>
      </c>
      <c r="W289" t="str">
        <f>IF([1]!Table1[[#This Row],[Category]]=[1]!Table1[[#This Row],[Expected_Category ]],"Valid", "invalid")</f>
        <v>Valid</v>
      </c>
    </row>
    <row r="290" spans="1:23">
      <c r="A290" t="s">
        <v>931</v>
      </c>
      <c r="B290" t="s">
        <v>106</v>
      </c>
      <c r="C290" s="31" t="s">
        <v>932</v>
      </c>
      <c r="D290" s="32" t="s">
        <v>933</v>
      </c>
      <c r="E290" t="s">
        <v>78</v>
      </c>
      <c r="F290" t="s">
        <v>166</v>
      </c>
      <c r="G290" t="s">
        <v>23</v>
      </c>
      <c r="H290" t="s">
        <v>86</v>
      </c>
      <c r="I290" t="s">
        <v>80</v>
      </c>
      <c r="J290">
        <v>13.9</v>
      </c>
      <c r="K290">
        <v>24</v>
      </c>
      <c r="L290" t="s">
        <v>26</v>
      </c>
      <c r="M290">
        <v>5</v>
      </c>
      <c r="N290" t="s">
        <v>27</v>
      </c>
      <c r="O290" t="s">
        <v>28</v>
      </c>
      <c r="P290" t="s">
        <v>29</v>
      </c>
      <c r="Q290" t="s">
        <v>30</v>
      </c>
      <c r="R290" t="str">
        <f>IF(Table1[[#This Row],[Resolution_Time_Hrs]]&gt;Table1[[#This Row],[SLA_Target_Hrs]],"No", "Yes")</f>
        <v>Yes</v>
      </c>
      <c r="S290" t="str">
        <f>IF(Table1[[#This Row],[Calculated_SLA]]=Table1[[#This Row],[SLA_Met]],"Match","Mismatch")</f>
        <v>Match</v>
      </c>
      <c r="T290">
        <f>IF(Table1[[#This Row],[Calculated_SLA]]="Yes",1,0)</f>
        <v>1</v>
      </c>
      <c r="U290" t="str">
        <f>IF(COUNTIFS(Reference_data!A:A,Table1[[#This Row],[Category]],Reference_data!B:B,Table1[[#This Row],[Sub_Category]])&gt;0,"Valid","Invalid")</f>
        <v>Valid</v>
      </c>
      <c r="V290" t="str">
        <f>_xlfn.XLOOKUP([1]!Table1[[#This Row],[Sub_Category]],[1]Reference_data!B:B,[1]Reference_data!A:A)</f>
        <v>Hardware &amp; Mechanical</v>
      </c>
      <c r="W290" t="str">
        <f>IF([1]!Table1[[#This Row],[Category]]=[1]!Table1[[#This Row],[Expected_Category ]],"Valid", "invalid")</f>
        <v>Valid</v>
      </c>
    </row>
    <row r="291" spans="1:23">
      <c r="A291" t="s">
        <v>934</v>
      </c>
      <c r="B291" t="s">
        <v>50</v>
      </c>
      <c r="C291" s="31" t="s">
        <v>935</v>
      </c>
      <c r="D291" s="32" t="s">
        <v>936</v>
      </c>
      <c r="E291" t="s">
        <v>44</v>
      </c>
      <c r="F291" t="s">
        <v>45</v>
      </c>
      <c r="G291" t="s">
        <v>54</v>
      </c>
      <c r="H291" t="s">
        <v>138</v>
      </c>
      <c r="I291" t="s">
        <v>48</v>
      </c>
      <c r="J291">
        <v>3.2</v>
      </c>
      <c r="K291">
        <v>4</v>
      </c>
      <c r="L291" t="s">
        <v>26</v>
      </c>
      <c r="M291">
        <v>5</v>
      </c>
      <c r="N291" t="s">
        <v>27</v>
      </c>
      <c r="O291" t="s">
        <v>28</v>
      </c>
      <c r="P291" t="s">
        <v>29</v>
      </c>
      <c r="Q291" t="s">
        <v>101</v>
      </c>
      <c r="R291" t="str">
        <f>IF(Table1[[#This Row],[Resolution_Time_Hrs]]&gt;Table1[[#This Row],[SLA_Target_Hrs]],"No", "Yes")</f>
        <v>Yes</v>
      </c>
      <c r="S291" t="str">
        <f>IF(Table1[[#This Row],[Calculated_SLA]]=Table1[[#This Row],[SLA_Met]],"Match","Mismatch")</f>
        <v>Match</v>
      </c>
      <c r="T291">
        <f>IF(Table1[[#This Row],[Calculated_SLA]]="Yes",1,0)</f>
        <v>1</v>
      </c>
      <c r="U291" t="str">
        <f>IF(COUNTIFS(Reference_data!A:A,Table1[[#This Row],[Category]],Reference_data!B:B,Table1[[#This Row],[Sub_Category]])&gt;0,"Valid","Invalid")</f>
        <v>Valid</v>
      </c>
      <c r="V291" t="str">
        <f>_xlfn.XLOOKUP([1]!Table1[[#This Row],[Sub_Category]],[1]Reference_data!B:B,[1]Reference_data!A:A)</f>
        <v>Contract &amp; Billing</v>
      </c>
      <c r="W291" t="str">
        <f>IF([1]!Table1[[#This Row],[Category]]=[1]!Table1[[#This Row],[Expected_Category ]],"Valid", "invalid")</f>
        <v>Valid</v>
      </c>
    </row>
    <row r="292" spans="1:23">
      <c r="A292" t="s">
        <v>937</v>
      </c>
      <c r="B292" t="s">
        <v>32</v>
      </c>
      <c r="C292" s="31" t="s">
        <v>938</v>
      </c>
      <c r="D292" s="32" t="s">
        <v>939</v>
      </c>
      <c r="E292" t="s">
        <v>21</v>
      </c>
      <c r="F292" t="s">
        <v>22</v>
      </c>
      <c r="G292" t="s">
        <v>23</v>
      </c>
      <c r="H292" t="s">
        <v>86</v>
      </c>
      <c r="I292" t="s">
        <v>25</v>
      </c>
      <c r="J292">
        <v>9.9</v>
      </c>
      <c r="K292">
        <v>24</v>
      </c>
      <c r="L292" t="s">
        <v>26</v>
      </c>
      <c r="M292">
        <v>5</v>
      </c>
      <c r="N292" t="s">
        <v>27</v>
      </c>
      <c r="O292" t="s">
        <v>28</v>
      </c>
      <c r="P292" t="s">
        <v>29</v>
      </c>
      <c r="Q292" t="s">
        <v>39</v>
      </c>
      <c r="R292" t="str">
        <f>IF(Table1[[#This Row],[Resolution_Time_Hrs]]&gt;Table1[[#This Row],[SLA_Target_Hrs]],"No", "Yes")</f>
        <v>Yes</v>
      </c>
      <c r="S292" t="str">
        <f>IF(Table1[[#This Row],[Calculated_SLA]]=Table1[[#This Row],[SLA_Met]],"Match","Mismatch")</f>
        <v>Match</v>
      </c>
      <c r="T292">
        <f>IF(Table1[[#This Row],[Calculated_SLA]]="Yes",1,0)</f>
        <v>1</v>
      </c>
      <c r="U292" t="str">
        <f>IF(COUNTIFS(Reference_data!A:A,Table1[[#This Row],[Category]],Reference_data!B:B,Table1[[#This Row],[Sub_Category]])&gt;0,"Valid","Invalid")</f>
        <v>Valid</v>
      </c>
      <c r="V292" t="str">
        <f>_xlfn.XLOOKUP([1]!Table1[[#This Row],[Sub_Category]],[1]Reference_data!B:B,[1]Reference_data!A:A)</f>
        <v>Connectivity &amp; Software</v>
      </c>
      <c r="W292" t="str">
        <f>IF([1]!Table1[[#This Row],[Category]]=[1]!Table1[[#This Row],[Expected_Category ]],"Valid", "invalid")</f>
        <v>Valid</v>
      </c>
    </row>
    <row r="293" spans="1:23">
      <c r="A293" t="s">
        <v>940</v>
      </c>
      <c r="B293" t="s">
        <v>50</v>
      </c>
      <c r="C293" s="31" t="s">
        <v>941</v>
      </c>
      <c r="D293" s="32" t="s">
        <v>942</v>
      </c>
      <c r="E293" t="s">
        <v>21</v>
      </c>
      <c r="F293" t="s">
        <v>63</v>
      </c>
      <c r="G293" t="s">
        <v>46</v>
      </c>
      <c r="H293" t="s">
        <v>234</v>
      </c>
      <c r="I293" t="s">
        <v>25</v>
      </c>
      <c r="J293">
        <v>10.8</v>
      </c>
      <c r="K293">
        <v>8</v>
      </c>
      <c r="L293" t="s">
        <v>27</v>
      </c>
      <c r="M293">
        <v>3</v>
      </c>
      <c r="N293" t="s">
        <v>27</v>
      </c>
      <c r="O293" t="s">
        <v>28</v>
      </c>
      <c r="P293" t="s">
        <v>57</v>
      </c>
      <c r="Q293" t="s">
        <v>101</v>
      </c>
      <c r="R293" t="str">
        <f>IF(Table1[[#This Row],[Resolution_Time_Hrs]]&gt;Table1[[#This Row],[SLA_Target_Hrs]],"No", "Yes")</f>
        <v>No</v>
      </c>
      <c r="S293" t="str">
        <f>IF(Table1[[#This Row],[Calculated_SLA]]=Table1[[#This Row],[SLA_Met]],"Match","Mismatch")</f>
        <v>Match</v>
      </c>
      <c r="T293">
        <f>IF(Table1[[#This Row],[Calculated_SLA]]="Yes",1,0)</f>
        <v>0</v>
      </c>
      <c r="U293" t="str">
        <f>IF(COUNTIFS(Reference_data!A:A,Table1[[#This Row],[Category]],Reference_data!B:B,Table1[[#This Row],[Sub_Category]])&gt;0,"Valid","Invalid")</f>
        <v>Valid</v>
      </c>
      <c r="V293" t="str">
        <f>_xlfn.XLOOKUP([1]!Table1[[#This Row],[Sub_Category]],[1]Reference_data!B:B,[1]Reference_data!A:A)</f>
        <v>Connectivity &amp; Software</v>
      </c>
      <c r="W293" t="str">
        <f>IF([1]!Table1[[#This Row],[Category]]=[1]!Table1[[#This Row],[Expected_Category ]],"Valid", "invalid")</f>
        <v>Valid</v>
      </c>
    </row>
    <row r="294" spans="1:23">
      <c r="A294" t="s">
        <v>943</v>
      </c>
      <c r="B294" t="s">
        <v>18</v>
      </c>
      <c r="C294" s="31" t="s">
        <v>944</v>
      </c>
      <c r="D294" s="32" t="s">
        <v>945</v>
      </c>
      <c r="E294" t="s">
        <v>78</v>
      </c>
      <c r="F294" t="s">
        <v>79</v>
      </c>
      <c r="G294" t="s">
        <v>46</v>
      </c>
      <c r="H294" t="s">
        <v>55</v>
      </c>
      <c r="I294" t="s">
        <v>80</v>
      </c>
      <c r="J294">
        <v>19.3</v>
      </c>
      <c r="K294">
        <v>8</v>
      </c>
      <c r="L294" t="s">
        <v>27</v>
      </c>
      <c r="M294">
        <v>3</v>
      </c>
      <c r="N294" t="s">
        <v>27</v>
      </c>
      <c r="O294" t="s">
        <v>28</v>
      </c>
      <c r="P294" t="s">
        <v>57</v>
      </c>
      <c r="Q294" t="s">
        <v>101</v>
      </c>
      <c r="R294" t="str">
        <f>IF(Table1[[#This Row],[Resolution_Time_Hrs]]&gt;Table1[[#This Row],[SLA_Target_Hrs]],"No", "Yes")</f>
        <v>No</v>
      </c>
      <c r="S294" t="str">
        <f>IF(Table1[[#This Row],[Calculated_SLA]]=Table1[[#This Row],[SLA_Met]],"Match","Mismatch")</f>
        <v>Match</v>
      </c>
      <c r="T294">
        <f>IF(Table1[[#This Row],[Calculated_SLA]]="Yes",1,0)</f>
        <v>0</v>
      </c>
      <c r="U294" t="str">
        <f>IF(COUNTIFS(Reference_data!A:A,Table1[[#This Row],[Category]],Reference_data!B:B,Table1[[#This Row],[Sub_Category]])&gt;0,"Valid","Invalid")</f>
        <v>Valid</v>
      </c>
      <c r="V294" t="str">
        <f>_xlfn.XLOOKUP([1]!Table1[[#This Row],[Sub_Category]],[1]Reference_data!B:B,[1]Reference_data!A:A)</f>
        <v>Hardware &amp; Mechanical</v>
      </c>
      <c r="W294" t="str">
        <f>IF([1]!Table1[[#This Row],[Category]]=[1]!Table1[[#This Row],[Expected_Category ]],"Valid", "invalid")</f>
        <v>Valid</v>
      </c>
    </row>
    <row r="295" spans="1:23">
      <c r="A295" t="s">
        <v>946</v>
      </c>
      <c r="B295" t="s">
        <v>121</v>
      </c>
      <c r="C295" s="31" t="s">
        <v>947</v>
      </c>
      <c r="D295" s="32" t="s">
        <v>948</v>
      </c>
      <c r="E295" t="s">
        <v>21</v>
      </c>
      <c r="F295" t="s">
        <v>22</v>
      </c>
      <c r="G295" t="s">
        <v>54</v>
      </c>
      <c r="H295" t="s">
        <v>91</v>
      </c>
      <c r="I295" t="s">
        <v>25</v>
      </c>
      <c r="J295">
        <v>13</v>
      </c>
      <c r="K295">
        <v>4</v>
      </c>
      <c r="L295" t="s">
        <v>27</v>
      </c>
      <c r="M295">
        <v>1</v>
      </c>
      <c r="N295" t="s">
        <v>26</v>
      </c>
      <c r="O295" t="s">
        <v>28</v>
      </c>
      <c r="P295" t="s">
        <v>1670</v>
      </c>
      <c r="Q295" t="s">
        <v>58</v>
      </c>
      <c r="R295" t="str">
        <f>IF(Table1[[#This Row],[Resolution_Time_Hrs]]&gt;Table1[[#This Row],[SLA_Target_Hrs]],"No", "Yes")</f>
        <v>No</v>
      </c>
      <c r="S295" t="str">
        <f>IF(Table1[[#This Row],[Calculated_SLA]]=Table1[[#This Row],[SLA_Met]],"Match","Mismatch")</f>
        <v>Match</v>
      </c>
      <c r="T295">
        <f>IF(Table1[[#This Row],[Calculated_SLA]]="Yes",1,0)</f>
        <v>0</v>
      </c>
      <c r="U295" t="str">
        <f>IF(COUNTIFS(Reference_data!A:A,Table1[[#This Row],[Category]],Reference_data!B:B,Table1[[#This Row],[Sub_Category]])&gt;0,"Valid","Invalid")</f>
        <v>Valid</v>
      </c>
      <c r="V295" t="str">
        <f>_xlfn.XLOOKUP([1]!Table1[[#This Row],[Sub_Category]],[1]Reference_data!B:B,[1]Reference_data!A:A)</f>
        <v>Connectivity &amp; Software</v>
      </c>
      <c r="W295" t="str">
        <f>IF([1]!Table1[[#This Row],[Category]]=[1]!Table1[[#This Row],[Expected_Category ]],"Valid", "invalid")</f>
        <v>Valid</v>
      </c>
    </row>
    <row r="296" spans="1:23">
      <c r="A296" t="s">
        <v>949</v>
      </c>
      <c r="B296" t="s">
        <v>60</v>
      </c>
      <c r="C296" s="31" t="s">
        <v>950</v>
      </c>
      <c r="D296" s="32" t="s">
        <v>951</v>
      </c>
      <c r="E296" t="s">
        <v>21</v>
      </c>
      <c r="F296" t="s">
        <v>63</v>
      </c>
      <c r="G296" t="s">
        <v>23</v>
      </c>
      <c r="H296" t="s">
        <v>24</v>
      </c>
      <c r="I296" t="s">
        <v>25</v>
      </c>
      <c r="J296">
        <v>12.2</v>
      </c>
      <c r="K296">
        <v>24</v>
      </c>
      <c r="L296" t="s">
        <v>26</v>
      </c>
      <c r="M296">
        <v>5</v>
      </c>
      <c r="N296" t="s">
        <v>27</v>
      </c>
      <c r="O296" t="s">
        <v>28</v>
      </c>
      <c r="P296" t="s">
        <v>29</v>
      </c>
      <c r="Q296" t="s">
        <v>101</v>
      </c>
      <c r="R296" t="str">
        <f>IF(Table1[[#This Row],[Resolution_Time_Hrs]]&gt;Table1[[#This Row],[SLA_Target_Hrs]],"No", "Yes")</f>
        <v>Yes</v>
      </c>
      <c r="S296" t="str">
        <f>IF(Table1[[#This Row],[Calculated_SLA]]=Table1[[#This Row],[SLA_Met]],"Match","Mismatch")</f>
        <v>Match</v>
      </c>
      <c r="T296">
        <f>IF(Table1[[#This Row],[Calculated_SLA]]="Yes",1,0)</f>
        <v>1</v>
      </c>
      <c r="U296" t="str">
        <f>IF(COUNTIFS(Reference_data!A:A,Table1[[#This Row],[Category]],Reference_data!B:B,Table1[[#This Row],[Sub_Category]])&gt;0,"Valid","Invalid")</f>
        <v>Valid</v>
      </c>
      <c r="V296" t="str">
        <f>_xlfn.XLOOKUP([1]!Table1[[#This Row],[Sub_Category]],[1]Reference_data!B:B,[1]Reference_data!A:A)</f>
        <v>Connectivity &amp; Software</v>
      </c>
      <c r="W296" t="str">
        <f>IF([1]!Table1[[#This Row],[Category]]=[1]!Table1[[#This Row],[Expected_Category ]],"Valid", "invalid")</f>
        <v>Valid</v>
      </c>
    </row>
    <row r="297" spans="1:23">
      <c r="A297" t="s">
        <v>952</v>
      </c>
      <c r="B297" t="s">
        <v>32</v>
      </c>
      <c r="C297" s="31" t="s">
        <v>953</v>
      </c>
      <c r="D297" s="32" t="s">
        <v>954</v>
      </c>
      <c r="E297" t="s">
        <v>21</v>
      </c>
      <c r="F297" t="s">
        <v>69</v>
      </c>
      <c r="G297" t="s">
        <v>54</v>
      </c>
      <c r="H297" t="s">
        <v>70</v>
      </c>
      <c r="I297" t="s">
        <v>25</v>
      </c>
      <c r="J297">
        <v>7.6</v>
      </c>
      <c r="K297">
        <v>4</v>
      </c>
      <c r="L297" t="s">
        <v>27</v>
      </c>
      <c r="M297">
        <v>3</v>
      </c>
      <c r="N297" t="s">
        <v>26</v>
      </c>
      <c r="O297" t="s">
        <v>28</v>
      </c>
      <c r="P297" t="s">
        <v>1670</v>
      </c>
      <c r="Q297" t="s">
        <v>39</v>
      </c>
      <c r="R297" t="str">
        <f>IF(Table1[[#This Row],[Resolution_Time_Hrs]]&gt;Table1[[#This Row],[SLA_Target_Hrs]],"No", "Yes")</f>
        <v>No</v>
      </c>
      <c r="S297" t="str">
        <f>IF(Table1[[#This Row],[Calculated_SLA]]=Table1[[#This Row],[SLA_Met]],"Match","Mismatch")</f>
        <v>Match</v>
      </c>
      <c r="T297">
        <f>IF(Table1[[#This Row],[Calculated_SLA]]="Yes",1,0)</f>
        <v>0</v>
      </c>
      <c r="U297" t="str">
        <f>IF(COUNTIFS(Reference_data!A:A,Table1[[#This Row],[Category]],Reference_data!B:B,Table1[[#This Row],[Sub_Category]])&gt;0,"Valid","Invalid")</f>
        <v>Valid</v>
      </c>
      <c r="V297" t="str">
        <f>_xlfn.XLOOKUP([1]!Table1[[#This Row],[Sub_Category]],[1]Reference_data!B:B,[1]Reference_data!A:A)</f>
        <v>Connectivity &amp; Software</v>
      </c>
      <c r="W297" t="str">
        <f>IF([1]!Table1[[#This Row],[Category]]=[1]!Table1[[#This Row],[Expected_Category ]],"Valid", "invalid")</f>
        <v>Valid</v>
      </c>
    </row>
    <row r="298" spans="1:23">
      <c r="A298" t="s">
        <v>955</v>
      </c>
      <c r="B298" t="s">
        <v>75</v>
      </c>
      <c r="C298" s="31" t="s">
        <v>956</v>
      </c>
      <c r="D298" s="32" t="s">
        <v>957</v>
      </c>
      <c r="E298" t="s">
        <v>35</v>
      </c>
      <c r="F298" t="s">
        <v>53</v>
      </c>
      <c r="G298" t="s">
        <v>54</v>
      </c>
      <c r="H298" t="s">
        <v>70</v>
      </c>
      <c r="I298" t="s">
        <v>56</v>
      </c>
      <c r="J298">
        <v>9.4</v>
      </c>
      <c r="K298">
        <v>4</v>
      </c>
      <c r="L298" t="s">
        <v>27</v>
      </c>
      <c r="M298">
        <v>1</v>
      </c>
      <c r="N298" t="s">
        <v>27</v>
      </c>
      <c r="O298" t="s">
        <v>28</v>
      </c>
      <c r="P298" t="s">
        <v>57</v>
      </c>
      <c r="Q298" t="s">
        <v>101</v>
      </c>
      <c r="R298" t="str">
        <f>IF(Table1[[#This Row],[Resolution_Time_Hrs]]&gt;Table1[[#This Row],[SLA_Target_Hrs]],"No", "Yes")</f>
        <v>No</v>
      </c>
      <c r="S298" t="str">
        <f>IF(Table1[[#This Row],[Calculated_SLA]]=Table1[[#This Row],[SLA_Met]],"Match","Mismatch")</f>
        <v>Match</v>
      </c>
      <c r="T298">
        <f>IF(Table1[[#This Row],[Calculated_SLA]]="Yes",1,0)</f>
        <v>0</v>
      </c>
      <c r="U298" t="str">
        <f>IF(COUNTIFS(Reference_data!A:A,Table1[[#This Row],[Category]],Reference_data!B:B,Table1[[#This Row],[Sub_Category]])&gt;0,"Valid","Invalid")</f>
        <v>Valid</v>
      </c>
      <c r="V298" t="str">
        <f>_xlfn.XLOOKUP([1]!Table1[[#This Row],[Sub_Category]],[1]Reference_data!B:B,[1]Reference_data!A:A)</f>
        <v>Print Quality</v>
      </c>
      <c r="W298" t="str">
        <f>IF([1]!Table1[[#This Row],[Category]]=[1]!Table1[[#This Row],[Expected_Category ]],"Valid", "invalid")</f>
        <v>Valid</v>
      </c>
    </row>
    <row r="299" spans="1:23">
      <c r="A299" t="s">
        <v>958</v>
      </c>
      <c r="B299" t="s">
        <v>50</v>
      </c>
      <c r="C299" s="31" t="s">
        <v>959</v>
      </c>
      <c r="D299" s="32" t="s">
        <v>960</v>
      </c>
      <c r="E299" t="s">
        <v>21</v>
      </c>
      <c r="F299" t="s">
        <v>63</v>
      </c>
      <c r="G299" t="s">
        <v>23</v>
      </c>
      <c r="H299" t="s">
        <v>64</v>
      </c>
      <c r="I299" t="s">
        <v>25</v>
      </c>
      <c r="J299">
        <v>7.3</v>
      </c>
      <c r="K299">
        <v>24</v>
      </c>
      <c r="L299" t="s">
        <v>26</v>
      </c>
      <c r="M299">
        <v>4</v>
      </c>
      <c r="N299" t="s">
        <v>27</v>
      </c>
      <c r="O299" t="s">
        <v>28</v>
      </c>
      <c r="P299" t="s">
        <v>29</v>
      </c>
      <c r="Q299" t="s">
        <v>30</v>
      </c>
      <c r="R299" t="str">
        <f>IF(Table1[[#This Row],[Resolution_Time_Hrs]]&gt;Table1[[#This Row],[SLA_Target_Hrs]],"No", "Yes")</f>
        <v>Yes</v>
      </c>
      <c r="S299" t="str">
        <f>IF(Table1[[#This Row],[Calculated_SLA]]=Table1[[#This Row],[SLA_Met]],"Match","Mismatch")</f>
        <v>Match</v>
      </c>
      <c r="T299">
        <f>IF(Table1[[#This Row],[Calculated_SLA]]="Yes",1,0)</f>
        <v>1</v>
      </c>
      <c r="U299" t="str">
        <f>IF(COUNTIFS(Reference_data!A:A,Table1[[#This Row],[Category]],Reference_data!B:B,Table1[[#This Row],[Sub_Category]])&gt;0,"Valid","Invalid")</f>
        <v>Valid</v>
      </c>
      <c r="V299" t="str">
        <f>_xlfn.XLOOKUP([1]!Table1[[#This Row],[Sub_Category]],[1]Reference_data!B:B,[1]Reference_data!A:A)</f>
        <v>Connectivity &amp; Software</v>
      </c>
      <c r="W299" t="str">
        <f>IF([1]!Table1[[#This Row],[Category]]=[1]!Table1[[#This Row],[Expected_Category ]],"Valid", "invalid")</f>
        <v>Valid</v>
      </c>
    </row>
    <row r="300" spans="1:23">
      <c r="A300" t="s">
        <v>961</v>
      </c>
      <c r="B300" t="s">
        <v>32</v>
      </c>
      <c r="C300" s="31" t="s">
        <v>962</v>
      </c>
      <c r="D300" s="32" t="s">
        <v>963</v>
      </c>
      <c r="E300" t="s">
        <v>35</v>
      </c>
      <c r="F300" t="s">
        <v>127</v>
      </c>
      <c r="G300" t="s">
        <v>46</v>
      </c>
      <c r="H300" t="s">
        <v>64</v>
      </c>
      <c r="I300" t="s">
        <v>56</v>
      </c>
      <c r="J300">
        <v>5.3</v>
      </c>
      <c r="K300">
        <v>8</v>
      </c>
      <c r="L300" t="s">
        <v>26</v>
      </c>
      <c r="M300">
        <v>5</v>
      </c>
      <c r="N300" t="s">
        <v>27</v>
      </c>
      <c r="O300" t="s">
        <v>28</v>
      </c>
      <c r="P300" t="s">
        <v>29</v>
      </c>
      <c r="Q300" t="s">
        <v>58</v>
      </c>
      <c r="R300" t="str">
        <f>IF(Table1[[#This Row],[Resolution_Time_Hrs]]&gt;Table1[[#This Row],[SLA_Target_Hrs]],"No", "Yes")</f>
        <v>Yes</v>
      </c>
      <c r="S300" t="str">
        <f>IF(Table1[[#This Row],[Calculated_SLA]]=Table1[[#This Row],[SLA_Met]],"Match","Mismatch")</f>
        <v>Match</v>
      </c>
      <c r="T300">
        <f>IF(Table1[[#This Row],[Calculated_SLA]]="Yes",1,0)</f>
        <v>1</v>
      </c>
      <c r="U300" t="str">
        <f>IF(COUNTIFS(Reference_data!A:A,Table1[[#This Row],[Category]],Reference_data!B:B,Table1[[#This Row],[Sub_Category]])&gt;0,"Valid","Invalid")</f>
        <v>Valid</v>
      </c>
      <c r="V300" t="str">
        <f>_xlfn.XLOOKUP([1]!Table1[[#This Row],[Sub_Category]],[1]Reference_data!B:B,[1]Reference_data!A:A)</f>
        <v>Print Quality</v>
      </c>
      <c r="W300" t="str">
        <f>IF([1]!Table1[[#This Row],[Category]]=[1]!Table1[[#This Row],[Expected_Category ]],"Valid", "invalid")</f>
        <v>Valid</v>
      </c>
    </row>
    <row r="301" spans="1:23">
      <c r="A301" t="s">
        <v>964</v>
      </c>
      <c r="B301" t="s">
        <v>32</v>
      </c>
      <c r="C301" s="31" t="s">
        <v>965</v>
      </c>
      <c r="D301" s="32" t="s">
        <v>966</v>
      </c>
      <c r="E301" t="s">
        <v>21</v>
      </c>
      <c r="F301" t="s">
        <v>63</v>
      </c>
      <c r="G301" t="s">
        <v>23</v>
      </c>
      <c r="H301" t="s">
        <v>24</v>
      </c>
      <c r="I301" t="s">
        <v>25</v>
      </c>
      <c r="J301">
        <v>19.2</v>
      </c>
      <c r="K301">
        <v>24</v>
      </c>
      <c r="L301" t="s">
        <v>27</v>
      </c>
      <c r="M301">
        <v>3</v>
      </c>
      <c r="N301" t="s">
        <v>26</v>
      </c>
      <c r="O301" t="s">
        <v>28</v>
      </c>
      <c r="P301" t="s">
        <v>1670</v>
      </c>
      <c r="Q301" t="s">
        <v>39</v>
      </c>
      <c r="R301" t="str">
        <f>IF(Table1[[#This Row],[Resolution_Time_Hrs]]&gt;Table1[[#This Row],[SLA_Target_Hrs]],"No", "Yes")</f>
        <v>Yes</v>
      </c>
      <c r="S301" t="str">
        <f>IF(Table1[[#This Row],[Calculated_SLA]]=Table1[[#This Row],[SLA_Met]],"Match","Mismatch")</f>
        <v>Mismatch</v>
      </c>
      <c r="T301">
        <f>IF(Table1[[#This Row],[Calculated_SLA]]="Yes",1,0)</f>
        <v>1</v>
      </c>
      <c r="U301" t="str">
        <f>IF(COUNTIFS(Reference_data!A:A,Table1[[#This Row],[Category]],Reference_data!B:B,Table1[[#This Row],[Sub_Category]])&gt;0,"Valid","Invalid")</f>
        <v>Valid</v>
      </c>
      <c r="V301" t="str">
        <f>_xlfn.XLOOKUP([1]!Table1[[#This Row],[Sub_Category]],[1]Reference_data!B:B,[1]Reference_data!A:A)</f>
        <v>Connectivity &amp; Software</v>
      </c>
      <c r="W301" t="str">
        <f>IF([1]!Table1[[#This Row],[Category]]=[1]!Table1[[#This Row],[Expected_Category ]],"Valid", "invalid")</f>
        <v>Valid</v>
      </c>
    </row>
    <row r="302" spans="1:23">
      <c r="A302" t="s">
        <v>967</v>
      </c>
      <c r="B302" t="s">
        <v>121</v>
      </c>
      <c r="C302" s="31" t="s">
        <v>968</v>
      </c>
      <c r="D302" s="32" t="s">
        <v>969</v>
      </c>
      <c r="E302" t="s">
        <v>21</v>
      </c>
      <c r="F302" t="s">
        <v>69</v>
      </c>
      <c r="G302" t="s">
        <v>46</v>
      </c>
      <c r="H302" t="s">
        <v>64</v>
      </c>
      <c r="I302" t="s">
        <v>25</v>
      </c>
      <c r="J302">
        <v>7.5</v>
      </c>
      <c r="K302">
        <v>8</v>
      </c>
      <c r="L302" t="s">
        <v>26</v>
      </c>
      <c r="M302">
        <v>5</v>
      </c>
      <c r="N302" t="s">
        <v>27</v>
      </c>
      <c r="O302" t="s">
        <v>28</v>
      </c>
      <c r="P302" t="s">
        <v>29</v>
      </c>
      <c r="Q302" t="s">
        <v>39</v>
      </c>
      <c r="R302" t="str">
        <f>IF(Table1[[#This Row],[Resolution_Time_Hrs]]&gt;Table1[[#This Row],[SLA_Target_Hrs]],"No", "Yes")</f>
        <v>Yes</v>
      </c>
      <c r="S302" t="str">
        <f>IF(Table1[[#This Row],[Calculated_SLA]]=Table1[[#This Row],[SLA_Met]],"Match","Mismatch")</f>
        <v>Match</v>
      </c>
      <c r="T302">
        <f>IF(Table1[[#This Row],[Calculated_SLA]]="Yes",1,0)</f>
        <v>1</v>
      </c>
      <c r="U302" t="str">
        <f>IF(COUNTIFS(Reference_data!A:A,Table1[[#This Row],[Category]],Reference_data!B:B,Table1[[#This Row],[Sub_Category]])&gt;0,"Valid","Invalid")</f>
        <v>Valid</v>
      </c>
      <c r="V302" t="str">
        <f>_xlfn.XLOOKUP([1]!Table1[[#This Row],[Sub_Category]],[1]Reference_data!B:B,[1]Reference_data!A:A)</f>
        <v>Connectivity &amp; Software</v>
      </c>
      <c r="W302" t="str">
        <f>IF([1]!Table1[[#This Row],[Category]]=[1]!Table1[[#This Row],[Expected_Category ]],"Valid", "invalid")</f>
        <v>Valid</v>
      </c>
    </row>
    <row r="303" spans="1:23">
      <c r="A303" t="s">
        <v>970</v>
      </c>
      <c r="B303" t="s">
        <v>32</v>
      </c>
      <c r="C303" s="31" t="s">
        <v>971</v>
      </c>
      <c r="D303" s="32" t="s">
        <v>972</v>
      </c>
      <c r="E303" t="s">
        <v>78</v>
      </c>
      <c r="F303" t="s">
        <v>166</v>
      </c>
      <c r="G303" t="s">
        <v>23</v>
      </c>
      <c r="H303" t="s">
        <v>86</v>
      </c>
      <c r="I303" t="s">
        <v>80</v>
      </c>
      <c r="J303">
        <v>12.4</v>
      </c>
      <c r="K303">
        <v>24</v>
      </c>
      <c r="L303" t="s">
        <v>26</v>
      </c>
      <c r="M303">
        <v>5</v>
      </c>
      <c r="N303" t="s">
        <v>27</v>
      </c>
      <c r="O303" t="s">
        <v>28</v>
      </c>
      <c r="P303" t="s">
        <v>29</v>
      </c>
      <c r="Q303" t="s">
        <v>58</v>
      </c>
      <c r="R303" t="str">
        <f>IF(Table1[[#This Row],[Resolution_Time_Hrs]]&gt;Table1[[#This Row],[SLA_Target_Hrs]],"No", "Yes")</f>
        <v>Yes</v>
      </c>
      <c r="S303" t="str">
        <f>IF(Table1[[#This Row],[Calculated_SLA]]=Table1[[#This Row],[SLA_Met]],"Match","Mismatch")</f>
        <v>Match</v>
      </c>
      <c r="T303">
        <f>IF(Table1[[#This Row],[Calculated_SLA]]="Yes",1,0)</f>
        <v>1</v>
      </c>
      <c r="U303" t="str">
        <f>IF(COUNTIFS(Reference_data!A:A,Table1[[#This Row],[Category]],Reference_data!B:B,Table1[[#This Row],[Sub_Category]])&gt;0,"Valid","Invalid")</f>
        <v>Valid</v>
      </c>
      <c r="V303" t="str">
        <f>_xlfn.XLOOKUP([1]!Table1[[#This Row],[Sub_Category]],[1]Reference_data!B:B,[1]Reference_data!A:A)</f>
        <v>Hardware &amp; Mechanical</v>
      </c>
      <c r="W303" t="str">
        <f>IF([1]!Table1[[#This Row],[Category]]=[1]!Table1[[#This Row],[Expected_Category ]],"Valid", "invalid")</f>
        <v>Valid</v>
      </c>
    </row>
    <row r="304" spans="1:23">
      <c r="A304" t="s">
        <v>973</v>
      </c>
      <c r="B304" t="s">
        <v>121</v>
      </c>
      <c r="C304" s="31" t="s">
        <v>974</v>
      </c>
      <c r="D304" s="32" t="s">
        <v>975</v>
      </c>
      <c r="E304" t="s">
        <v>78</v>
      </c>
      <c r="F304" t="s">
        <v>166</v>
      </c>
      <c r="G304" t="s">
        <v>54</v>
      </c>
      <c r="H304" t="s">
        <v>24</v>
      </c>
      <c r="I304" t="s">
        <v>80</v>
      </c>
      <c r="J304">
        <v>17.7</v>
      </c>
      <c r="K304">
        <v>4</v>
      </c>
      <c r="L304" t="s">
        <v>27</v>
      </c>
      <c r="M304">
        <v>1</v>
      </c>
      <c r="N304" t="s">
        <v>27</v>
      </c>
      <c r="O304" t="s">
        <v>28</v>
      </c>
      <c r="P304" t="s">
        <v>57</v>
      </c>
      <c r="Q304" t="s">
        <v>58</v>
      </c>
      <c r="R304" t="str">
        <f>IF(Table1[[#This Row],[Resolution_Time_Hrs]]&gt;Table1[[#This Row],[SLA_Target_Hrs]],"No", "Yes")</f>
        <v>No</v>
      </c>
      <c r="S304" t="str">
        <f>IF(Table1[[#This Row],[Calculated_SLA]]=Table1[[#This Row],[SLA_Met]],"Match","Mismatch")</f>
        <v>Match</v>
      </c>
      <c r="T304">
        <f>IF(Table1[[#This Row],[Calculated_SLA]]="Yes",1,0)</f>
        <v>0</v>
      </c>
      <c r="U304" t="str">
        <f>IF(COUNTIFS(Reference_data!A:A,Table1[[#This Row],[Category]],Reference_data!B:B,Table1[[#This Row],[Sub_Category]])&gt;0,"Valid","Invalid")</f>
        <v>Valid</v>
      </c>
      <c r="V304" t="str">
        <f>_xlfn.XLOOKUP([1]!Table1[[#This Row],[Sub_Category]],[1]Reference_data!B:B,[1]Reference_data!A:A)</f>
        <v>Hardware &amp; Mechanical</v>
      </c>
      <c r="W304" t="str">
        <f>IF([1]!Table1[[#This Row],[Category]]=[1]!Table1[[#This Row],[Expected_Category ]],"Valid", "invalid")</f>
        <v>Valid</v>
      </c>
    </row>
    <row r="305" spans="1:23">
      <c r="A305" t="s">
        <v>976</v>
      </c>
      <c r="B305" t="s">
        <v>32</v>
      </c>
      <c r="C305" s="31" t="s">
        <v>977</v>
      </c>
      <c r="D305" s="32" t="s">
        <v>978</v>
      </c>
      <c r="E305" t="s">
        <v>21</v>
      </c>
      <c r="F305" t="s">
        <v>22</v>
      </c>
      <c r="G305" t="s">
        <v>23</v>
      </c>
      <c r="H305" t="s">
        <v>234</v>
      </c>
      <c r="I305" t="s">
        <v>25</v>
      </c>
      <c r="J305">
        <v>15.2</v>
      </c>
      <c r="K305">
        <v>24</v>
      </c>
      <c r="L305" t="s">
        <v>26</v>
      </c>
      <c r="M305">
        <v>5</v>
      </c>
      <c r="N305" t="s">
        <v>27</v>
      </c>
      <c r="O305" t="s">
        <v>28</v>
      </c>
      <c r="P305" t="s">
        <v>29</v>
      </c>
      <c r="Q305" t="s">
        <v>30</v>
      </c>
      <c r="R305" t="str">
        <f>IF(Table1[[#This Row],[Resolution_Time_Hrs]]&gt;Table1[[#This Row],[SLA_Target_Hrs]],"No", "Yes")</f>
        <v>Yes</v>
      </c>
      <c r="S305" t="str">
        <f>IF(Table1[[#This Row],[Calculated_SLA]]=Table1[[#This Row],[SLA_Met]],"Match","Mismatch")</f>
        <v>Match</v>
      </c>
      <c r="T305">
        <f>IF(Table1[[#This Row],[Calculated_SLA]]="Yes",1,0)</f>
        <v>1</v>
      </c>
      <c r="U305" t="str">
        <f>IF(COUNTIFS(Reference_data!A:A,Table1[[#This Row],[Category]],Reference_data!B:B,Table1[[#This Row],[Sub_Category]])&gt;0,"Valid","Invalid")</f>
        <v>Valid</v>
      </c>
      <c r="V305" t="str">
        <f>_xlfn.XLOOKUP([1]!Table1[[#This Row],[Sub_Category]],[1]Reference_data!B:B,[1]Reference_data!A:A)</f>
        <v>Connectivity &amp; Software</v>
      </c>
      <c r="W305" t="str">
        <f>IF([1]!Table1[[#This Row],[Category]]=[1]!Table1[[#This Row],[Expected_Category ]],"Valid", "invalid")</f>
        <v>Valid</v>
      </c>
    </row>
    <row r="306" spans="1:23">
      <c r="A306" t="s">
        <v>979</v>
      </c>
      <c r="B306" t="s">
        <v>32</v>
      </c>
      <c r="C306" s="31" t="s">
        <v>980</v>
      </c>
      <c r="D306" s="32" t="s">
        <v>981</v>
      </c>
      <c r="E306" t="s">
        <v>44</v>
      </c>
      <c r="F306" t="s">
        <v>45</v>
      </c>
      <c r="G306" t="s">
        <v>23</v>
      </c>
      <c r="H306" t="s">
        <v>91</v>
      </c>
      <c r="I306" t="s">
        <v>48</v>
      </c>
      <c r="J306">
        <v>2.2999999999999998</v>
      </c>
      <c r="K306">
        <v>24</v>
      </c>
      <c r="L306" t="s">
        <v>26</v>
      </c>
      <c r="M306">
        <v>4</v>
      </c>
      <c r="N306" t="s">
        <v>27</v>
      </c>
      <c r="O306" t="s">
        <v>28</v>
      </c>
      <c r="P306" t="s">
        <v>29</v>
      </c>
      <c r="Q306" t="s">
        <v>30</v>
      </c>
      <c r="R306" t="str">
        <f>IF(Table1[[#This Row],[Resolution_Time_Hrs]]&gt;Table1[[#This Row],[SLA_Target_Hrs]],"No", "Yes")</f>
        <v>Yes</v>
      </c>
      <c r="S306" t="str">
        <f>IF(Table1[[#This Row],[Calculated_SLA]]=Table1[[#This Row],[SLA_Met]],"Match","Mismatch")</f>
        <v>Match</v>
      </c>
      <c r="T306">
        <f>IF(Table1[[#This Row],[Calculated_SLA]]="Yes",1,0)</f>
        <v>1</v>
      </c>
      <c r="U306" t="str">
        <f>IF(COUNTIFS(Reference_data!A:A,Table1[[#This Row],[Category]],Reference_data!B:B,Table1[[#This Row],[Sub_Category]])&gt;0,"Valid","Invalid")</f>
        <v>Valid</v>
      </c>
      <c r="V306" t="str">
        <f>_xlfn.XLOOKUP([1]!Table1[[#This Row],[Sub_Category]],[1]Reference_data!B:B,[1]Reference_data!A:A)</f>
        <v>Contract &amp; Billing</v>
      </c>
      <c r="W306" t="str">
        <f>IF([1]!Table1[[#This Row],[Category]]=[1]!Table1[[#This Row],[Expected_Category ]],"Valid", "invalid")</f>
        <v>Valid</v>
      </c>
    </row>
    <row r="307" spans="1:23">
      <c r="A307" t="s">
        <v>982</v>
      </c>
      <c r="B307" t="s">
        <v>32</v>
      </c>
      <c r="C307" s="31" t="s">
        <v>983</v>
      </c>
      <c r="D307" s="32" t="s">
        <v>980</v>
      </c>
      <c r="E307" t="s">
        <v>78</v>
      </c>
      <c r="F307" t="s">
        <v>79</v>
      </c>
      <c r="G307" t="s">
        <v>46</v>
      </c>
      <c r="H307" t="s">
        <v>91</v>
      </c>
      <c r="I307" t="s">
        <v>80</v>
      </c>
      <c r="J307">
        <v>20.100000000000001</v>
      </c>
      <c r="K307">
        <v>8</v>
      </c>
      <c r="L307" t="s">
        <v>27</v>
      </c>
      <c r="M307">
        <v>3</v>
      </c>
      <c r="N307" t="s">
        <v>26</v>
      </c>
      <c r="O307" t="s">
        <v>28</v>
      </c>
      <c r="P307" t="s">
        <v>1670</v>
      </c>
      <c r="Q307" t="s">
        <v>30</v>
      </c>
      <c r="R307" t="str">
        <f>IF(Table1[[#This Row],[Resolution_Time_Hrs]]&gt;Table1[[#This Row],[SLA_Target_Hrs]],"No", "Yes")</f>
        <v>No</v>
      </c>
      <c r="S307" t="str">
        <f>IF(Table1[[#This Row],[Calculated_SLA]]=Table1[[#This Row],[SLA_Met]],"Match","Mismatch")</f>
        <v>Match</v>
      </c>
      <c r="T307">
        <f>IF(Table1[[#This Row],[Calculated_SLA]]="Yes",1,0)</f>
        <v>0</v>
      </c>
      <c r="U307" t="str">
        <f>IF(COUNTIFS(Reference_data!A:A,Table1[[#This Row],[Category]],Reference_data!B:B,Table1[[#This Row],[Sub_Category]])&gt;0,"Valid","Invalid")</f>
        <v>Valid</v>
      </c>
      <c r="V307" t="str">
        <f>_xlfn.XLOOKUP([1]!Table1[[#This Row],[Sub_Category]],[1]Reference_data!B:B,[1]Reference_data!A:A)</f>
        <v>Hardware &amp; Mechanical</v>
      </c>
      <c r="W307" t="str">
        <f>IF([1]!Table1[[#This Row],[Category]]=[1]!Table1[[#This Row],[Expected_Category ]],"Valid", "invalid")</f>
        <v>Valid</v>
      </c>
    </row>
    <row r="308" spans="1:23">
      <c r="A308" t="s">
        <v>984</v>
      </c>
      <c r="B308" t="s">
        <v>106</v>
      </c>
      <c r="C308" s="31" t="s">
        <v>985</v>
      </c>
      <c r="D308" s="32" t="s">
        <v>986</v>
      </c>
      <c r="E308" t="s">
        <v>21</v>
      </c>
      <c r="F308" t="s">
        <v>69</v>
      </c>
      <c r="G308" t="s">
        <v>23</v>
      </c>
      <c r="H308" t="s">
        <v>91</v>
      </c>
      <c r="I308" t="s">
        <v>25</v>
      </c>
      <c r="J308">
        <v>11.6</v>
      </c>
      <c r="K308">
        <v>24</v>
      </c>
      <c r="L308" t="s">
        <v>26</v>
      </c>
      <c r="M308">
        <v>4</v>
      </c>
      <c r="N308" t="s">
        <v>27</v>
      </c>
      <c r="O308" t="s">
        <v>28</v>
      </c>
      <c r="P308" t="s">
        <v>29</v>
      </c>
      <c r="Q308" t="s">
        <v>39</v>
      </c>
      <c r="R308" t="str">
        <f>IF(Table1[[#This Row],[Resolution_Time_Hrs]]&gt;Table1[[#This Row],[SLA_Target_Hrs]],"No", "Yes")</f>
        <v>Yes</v>
      </c>
      <c r="S308" t="str">
        <f>IF(Table1[[#This Row],[Calculated_SLA]]=Table1[[#This Row],[SLA_Met]],"Match","Mismatch")</f>
        <v>Match</v>
      </c>
      <c r="T308">
        <f>IF(Table1[[#This Row],[Calculated_SLA]]="Yes",1,0)</f>
        <v>1</v>
      </c>
      <c r="U308" t="str">
        <f>IF(COUNTIFS(Reference_data!A:A,Table1[[#This Row],[Category]],Reference_data!B:B,Table1[[#This Row],[Sub_Category]])&gt;0,"Valid","Invalid")</f>
        <v>Valid</v>
      </c>
      <c r="V308" t="str">
        <f>_xlfn.XLOOKUP([1]!Table1[[#This Row],[Sub_Category]],[1]Reference_data!B:B,[1]Reference_data!A:A)</f>
        <v>Connectivity &amp; Software</v>
      </c>
      <c r="W308" t="str">
        <f>IF([1]!Table1[[#This Row],[Category]]=[1]!Table1[[#This Row],[Expected_Category ]],"Valid", "invalid")</f>
        <v>Valid</v>
      </c>
    </row>
    <row r="309" spans="1:23">
      <c r="A309" t="s">
        <v>987</v>
      </c>
      <c r="B309" t="s">
        <v>75</v>
      </c>
      <c r="C309" s="31" t="s">
        <v>988</v>
      </c>
      <c r="D309" s="32" t="s">
        <v>989</v>
      </c>
      <c r="E309" t="s">
        <v>21</v>
      </c>
      <c r="F309" t="s">
        <v>63</v>
      </c>
      <c r="G309" t="s">
        <v>46</v>
      </c>
      <c r="H309" t="s">
        <v>86</v>
      </c>
      <c r="I309" t="s">
        <v>25</v>
      </c>
      <c r="J309">
        <v>10.7</v>
      </c>
      <c r="K309">
        <v>8</v>
      </c>
      <c r="L309" t="s">
        <v>27</v>
      </c>
      <c r="M309">
        <v>1</v>
      </c>
      <c r="N309" t="s">
        <v>27</v>
      </c>
      <c r="O309" t="s">
        <v>28</v>
      </c>
      <c r="P309" t="s">
        <v>1670</v>
      </c>
      <c r="Q309" t="s">
        <v>30</v>
      </c>
      <c r="R309" t="str">
        <f>IF(Table1[[#This Row],[Resolution_Time_Hrs]]&gt;Table1[[#This Row],[SLA_Target_Hrs]],"No", "Yes")</f>
        <v>No</v>
      </c>
      <c r="S309" t="str">
        <f>IF(Table1[[#This Row],[Calculated_SLA]]=Table1[[#This Row],[SLA_Met]],"Match","Mismatch")</f>
        <v>Match</v>
      </c>
      <c r="T309">
        <f>IF(Table1[[#This Row],[Calculated_SLA]]="Yes",1,0)</f>
        <v>0</v>
      </c>
      <c r="U309" t="str">
        <f>IF(COUNTIFS(Reference_data!A:A,Table1[[#This Row],[Category]],Reference_data!B:B,Table1[[#This Row],[Sub_Category]])&gt;0,"Valid","Invalid")</f>
        <v>Valid</v>
      </c>
      <c r="V309" t="str">
        <f>_xlfn.XLOOKUP([1]!Table1[[#This Row],[Sub_Category]],[1]Reference_data!B:B,[1]Reference_data!A:A)</f>
        <v>Connectivity &amp; Software</v>
      </c>
      <c r="W309" t="str">
        <f>IF([1]!Table1[[#This Row],[Category]]=[1]!Table1[[#This Row],[Expected_Category ]],"Valid", "invalid")</f>
        <v>Valid</v>
      </c>
    </row>
    <row r="310" spans="1:23">
      <c r="A310" t="s">
        <v>990</v>
      </c>
      <c r="B310" t="s">
        <v>60</v>
      </c>
      <c r="C310" s="31" t="s">
        <v>991</v>
      </c>
      <c r="D310" s="32" t="s">
        <v>992</v>
      </c>
      <c r="E310" t="s">
        <v>44</v>
      </c>
      <c r="F310" t="s">
        <v>45</v>
      </c>
      <c r="G310" t="s">
        <v>54</v>
      </c>
      <c r="H310" t="s">
        <v>37</v>
      </c>
      <c r="I310" t="s">
        <v>48</v>
      </c>
      <c r="J310">
        <v>3.3</v>
      </c>
      <c r="K310">
        <v>4</v>
      </c>
      <c r="L310" t="s">
        <v>26</v>
      </c>
      <c r="M310">
        <v>5</v>
      </c>
      <c r="N310" t="s">
        <v>27</v>
      </c>
      <c r="O310" t="s">
        <v>28</v>
      </c>
      <c r="P310" t="s">
        <v>29</v>
      </c>
      <c r="Q310" t="s">
        <v>101</v>
      </c>
      <c r="R310" t="str">
        <f>IF(Table1[[#This Row],[Resolution_Time_Hrs]]&gt;Table1[[#This Row],[SLA_Target_Hrs]],"No", "Yes")</f>
        <v>Yes</v>
      </c>
      <c r="S310" t="str">
        <f>IF(Table1[[#This Row],[Calculated_SLA]]=Table1[[#This Row],[SLA_Met]],"Match","Mismatch")</f>
        <v>Match</v>
      </c>
      <c r="T310">
        <f>IF(Table1[[#This Row],[Calculated_SLA]]="Yes",1,0)</f>
        <v>1</v>
      </c>
      <c r="U310" t="str">
        <f>IF(COUNTIFS(Reference_data!A:A,Table1[[#This Row],[Category]],Reference_data!B:B,Table1[[#This Row],[Sub_Category]])&gt;0,"Valid","Invalid")</f>
        <v>Valid</v>
      </c>
      <c r="V310" t="str">
        <f>_xlfn.XLOOKUP([1]!Table1[[#This Row],[Sub_Category]],[1]Reference_data!B:B,[1]Reference_data!A:A)</f>
        <v>Contract &amp; Billing</v>
      </c>
      <c r="W310" t="str">
        <f>IF([1]!Table1[[#This Row],[Category]]=[1]!Table1[[#This Row],[Expected_Category ]],"Valid", "invalid")</f>
        <v>Valid</v>
      </c>
    </row>
    <row r="311" spans="1:23">
      <c r="A311" t="s">
        <v>993</v>
      </c>
      <c r="B311" t="s">
        <v>41</v>
      </c>
      <c r="C311" s="31" t="s">
        <v>994</v>
      </c>
      <c r="D311" s="32" t="s">
        <v>995</v>
      </c>
      <c r="E311" t="s">
        <v>21</v>
      </c>
      <c r="F311" t="s">
        <v>22</v>
      </c>
      <c r="G311" t="s">
        <v>46</v>
      </c>
      <c r="H311" t="s">
        <v>55</v>
      </c>
      <c r="I311" t="s">
        <v>25</v>
      </c>
      <c r="J311">
        <v>15.2</v>
      </c>
      <c r="K311">
        <v>8</v>
      </c>
      <c r="L311" t="s">
        <v>27</v>
      </c>
      <c r="M311">
        <v>1</v>
      </c>
      <c r="N311" t="s">
        <v>27</v>
      </c>
      <c r="O311" t="s">
        <v>28</v>
      </c>
      <c r="P311" t="s">
        <v>57</v>
      </c>
      <c r="Q311" t="s">
        <v>58</v>
      </c>
      <c r="R311" t="str">
        <f>IF(Table1[[#This Row],[Resolution_Time_Hrs]]&gt;Table1[[#This Row],[SLA_Target_Hrs]],"No", "Yes")</f>
        <v>No</v>
      </c>
      <c r="S311" t="str">
        <f>IF(Table1[[#This Row],[Calculated_SLA]]=Table1[[#This Row],[SLA_Met]],"Match","Mismatch")</f>
        <v>Match</v>
      </c>
      <c r="T311">
        <f>IF(Table1[[#This Row],[Calculated_SLA]]="Yes",1,0)</f>
        <v>0</v>
      </c>
      <c r="U311" t="str">
        <f>IF(COUNTIFS(Reference_data!A:A,Table1[[#This Row],[Category]],Reference_data!B:B,Table1[[#This Row],[Sub_Category]])&gt;0,"Valid","Invalid")</f>
        <v>Valid</v>
      </c>
      <c r="V311" t="str">
        <f>_xlfn.XLOOKUP([1]!Table1[[#This Row],[Sub_Category]],[1]Reference_data!B:B,[1]Reference_data!A:A)</f>
        <v>Connectivity &amp; Software</v>
      </c>
      <c r="W311" t="str">
        <f>IF([1]!Table1[[#This Row],[Category]]=[1]!Table1[[#This Row],[Expected_Category ]],"Valid", "invalid")</f>
        <v>Valid</v>
      </c>
    </row>
    <row r="312" spans="1:23">
      <c r="A312" t="s">
        <v>996</v>
      </c>
      <c r="B312" t="s">
        <v>18</v>
      </c>
      <c r="C312" s="31" t="s">
        <v>997</v>
      </c>
      <c r="D312" s="32" t="s">
        <v>998</v>
      </c>
      <c r="E312" t="s">
        <v>84</v>
      </c>
      <c r="F312" t="s">
        <v>116</v>
      </c>
      <c r="G312" t="s">
        <v>46</v>
      </c>
      <c r="H312" t="s">
        <v>47</v>
      </c>
      <c r="I312" t="s">
        <v>87</v>
      </c>
      <c r="J312">
        <v>5.0999999999999996</v>
      </c>
      <c r="K312">
        <v>8</v>
      </c>
      <c r="L312" t="s">
        <v>26</v>
      </c>
      <c r="M312">
        <v>4</v>
      </c>
      <c r="N312" t="s">
        <v>27</v>
      </c>
      <c r="O312" t="s">
        <v>28</v>
      </c>
      <c r="P312" t="s">
        <v>29</v>
      </c>
      <c r="Q312" t="s">
        <v>58</v>
      </c>
      <c r="R312" t="str">
        <f>IF(Table1[[#This Row],[Resolution_Time_Hrs]]&gt;Table1[[#This Row],[SLA_Target_Hrs]],"No", "Yes")</f>
        <v>Yes</v>
      </c>
      <c r="S312" t="str">
        <f>IF(Table1[[#This Row],[Calculated_SLA]]=Table1[[#This Row],[SLA_Met]],"Match","Mismatch")</f>
        <v>Match</v>
      </c>
      <c r="T312">
        <f>IF(Table1[[#This Row],[Calculated_SLA]]="Yes",1,0)</f>
        <v>1</v>
      </c>
      <c r="U312" t="str">
        <f>IF(COUNTIFS(Reference_data!A:A,Table1[[#This Row],[Category]],Reference_data!B:B,Table1[[#This Row],[Sub_Category]])&gt;0,"Valid","Invalid")</f>
        <v>Valid</v>
      </c>
      <c r="V312" t="str">
        <f>_xlfn.XLOOKUP([1]!Table1[[#This Row],[Sub_Category]],[1]Reference_data!B:B,[1]Reference_data!A:A)</f>
        <v>Supplies &amp; Logistics</v>
      </c>
      <c r="W312" t="str">
        <f>IF([1]!Table1[[#This Row],[Category]]=[1]!Table1[[#This Row],[Expected_Category ]],"Valid", "invalid")</f>
        <v>Valid</v>
      </c>
    </row>
    <row r="313" spans="1:23">
      <c r="A313" t="s">
        <v>999</v>
      </c>
      <c r="B313" t="s">
        <v>121</v>
      </c>
      <c r="C313" s="31" t="s">
        <v>1000</v>
      </c>
      <c r="D313" s="32" t="s">
        <v>1001</v>
      </c>
      <c r="E313" t="s">
        <v>84</v>
      </c>
      <c r="F313" t="s">
        <v>116</v>
      </c>
      <c r="G313" t="s">
        <v>23</v>
      </c>
      <c r="H313" t="s">
        <v>55</v>
      </c>
      <c r="I313" t="s">
        <v>87</v>
      </c>
      <c r="J313">
        <v>4.0999999999999996</v>
      </c>
      <c r="K313">
        <v>24</v>
      </c>
      <c r="L313" t="s">
        <v>26</v>
      </c>
      <c r="M313">
        <v>5</v>
      </c>
      <c r="N313" t="s">
        <v>27</v>
      </c>
      <c r="O313" t="s">
        <v>28</v>
      </c>
      <c r="P313" t="s">
        <v>29</v>
      </c>
      <c r="Q313" t="s">
        <v>30</v>
      </c>
      <c r="R313" t="str">
        <f>IF(Table1[[#This Row],[Resolution_Time_Hrs]]&gt;Table1[[#This Row],[SLA_Target_Hrs]],"No", "Yes")</f>
        <v>Yes</v>
      </c>
      <c r="S313" t="str">
        <f>IF(Table1[[#This Row],[Calculated_SLA]]=Table1[[#This Row],[SLA_Met]],"Match","Mismatch")</f>
        <v>Match</v>
      </c>
      <c r="T313">
        <f>IF(Table1[[#This Row],[Calculated_SLA]]="Yes",1,0)</f>
        <v>1</v>
      </c>
      <c r="U313" t="str">
        <f>IF(COUNTIFS(Reference_data!A:A,Table1[[#This Row],[Category]],Reference_data!B:B,Table1[[#This Row],[Sub_Category]])&gt;0,"Valid","Invalid")</f>
        <v>Valid</v>
      </c>
      <c r="V313" t="str">
        <f>_xlfn.XLOOKUP([1]!Table1[[#This Row],[Sub_Category]],[1]Reference_data!B:B,[1]Reference_data!A:A)</f>
        <v>Supplies &amp; Logistics</v>
      </c>
      <c r="W313" t="str">
        <f>IF([1]!Table1[[#This Row],[Category]]=[1]!Table1[[#This Row],[Expected_Category ]],"Valid", "invalid")</f>
        <v>Valid</v>
      </c>
    </row>
    <row r="314" spans="1:23">
      <c r="A314" t="s">
        <v>1002</v>
      </c>
      <c r="B314" t="s">
        <v>32</v>
      </c>
      <c r="C314" s="31" t="s">
        <v>1003</v>
      </c>
      <c r="D314" s="32" t="s">
        <v>1004</v>
      </c>
      <c r="E314" t="s">
        <v>35</v>
      </c>
      <c r="F314" t="s">
        <v>127</v>
      </c>
      <c r="G314" t="s">
        <v>23</v>
      </c>
      <c r="H314" t="s">
        <v>91</v>
      </c>
      <c r="I314" t="s">
        <v>56</v>
      </c>
      <c r="J314">
        <v>11.1</v>
      </c>
      <c r="K314">
        <v>24</v>
      </c>
      <c r="L314" t="s">
        <v>26</v>
      </c>
      <c r="M314">
        <v>5</v>
      </c>
      <c r="N314" t="s">
        <v>27</v>
      </c>
      <c r="O314" t="s">
        <v>28</v>
      </c>
      <c r="P314" t="s">
        <v>29</v>
      </c>
      <c r="Q314" t="s">
        <v>101</v>
      </c>
      <c r="R314" t="str">
        <f>IF(Table1[[#This Row],[Resolution_Time_Hrs]]&gt;Table1[[#This Row],[SLA_Target_Hrs]],"No", "Yes")</f>
        <v>Yes</v>
      </c>
      <c r="S314" t="str">
        <f>IF(Table1[[#This Row],[Calculated_SLA]]=Table1[[#This Row],[SLA_Met]],"Match","Mismatch")</f>
        <v>Match</v>
      </c>
      <c r="T314">
        <f>IF(Table1[[#This Row],[Calculated_SLA]]="Yes",1,0)</f>
        <v>1</v>
      </c>
      <c r="U314" t="str">
        <f>IF(COUNTIFS(Reference_data!A:A,Table1[[#This Row],[Category]],Reference_data!B:B,Table1[[#This Row],[Sub_Category]])&gt;0,"Valid","Invalid")</f>
        <v>Valid</v>
      </c>
      <c r="V314" t="str">
        <f>_xlfn.XLOOKUP([1]!Table1[[#This Row],[Sub_Category]],[1]Reference_data!B:B,[1]Reference_data!A:A)</f>
        <v>Print Quality</v>
      </c>
      <c r="W314" t="str">
        <f>IF([1]!Table1[[#This Row],[Category]]=[1]!Table1[[#This Row],[Expected_Category ]],"Valid", "invalid")</f>
        <v>Valid</v>
      </c>
    </row>
    <row r="315" spans="1:23">
      <c r="A315" t="s">
        <v>1005</v>
      </c>
      <c r="B315" t="s">
        <v>41</v>
      </c>
      <c r="C315" s="31" t="s">
        <v>1006</v>
      </c>
      <c r="D315" s="32" t="s">
        <v>1007</v>
      </c>
      <c r="E315" t="s">
        <v>21</v>
      </c>
      <c r="F315" t="s">
        <v>22</v>
      </c>
      <c r="G315" t="s">
        <v>23</v>
      </c>
      <c r="H315" t="s">
        <v>24</v>
      </c>
      <c r="I315" t="s">
        <v>25</v>
      </c>
      <c r="J315">
        <v>20.6</v>
      </c>
      <c r="K315">
        <v>24</v>
      </c>
      <c r="L315" t="s">
        <v>26</v>
      </c>
      <c r="M315">
        <v>4</v>
      </c>
      <c r="N315" t="s">
        <v>27</v>
      </c>
      <c r="O315" t="s">
        <v>28</v>
      </c>
      <c r="P315" t="s">
        <v>29</v>
      </c>
      <c r="Q315" t="s">
        <v>101</v>
      </c>
      <c r="R315" t="str">
        <f>IF(Table1[[#This Row],[Resolution_Time_Hrs]]&gt;Table1[[#This Row],[SLA_Target_Hrs]],"No", "Yes")</f>
        <v>Yes</v>
      </c>
      <c r="S315" t="str">
        <f>IF(Table1[[#This Row],[Calculated_SLA]]=Table1[[#This Row],[SLA_Met]],"Match","Mismatch")</f>
        <v>Match</v>
      </c>
      <c r="T315">
        <f>IF(Table1[[#This Row],[Calculated_SLA]]="Yes",1,0)</f>
        <v>1</v>
      </c>
      <c r="U315" t="str">
        <f>IF(COUNTIFS(Reference_data!A:A,Table1[[#This Row],[Category]],Reference_data!B:B,Table1[[#This Row],[Sub_Category]])&gt;0,"Valid","Invalid")</f>
        <v>Valid</v>
      </c>
      <c r="V315" t="str">
        <f>_xlfn.XLOOKUP([1]!Table1[[#This Row],[Sub_Category]],[1]Reference_data!B:B,[1]Reference_data!A:A)</f>
        <v>Connectivity &amp; Software</v>
      </c>
      <c r="W315" t="str">
        <f>IF([1]!Table1[[#This Row],[Category]]=[1]!Table1[[#This Row],[Expected_Category ]],"Valid", "invalid")</f>
        <v>Valid</v>
      </c>
    </row>
    <row r="316" spans="1:23">
      <c r="A316" t="s">
        <v>1008</v>
      </c>
      <c r="B316" t="s">
        <v>32</v>
      </c>
      <c r="C316" s="31" t="s">
        <v>1009</v>
      </c>
      <c r="D316" s="32" t="s">
        <v>1010</v>
      </c>
      <c r="E316" t="s">
        <v>21</v>
      </c>
      <c r="F316" t="s">
        <v>69</v>
      </c>
      <c r="G316" t="s">
        <v>23</v>
      </c>
      <c r="H316" t="s">
        <v>70</v>
      </c>
      <c r="I316" t="s">
        <v>25</v>
      </c>
      <c r="J316">
        <v>10.199999999999999</v>
      </c>
      <c r="K316">
        <v>24</v>
      </c>
      <c r="L316" t="s">
        <v>26</v>
      </c>
      <c r="M316">
        <v>4</v>
      </c>
      <c r="N316" t="s">
        <v>27</v>
      </c>
      <c r="O316" t="s">
        <v>28</v>
      </c>
      <c r="P316" t="s">
        <v>29</v>
      </c>
      <c r="Q316" t="s">
        <v>30</v>
      </c>
      <c r="R316" t="str">
        <f>IF(Table1[[#This Row],[Resolution_Time_Hrs]]&gt;Table1[[#This Row],[SLA_Target_Hrs]],"No", "Yes")</f>
        <v>Yes</v>
      </c>
      <c r="S316" t="str">
        <f>IF(Table1[[#This Row],[Calculated_SLA]]=Table1[[#This Row],[SLA_Met]],"Match","Mismatch")</f>
        <v>Match</v>
      </c>
      <c r="T316">
        <f>IF(Table1[[#This Row],[Calculated_SLA]]="Yes",1,0)</f>
        <v>1</v>
      </c>
      <c r="U316" t="str">
        <f>IF(COUNTIFS(Reference_data!A:A,Table1[[#This Row],[Category]],Reference_data!B:B,Table1[[#This Row],[Sub_Category]])&gt;0,"Valid","Invalid")</f>
        <v>Valid</v>
      </c>
      <c r="V316" t="str">
        <f>_xlfn.XLOOKUP([1]!Table1[[#This Row],[Sub_Category]],[1]Reference_data!B:B,[1]Reference_data!A:A)</f>
        <v>Connectivity &amp; Software</v>
      </c>
      <c r="W316" t="str">
        <f>IF([1]!Table1[[#This Row],[Category]]=[1]!Table1[[#This Row],[Expected_Category ]],"Valid", "invalid")</f>
        <v>Valid</v>
      </c>
    </row>
    <row r="317" spans="1:23">
      <c r="A317" t="s">
        <v>1011</v>
      </c>
      <c r="B317" t="s">
        <v>106</v>
      </c>
      <c r="C317" s="31" t="s">
        <v>1012</v>
      </c>
      <c r="D317" s="32" t="s">
        <v>1013</v>
      </c>
      <c r="E317" t="s">
        <v>35</v>
      </c>
      <c r="F317" t="s">
        <v>36</v>
      </c>
      <c r="G317" t="s">
        <v>23</v>
      </c>
      <c r="H317" t="s">
        <v>86</v>
      </c>
      <c r="I317" t="s">
        <v>38</v>
      </c>
      <c r="J317">
        <v>7</v>
      </c>
      <c r="K317">
        <v>24</v>
      </c>
      <c r="L317" t="s">
        <v>27</v>
      </c>
      <c r="N317" t="s">
        <v>27</v>
      </c>
      <c r="O317" t="s">
        <v>28</v>
      </c>
      <c r="P317" t="s">
        <v>1670</v>
      </c>
      <c r="Q317" t="s">
        <v>39</v>
      </c>
      <c r="R317" t="str">
        <f>IF(Table1[[#This Row],[Resolution_Time_Hrs]]&gt;Table1[[#This Row],[SLA_Target_Hrs]],"No", "Yes")</f>
        <v>Yes</v>
      </c>
      <c r="S317" t="str">
        <f>IF(Table1[[#This Row],[Calculated_SLA]]=Table1[[#This Row],[SLA_Met]],"Match","Mismatch")</f>
        <v>Mismatch</v>
      </c>
      <c r="T317">
        <f>IF(Table1[[#This Row],[Calculated_SLA]]="Yes",1,0)</f>
        <v>1</v>
      </c>
      <c r="U317" t="str">
        <f>IF(COUNTIFS(Reference_data!A:A,Table1[[#This Row],[Category]],Reference_data!B:B,Table1[[#This Row],[Sub_Category]])&gt;0,"Valid","Invalid")</f>
        <v>Valid</v>
      </c>
      <c r="V317" t="str">
        <f>_xlfn.XLOOKUP([1]!Table1[[#This Row],[Sub_Category]],[1]Reference_data!B:B,[1]Reference_data!A:A)</f>
        <v>Print Quality</v>
      </c>
      <c r="W317" t="str">
        <f>IF([1]!Table1[[#This Row],[Category]]=[1]!Table1[[#This Row],[Expected_Category ]],"Valid", "invalid")</f>
        <v>Valid</v>
      </c>
    </row>
    <row r="318" spans="1:23">
      <c r="A318" t="s">
        <v>1014</v>
      </c>
      <c r="B318" t="s">
        <v>18</v>
      </c>
      <c r="C318" s="31" t="s">
        <v>1015</v>
      </c>
      <c r="D318" s="32" t="s">
        <v>1016</v>
      </c>
      <c r="E318" t="s">
        <v>78</v>
      </c>
      <c r="F318" t="s">
        <v>79</v>
      </c>
      <c r="G318" t="s">
        <v>54</v>
      </c>
      <c r="H318" t="s">
        <v>91</v>
      </c>
      <c r="I318" t="s">
        <v>80</v>
      </c>
      <c r="J318">
        <v>15.1</v>
      </c>
      <c r="K318">
        <v>4</v>
      </c>
      <c r="L318" t="s">
        <v>27</v>
      </c>
      <c r="M318">
        <v>2</v>
      </c>
      <c r="N318" t="s">
        <v>26</v>
      </c>
      <c r="O318" t="s">
        <v>28</v>
      </c>
      <c r="P318" t="s">
        <v>1670</v>
      </c>
      <c r="Q318" t="s">
        <v>30</v>
      </c>
      <c r="R318" t="str">
        <f>IF(Table1[[#This Row],[Resolution_Time_Hrs]]&gt;Table1[[#This Row],[SLA_Target_Hrs]],"No", "Yes")</f>
        <v>No</v>
      </c>
      <c r="S318" t="str">
        <f>IF(Table1[[#This Row],[Calculated_SLA]]=Table1[[#This Row],[SLA_Met]],"Match","Mismatch")</f>
        <v>Match</v>
      </c>
      <c r="T318">
        <f>IF(Table1[[#This Row],[Calculated_SLA]]="Yes",1,0)</f>
        <v>0</v>
      </c>
      <c r="U318" t="str">
        <f>IF(COUNTIFS(Reference_data!A:A,Table1[[#This Row],[Category]],Reference_data!B:B,Table1[[#This Row],[Sub_Category]])&gt;0,"Valid","Invalid")</f>
        <v>Valid</v>
      </c>
      <c r="V318" t="str">
        <f>_xlfn.XLOOKUP([1]!Table1[[#This Row],[Sub_Category]],[1]Reference_data!B:B,[1]Reference_data!A:A)</f>
        <v>Hardware &amp; Mechanical</v>
      </c>
      <c r="W318" t="str">
        <f>IF([1]!Table1[[#This Row],[Category]]=[1]!Table1[[#This Row],[Expected_Category ]],"Valid", "invalid")</f>
        <v>Valid</v>
      </c>
    </row>
    <row r="319" spans="1:23">
      <c r="A319" t="s">
        <v>1017</v>
      </c>
      <c r="B319" t="s">
        <v>32</v>
      </c>
      <c r="C319" s="31" t="s">
        <v>1018</v>
      </c>
      <c r="D319" s="32" t="s">
        <v>1019</v>
      </c>
      <c r="E319" t="s">
        <v>21</v>
      </c>
      <c r="F319" t="s">
        <v>22</v>
      </c>
      <c r="G319" t="s">
        <v>54</v>
      </c>
      <c r="H319" t="s">
        <v>55</v>
      </c>
      <c r="I319" t="s">
        <v>25</v>
      </c>
      <c r="J319">
        <v>9.1</v>
      </c>
      <c r="K319">
        <v>4</v>
      </c>
      <c r="L319" t="s">
        <v>27</v>
      </c>
      <c r="M319">
        <v>3</v>
      </c>
      <c r="N319" t="s">
        <v>26</v>
      </c>
      <c r="O319" t="s">
        <v>28</v>
      </c>
      <c r="P319" t="s">
        <v>57</v>
      </c>
      <c r="Q319" t="s">
        <v>39</v>
      </c>
      <c r="R319" t="str">
        <f>IF(Table1[[#This Row],[Resolution_Time_Hrs]]&gt;Table1[[#This Row],[SLA_Target_Hrs]],"No", "Yes")</f>
        <v>No</v>
      </c>
      <c r="S319" t="str">
        <f>IF(Table1[[#This Row],[Calculated_SLA]]=Table1[[#This Row],[SLA_Met]],"Match","Mismatch")</f>
        <v>Match</v>
      </c>
      <c r="T319">
        <f>IF(Table1[[#This Row],[Calculated_SLA]]="Yes",1,0)</f>
        <v>0</v>
      </c>
      <c r="U319" t="str">
        <f>IF(COUNTIFS(Reference_data!A:A,Table1[[#This Row],[Category]],Reference_data!B:B,Table1[[#This Row],[Sub_Category]])&gt;0,"Valid","Invalid")</f>
        <v>Valid</v>
      </c>
      <c r="V319" t="str">
        <f>_xlfn.XLOOKUP([1]!Table1[[#This Row],[Sub_Category]],[1]Reference_data!B:B,[1]Reference_data!A:A)</f>
        <v>Connectivity &amp; Software</v>
      </c>
      <c r="W319" t="str">
        <f>IF([1]!Table1[[#This Row],[Category]]=[1]!Table1[[#This Row],[Expected_Category ]],"Valid", "invalid")</f>
        <v>Valid</v>
      </c>
    </row>
    <row r="320" spans="1:23">
      <c r="A320" t="s">
        <v>1020</v>
      </c>
      <c r="B320" t="s">
        <v>60</v>
      </c>
      <c r="C320" s="31" t="s">
        <v>1021</v>
      </c>
      <c r="D320" s="32" t="s">
        <v>1022</v>
      </c>
      <c r="E320" t="s">
        <v>78</v>
      </c>
      <c r="F320" t="s">
        <v>191</v>
      </c>
      <c r="G320" t="s">
        <v>23</v>
      </c>
      <c r="H320" t="s">
        <v>37</v>
      </c>
      <c r="I320" t="s">
        <v>38</v>
      </c>
      <c r="J320">
        <v>13.5</v>
      </c>
      <c r="K320">
        <v>24</v>
      </c>
      <c r="L320" t="s">
        <v>26</v>
      </c>
      <c r="M320">
        <v>4</v>
      </c>
      <c r="N320" t="s">
        <v>27</v>
      </c>
      <c r="O320" t="s">
        <v>28</v>
      </c>
      <c r="P320" t="s">
        <v>29</v>
      </c>
      <c r="Q320" t="s">
        <v>58</v>
      </c>
      <c r="R320" t="str">
        <f>IF(Table1[[#This Row],[Resolution_Time_Hrs]]&gt;Table1[[#This Row],[SLA_Target_Hrs]],"No", "Yes")</f>
        <v>Yes</v>
      </c>
      <c r="S320" t="str">
        <f>IF(Table1[[#This Row],[Calculated_SLA]]=Table1[[#This Row],[SLA_Met]],"Match","Mismatch")</f>
        <v>Match</v>
      </c>
      <c r="T320">
        <f>IF(Table1[[#This Row],[Calculated_SLA]]="Yes",1,0)</f>
        <v>1</v>
      </c>
      <c r="U320" t="str">
        <f>IF(COUNTIFS(Reference_data!A:A,Table1[[#This Row],[Category]],Reference_data!B:B,Table1[[#This Row],[Sub_Category]])&gt;0,"Valid","Invalid")</f>
        <v>Valid</v>
      </c>
      <c r="V320" t="str">
        <f>_xlfn.XLOOKUP([1]!Table1[[#This Row],[Sub_Category]],[1]Reference_data!B:B,[1]Reference_data!A:A)</f>
        <v>Hardware &amp; Mechanical</v>
      </c>
      <c r="W320" t="str">
        <f>IF([1]!Table1[[#This Row],[Category]]=[1]!Table1[[#This Row],[Expected_Category ]],"Valid", "invalid")</f>
        <v>Valid</v>
      </c>
    </row>
    <row r="321" spans="1:23">
      <c r="A321" t="s">
        <v>1023</v>
      </c>
      <c r="B321" t="s">
        <v>50</v>
      </c>
      <c r="C321" s="31" t="s">
        <v>1024</v>
      </c>
      <c r="D321" s="32" t="s">
        <v>1025</v>
      </c>
      <c r="E321" t="s">
        <v>84</v>
      </c>
      <c r="F321" t="s">
        <v>85</v>
      </c>
      <c r="G321" t="s">
        <v>54</v>
      </c>
      <c r="H321" t="s">
        <v>37</v>
      </c>
      <c r="I321" t="s">
        <v>87</v>
      </c>
      <c r="J321">
        <v>4.3</v>
      </c>
      <c r="K321">
        <v>4</v>
      </c>
      <c r="L321" t="s">
        <v>27</v>
      </c>
      <c r="M321">
        <v>3</v>
      </c>
      <c r="N321" t="s">
        <v>26</v>
      </c>
      <c r="O321" t="s">
        <v>28</v>
      </c>
      <c r="P321" t="s">
        <v>57</v>
      </c>
      <c r="Q321" t="s">
        <v>58</v>
      </c>
      <c r="R321" t="str">
        <f>IF(Table1[[#This Row],[Resolution_Time_Hrs]]&gt;Table1[[#This Row],[SLA_Target_Hrs]],"No", "Yes")</f>
        <v>No</v>
      </c>
      <c r="S321" t="str">
        <f>IF(Table1[[#This Row],[Calculated_SLA]]=Table1[[#This Row],[SLA_Met]],"Match","Mismatch")</f>
        <v>Match</v>
      </c>
      <c r="T321">
        <f>IF(Table1[[#This Row],[Calculated_SLA]]="Yes",1,0)</f>
        <v>0</v>
      </c>
      <c r="U321" t="str">
        <f>IF(COUNTIFS(Reference_data!A:A,Table1[[#This Row],[Category]],Reference_data!B:B,Table1[[#This Row],[Sub_Category]])&gt;0,"Valid","Invalid")</f>
        <v>Valid</v>
      </c>
      <c r="V321" t="str">
        <f>_xlfn.XLOOKUP([1]!Table1[[#This Row],[Sub_Category]],[1]Reference_data!B:B,[1]Reference_data!A:A)</f>
        <v>Supplies &amp; Logistics</v>
      </c>
      <c r="W321" t="str">
        <f>IF([1]!Table1[[#This Row],[Category]]=[1]!Table1[[#This Row],[Expected_Category ]],"Valid", "invalid")</f>
        <v>Valid</v>
      </c>
    </row>
    <row r="322" spans="1:23">
      <c r="A322" t="s">
        <v>1026</v>
      </c>
      <c r="B322" t="s">
        <v>60</v>
      </c>
      <c r="C322" s="31" t="s">
        <v>1027</v>
      </c>
      <c r="D322" s="32" t="s">
        <v>1028</v>
      </c>
      <c r="E322" t="s">
        <v>21</v>
      </c>
      <c r="F322" t="s">
        <v>69</v>
      </c>
      <c r="G322" t="s">
        <v>23</v>
      </c>
      <c r="H322" t="s">
        <v>37</v>
      </c>
      <c r="I322" t="s">
        <v>25</v>
      </c>
      <c r="J322">
        <v>15.1</v>
      </c>
      <c r="K322">
        <v>24</v>
      </c>
      <c r="L322" t="s">
        <v>26</v>
      </c>
      <c r="M322">
        <v>5</v>
      </c>
      <c r="N322" t="s">
        <v>27</v>
      </c>
      <c r="O322" t="s">
        <v>28</v>
      </c>
      <c r="P322" t="s">
        <v>29</v>
      </c>
      <c r="Q322" t="s">
        <v>30</v>
      </c>
      <c r="R322" t="str">
        <f>IF(Table1[[#This Row],[Resolution_Time_Hrs]]&gt;Table1[[#This Row],[SLA_Target_Hrs]],"No", "Yes")</f>
        <v>Yes</v>
      </c>
      <c r="S322" t="str">
        <f>IF(Table1[[#This Row],[Calculated_SLA]]=Table1[[#This Row],[SLA_Met]],"Match","Mismatch")</f>
        <v>Match</v>
      </c>
      <c r="T322">
        <f>IF(Table1[[#This Row],[Calculated_SLA]]="Yes",1,0)</f>
        <v>1</v>
      </c>
      <c r="U322" t="str">
        <f>IF(COUNTIFS(Reference_data!A:A,Table1[[#This Row],[Category]],Reference_data!B:B,Table1[[#This Row],[Sub_Category]])&gt;0,"Valid","Invalid")</f>
        <v>Valid</v>
      </c>
      <c r="V322" t="str">
        <f>_xlfn.XLOOKUP([1]!Table1[[#This Row],[Sub_Category]],[1]Reference_data!B:B,[1]Reference_data!A:A)</f>
        <v>Connectivity &amp; Software</v>
      </c>
      <c r="W322" t="str">
        <f>IF([1]!Table1[[#This Row],[Category]]=[1]!Table1[[#This Row],[Expected_Category ]],"Valid", "invalid")</f>
        <v>Valid</v>
      </c>
    </row>
    <row r="323" spans="1:23">
      <c r="A323" t="s">
        <v>1029</v>
      </c>
      <c r="B323" t="s">
        <v>32</v>
      </c>
      <c r="C323" s="31" t="s">
        <v>1030</v>
      </c>
      <c r="D323" s="32" t="s">
        <v>1031</v>
      </c>
      <c r="E323" t="s">
        <v>35</v>
      </c>
      <c r="F323" t="s">
        <v>53</v>
      </c>
      <c r="G323" t="s">
        <v>46</v>
      </c>
      <c r="H323" t="s">
        <v>86</v>
      </c>
      <c r="I323" t="s">
        <v>56</v>
      </c>
      <c r="J323">
        <v>5</v>
      </c>
      <c r="K323">
        <v>8</v>
      </c>
      <c r="L323" t="s">
        <v>26</v>
      </c>
      <c r="M323">
        <v>5</v>
      </c>
      <c r="N323" t="s">
        <v>27</v>
      </c>
      <c r="O323" t="s">
        <v>28</v>
      </c>
      <c r="P323" t="s">
        <v>29</v>
      </c>
      <c r="Q323" t="s">
        <v>58</v>
      </c>
      <c r="R323" t="str">
        <f>IF(Table1[[#This Row],[Resolution_Time_Hrs]]&gt;Table1[[#This Row],[SLA_Target_Hrs]],"No", "Yes")</f>
        <v>Yes</v>
      </c>
      <c r="S323" t="str">
        <f>IF(Table1[[#This Row],[Calculated_SLA]]=Table1[[#This Row],[SLA_Met]],"Match","Mismatch")</f>
        <v>Match</v>
      </c>
      <c r="T323">
        <f>IF(Table1[[#This Row],[Calculated_SLA]]="Yes",1,0)</f>
        <v>1</v>
      </c>
      <c r="U323" t="str">
        <f>IF(COUNTIFS(Reference_data!A:A,Table1[[#This Row],[Category]],Reference_data!B:B,Table1[[#This Row],[Sub_Category]])&gt;0,"Valid","Invalid")</f>
        <v>Valid</v>
      </c>
      <c r="V323" t="str">
        <f>_xlfn.XLOOKUP([1]!Table1[[#This Row],[Sub_Category]],[1]Reference_data!B:B,[1]Reference_data!A:A)</f>
        <v>Print Quality</v>
      </c>
      <c r="W323" t="str">
        <f>IF([1]!Table1[[#This Row],[Category]]=[1]!Table1[[#This Row],[Expected_Category ]],"Valid", "invalid")</f>
        <v>Valid</v>
      </c>
    </row>
    <row r="324" spans="1:23">
      <c r="A324" t="s">
        <v>1032</v>
      </c>
      <c r="B324" t="s">
        <v>18</v>
      </c>
      <c r="C324" s="31" t="s">
        <v>1033</v>
      </c>
      <c r="D324" s="32" t="s">
        <v>1034</v>
      </c>
      <c r="E324" t="s">
        <v>78</v>
      </c>
      <c r="F324" t="s">
        <v>166</v>
      </c>
      <c r="G324" t="s">
        <v>23</v>
      </c>
      <c r="H324" t="s">
        <v>24</v>
      </c>
      <c r="I324" t="s">
        <v>80</v>
      </c>
      <c r="J324">
        <v>19.7</v>
      </c>
      <c r="K324">
        <v>24</v>
      </c>
      <c r="L324" t="s">
        <v>26</v>
      </c>
      <c r="M324">
        <v>4</v>
      </c>
      <c r="N324" t="s">
        <v>27</v>
      </c>
      <c r="O324" t="s">
        <v>28</v>
      </c>
      <c r="P324" t="s">
        <v>29</v>
      </c>
      <c r="Q324" t="s">
        <v>58</v>
      </c>
      <c r="R324" t="str">
        <f>IF(Table1[[#This Row],[Resolution_Time_Hrs]]&gt;Table1[[#This Row],[SLA_Target_Hrs]],"No", "Yes")</f>
        <v>Yes</v>
      </c>
      <c r="S324" t="str">
        <f>IF(Table1[[#This Row],[Calculated_SLA]]=Table1[[#This Row],[SLA_Met]],"Match","Mismatch")</f>
        <v>Match</v>
      </c>
      <c r="T324">
        <f>IF(Table1[[#This Row],[Calculated_SLA]]="Yes",1,0)</f>
        <v>1</v>
      </c>
      <c r="U324" t="str">
        <f>IF(COUNTIFS(Reference_data!A:A,Table1[[#This Row],[Category]],Reference_data!B:B,Table1[[#This Row],[Sub_Category]])&gt;0,"Valid","Invalid")</f>
        <v>Valid</v>
      </c>
      <c r="V324" t="str">
        <f>_xlfn.XLOOKUP([1]!Table1[[#This Row],[Sub_Category]],[1]Reference_data!B:B,[1]Reference_data!A:A)</f>
        <v>Hardware &amp; Mechanical</v>
      </c>
      <c r="W324" t="str">
        <f>IF([1]!Table1[[#This Row],[Category]]=[1]!Table1[[#This Row],[Expected_Category ]],"Valid", "invalid")</f>
        <v>Valid</v>
      </c>
    </row>
    <row r="325" spans="1:23">
      <c r="A325" t="s">
        <v>1035</v>
      </c>
      <c r="B325" t="s">
        <v>41</v>
      </c>
      <c r="C325" s="31" t="s">
        <v>1036</v>
      </c>
      <c r="D325" s="32" t="s">
        <v>1037</v>
      </c>
      <c r="E325" t="s">
        <v>21</v>
      </c>
      <c r="F325" t="s">
        <v>69</v>
      </c>
      <c r="G325" t="s">
        <v>46</v>
      </c>
      <c r="H325" t="s">
        <v>37</v>
      </c>
      <c r="I325" t="s">
        <v>25</v>
      </c>
      <c r="J325">
        <v>10</v>
      </c>
      <c r="K325">
        <v>8</v>
      </c>
      <c r="L325" t="s">
        <v>27</v>
      </c>
      <c r="M325">
        <v>1</v>
      </c>
      <c r="N325" t="s">
        <v>26</v>
      </c>
      <c r="O325" t="s">
        <v>28</v>
      </c>
      <c r="P325" t="s">
        <v>57</v>
      </c>
      <c r="Q325" t="s">
        <v>30</v>
      </c>
      <c r="R325" t="str">
        <f>IF(Table1[[#This Row],[Resolution_Time_Hrs]]&gt;Table1[[#This Row],[SLA_Target_Hrs]],"No", "Yes")</f>
        <v>No</v>
      </c>
      <c r="S325" t="str">
        <f>IF(Table1[[#This Row],[Calculated_SLA]]=Table1[[#This Row],[SLA_Met]],"Match","Mismatch")</f>
        <v>Match</v>
      </c>
      <c r="T325">
        <f>IF(Table1[[#This Row],[Calculated_SLA]]="Yes",1,0)</f>
        <v>0</v>
      </c>
      <c r="U325" t="str">
        <f>IF(COUNTIFS(Reference_data!A:A,Table1[[#This Row],[Category]],Reference_data!B:B,Table1[[#This Row],[Sub_Category]])&gt;0,"Valid","Invalid")</f>
        <v>Valid</v>
      </c>
      <c r="V325" t="str">
        <f>_xlfn.XLOOKUP([1]!Table1[[#This Row],[Sub_Category]],[1]Reference_data!B:B,[1]Reference_data!A:A)</f>
        <v>Connectivity &amp; Software</v>
      </c>
      <c r="W325" t="str">
        <f>IF([1]!Table1[[#This Row],[Category]]=[1]!Table1[[#This Row],[Expected_Category ]],"Valid", "invalid")</f>
        <v>Valid</v>
      </c>
    </row>
    <row r="326" spans="1:23">
      <c r="A326" t="s">
        <v>1038</v>
      </c>
      <c r="B326" t="s">
        <v>75</v>
      </c>
      <c r="C326" s="31" t="s">
        <v>1039</v>
      </c>
      <c r="D326" s="32" t="s">
        <v>1040</v>
      </c>
      <c r="E326" t="s">
        <v>35</v>
      </c>
      <c r="F326" t="s">
        <v>53</v>
      </c>
      <c r="G326" t="s">
        <v>46</v>
      </c>
      <c r="H326" t="s">
        <v>37</v>
      </c>
      <c r="I326" t="s">
        <v>56</v>
      </c>
      <c r="J326">
        <v>8.1999999999999993</v>
      </c>
      <c r="K326">
        <v>8</v>
      </c>
      <c r="L326" t="s">
        <v>27</v>
      </c>
      <c r="M326">
        <v>3</v>
      </c>
      <c r="N326" t="s">
        <v>26</v>
      </c>
      <c r="O326" t="s">
        <v>28</v>
      </c>
      <c r="P326" t="s">
        <v>57</v>
      </c>
      <c r="Q326" t="s">
        <v>30</v>
      </c>
      <c r="R326" t="str">
        <f>IF(Table1[[#This Row],[Resolution_Time_Hrs]]&gt;Table1[[#This Row],[SLA_Target_Hrs]],"No", "Yes")</f>
        <v>No</v>
      </c>
      <c r="S326" t="str">
        <f>IF(Table1[[#This Row],[Calculated_SLA]]=Table1[[#This Row],[SLA_Met]],"Match","Mismatch")</f>
        <v>Match</v>
      </c>
      <c r="T326">
        <f>IF(Table1[[#This Row],[Calculated_SLA]]="Yes",1,0)</f>
        <v>0</v>
      </c>
      <c r="U326" t="str">
        <f>IF(COUNTIFS(Reference_data!A:A,Table1[[#This Row],[Category]],Reference_data!B:B,Table1[[#This Row],[Sub_Category]])&gt;0,"Valid","Invalid")</f>
        <v>Valid</v>
      </c>
      <c r="V326" t="str">
        <f>_xlfn.XLOOKUP([1]!Table1[[#This Row],[Sub_Category]],[1]Reference_data!B:B,[1]Reference_data!A:A)</f>
        <v>Print Quality</v>
      </c>
      <c r="W326" t="str">
        <f>IF([1]!Table1[[#This Row],[Category]]=[1]!Table1[[#This Row],[Expected_Category ]],"Valid", "invalid")</f>
        <v>Valid</v>
      </c>
    </row>
    <row r="327" spans="1:23">
      <c r="A327" t="s">
        <v>1041</v>
      </c>
      <c r="B327" t="s">
        <v>60</v>
      </c>
      <c r="C327" s="31" t="s">
        <v>1042</v>
      </c>
      <c r="D327" s="32" t="s">
        <v>1043</v>
      </c>
      <c r="E327" t="s">
        <v>84</v>
      </c>
      <c r="F327" t="s">
        <v>85</v>
      </c>
      <c r="G327" t="s">
        <v>46</v>
      </c>
      <c r="H327" t="s">
        <v>234</v>
      </c>
      <c r="I327" t="s">
        <v>87</v>
      </c>
      <c r="J327">
        <v>8.5</v>
      </c>
      <c r="K327">
        <v>8</v>
      </c>
      <c r="L327" t="s">
        <v>27</v>
      </c>
      <c r="M327">
        <v>2</v>
      </c>
      <c r="N327" t="s">
        <v>27</v>
      </c>
      <c r="O327" t="s">
        <v>28</v>
      </c>
      <c r="P327" t="s">
        <v>57</v>
      </c>
      <c r="Q327" t="s">
        <v>58</v>
      </c>
      <c r="R327" t="str">
        <f>IF(Table1[[#This Row],[Resolution_Time_Hrs]]&gt;Table1[[#This Row],[SLA_Target_Hrs]],"No", "Yes")</f>
        <v>No</v>
      </c>
      <c r="S327" t="str">
        <f>IF(Table1[[#This Row],[Calculated_SLA]]=Table1[[#This Row],[SLA_Met]],"Match","Mismatch")</f>
        <v>Match</v>
      </c>
      <c r="T327">
        <f>IF(Table1[[#This Row],[Calculated_SLA]]="Yes",1,0)</f>
        <v>0</v>
      </c>
      <c r="U327" t="str">
        <f>IF(COUNTIFS(Reference_data!A:A,Table1[[#This Row],[Category]],Reference_data!B:B,Table1[[#This Row],[Sub_Category]])&gt;0,"Valid","Invalid")</f>
        <v>Valid</v>
      </c>
      <c r="V327" t="str">
        <f>_xlfn.XLOOKUP([1]!Table1[[#This Row],[Sub_Category]],[1]Reference_data!B:B,[1]Reference_data!A:A)</f>
        <v>Supplies &amp; Logistics</v>
      </c>
      <c r="W327" t="str">
        <f>IF([1]!Table1[[#This Row],[Category]]=[1]!Table1[[#This Row],[Expected_Category ]],"Valid", "invalid")</f>
        <v>Valid</v>
      </c>
    </row>
    <row r="328" spans="1:23">
      <c r="A328" t="s">
        <v>1044</v>
      </c>
      <c r="B328" t="s">
        <v>32</v>
      </c>
      <c r="C328" s="31" t="s">
        <v>1045</v>
      </c>
      <c r="D328" s="32" t="s">
        <v>1046</v>
      </c>
      <c r="E328" t="s">
        <v>78</v>
      </c>
      <c r="F328" t="s">
        <v>191</v>
      </c>
      <c r="G328" t="s">
        <v>23</v>
      </c>
      <c r="H328" t="s">
        <v>70</v>
      </c>
      <c r="I328" t="s">
        <v>38</v>
      </c>
      <c r="J328">
        <v>10.199999999999999</v>
      </c>
      <c r="K328">
        <v>24</v>
      </c>
      <c r="L328" t="s">
        <v>26</v>
      </c>
      <c r="M328">
        <v>5</v>
      </c>
      <c r="N328" t="s">
        <v>27</v>
      </c>
      <c r="O328" t="s">
        <v>28</v>
      </c>
      <c r="P328" t="s">
        <v>29</v>
      </c>
      <c r="Q328" t="s">
        <v>101</v>
      </c>
      <c r="R328" t="str">
        <f>IF(Table1[[#This Row],[Resolution_Time_Hrs]]&gt;Table1[[#This Row],[SLA_Target_Hrs]],"No", "Yes")</f>
        <v>Yes</v>
      </c>
      <c r="S328" t="str">
        <f>IF(Table1[[#This Row],[Calculated_SLA]]=Table1[[#This Row],[SLA_Met]],"Match","Mismatch")</f>
        <v>Match</v>
      </c>
      <c r="T328">
        <f>IF(Table1[[#This Row],[Calculated_SLA]]="Yes",1,0)</f>
        <v>1</v>
      </c>
      <c r="U328" t="str">
        <f>IF(COUNTIFS(Reference_data!A:A,Table1[[#This Row],[Category]],Reference_data!B:B,Table1[[#This Row],[Sub_Category]])&gt;0,"Valid","Invalid")</f>
        <v>Valid</v>
      </c>
      <c r="V328" t="str">
        <f>_xlfn.XLOOKUP([1]!Table1[[#This Row],[Sub_Category]],[1]Reference_data!B:B,[1]Reference_data!A:A)</f>
        <v>Hardware &amp; Mechanical</v>
      </c>
      <c r="W328" t="str">
        <f>IF([1]!Table1[[#This Row],[Category]]=[1]!Table1[[#This Row],[Expected_Category ]],"Valid", "invalid")</f>
        <v>Valid</v>
      </c>
    </row>
    <row r="329" spans="1:23">
      <c r="A329" t="s">
        <v>1047</v>
      </c>
      <c r="B329" t="s">
        <v>106</v>
      </c>
      <c r="C329" s="31" t="s">
        <v>1048</v>
      </c>
      <c r="D329" s="32" t="s">
        <v>1049</v>
      </c>
      <c r="E329" t="s">
        <v>78</v>
      </c>
      <c r="F329" t="s">
        <v>191</v>
      </c>
      <c r="G329" t="s">
        <v>46</v>
      </c>
      <c r="H329" t="s">
        <v>37</v>
      </c>
      <c r="I329" t="s">
        <v>38</v>
      </c>
      <c r="J329">
        <v>19.2</v>
      </c>
      <c r="K329">
        <v>8</v>
      </c>
      <c r="L329" t="s">
        <v>27</v>
      </c>
      <c r="N329" t="s">
        <v>27</v>
      </c>
      <c r="O329" t="s">
        <v>28</v>
      </c>
      <c r="P329" t="s">
        <v>1670</v>
      </c>
      <c r="Q329" t="s">
        <v>101</v>
      </c>
      <c r="R329" t="str">
        <f>IF(Table1[[#This Row],[Resolution_Time_Hrs]]&gt;Table1[[#This Row],[SLA_Target_Hrs]],"No", "Yes")</f>
        <v>No</v>
      </c>
      <c r="S329" t="str">
        <f>IF(Table1[[#This Row],[Calculated_SLA]]=Table1[[#This Row],[SLA_Met]],"Match","Mismatch")</f>
        <v>Match</v>
      </c>
      <c r="T329">
        <f>IF(Table1[[#This Row],[Calculated_SLA]]="Yes",1,0)</f>
        <v>0</v>
      </c>
      <c r="U329" t="str">
        <f>IF(COUNTIFS(Reference_data!A:A,Table1[[#This Row],[Category]],Reference_data!B:B,Table1[[#This Row],[Sub_Category]])&gt;0,"Valid","Invalid")</f>
        <v>Valid</v>
      </c>
      <c r="V329" t="str">
        <f>_xlfn.XLOOKUP([1]!Table1[[#This Row],[Sub_Category]],[1]Reference_data!B:B,[1]Reference_data!A:A)</f>
        <v>Hardware &amp; Mechanical</v>
      </c>
      <c r="W329" t="str">
        <f>IF([1]!Table1[[#This Row],[Category]]=[1]!Table1[[#This Row],[Expected_Category ]],"Valid", "invalid")</f>
        <v>Valid</v>
      </c>
    </row>
    <row r="330" spans="1:23">
      <c r="A330" t="s">
        <v>1050</v>
      </c>
      <c r="B330" t="s">
        <v>50</v>
      </c>
      <c r="C330" s="31" t="s">
        <v>1051</v>
      </c>
      <c r="D330" s="32" t="s">
        <v>1052</v>
      </c>
      <c r="E330" t="s">
        <v>35</v>
      </c>
      <c r="F330" t="s">
        <v>36</v>
      </c>
      <c r="G330" t="s">
        <v>23</v>
      </c>
      <c r="H330" t="s">
        <v>47</v>
      </c>
      <c r="I330" t="s">
        <v>38</v>
      </c>
      <c r="J330">
        <v>7.5</v>
      </c>
      <c r="K330">
        <v>24</v>
      </c>
      <c r="L330" t="s">
        <v>26</v>
      </c>
      <c r="M330">
        <v>4</v>
      </c>
      <c r="N330" t="s">
        <v>27</v>
      </c>
      <c r="O330" t="s">
        <v>28</v>
      </c>
      <c r="P330" t="s">
        <v>29</v>
      </c>
      <c r="Q330" t="s">
        <v>39</v>
      </c>
      <c r="R330" t="str">
        <f>IF(Table1[[#This Row],[Resolution_Time_Hrs]]&gt;Table1[[#This Row],[SLA_Target_Hrs]],"No", "Yes")</f>
        <v>Yes</v>
      </c>
      <c r="S330" t="str">
        <f>IF(Table1[[#This Row],[Calculated_SLA]]=Table1[[#This Row],[SLA_Met]],"Match","Mismatch")</f>
        <v>Match</v>
      </c>
      <c r="T330">
        <f>IF(Table1[[#This Row],[Calculated_SLA]]="Yes",1,0)</f>
        <v>1</v>
      </c>
      <c r="U330" t="str">
        <f>IF(COUNTIFS(Reference_data!A:A,Table1[[#This Row],[Category]],Reference_data!B:B,Table1[[#This Row],[Sub_Category]])&gt;0,"Valid","Invalid")</f>
        <v>Valid</v>
      </c>
      <c r="V330" t="str">
        <f>_xlfn.XLOOKUP([1]!Table1[[#This Row],[Sub_Category]],[1]Reference_data!B:B,[1]Reference_data!A:A)</f>
        <v>Print Quality</v>
      </c>
      <c r="W330" t="str">
        <f>IF([1]!Table1[[#This Row],[Category]]=[1]!Table1[[#This Row],[Expected_Category ]],"Valid", "invalid")</f>
        <v>Valid</v>
      </c>
    </row>
    <row r="331" spans="1:23">
      <c r="A331" t="s">
        <v>1053</v>
      </c>
      <c r="B331" t="s">
        <v>66</v>
      </c>
      <c r="C331" s="31" t="s">
        <v>1054</v>
      </c>
      <c r="D331" s="32" t="s">
        <v>1055</v>
      </c>
      <c r="E331" t="s">
        <v>21</v>
      </c>
      <c r="F331" t="s">
        <v>69</v>
      </c>
      <c r="G331" t="s">
        <v>23</v>
      </c>
      <c r="H331" t="s">
        <v>70</v>
      </c>
      <c r="I331" t="s">
        <v>25</v>
      </c>
      <c r="J331">
        <v>8.9</v>
      </c>
      <c r="K331">
        <v>24</v>
      </c>
      <c r="L331" t="s">
        <v>26</v>
      </c>
      <c r="M331">
        <v>4</v>
      </c>
      <c r="N331" t="s">
        <v>27</v>
      </c>
      <c r="O331" t="s">
        <v>28</v>
      </c>
      <c r="P331" t="s">
        <v>29</v>
      </c>
      <c r="Q331" t="s">
        <v>101</v>
      </c>
      <c r="R331" t="str">
        <f>IF(Table1[[#This Row],[Resolution_Time_Hrs]]&gt;Table1[[#This Row],[SLA_Target_Hrs]],"No", "Yes")</f>
        <v>Yes</v>
      </c>
      <c r="S331" t="str">
        <f>IF(Table1[[#This Row],[Calculated_SLA]]=Table1[[#This Row],[SLA_Met]],"Match","Mismatch")</f>
        <v>Match</v>
      </c>
      <c r="T331">
        <f>IF(Table1[[#This Row],[Calculated_SLA]]="Yes",1,0)</f>
        <v>1</v>
      </c>
      <c r="U331" t="str">
        <f>IF(COUNTIFS(Reference_data!A:A,Table1[[#This Row],[Category]],Reference_data!B:B,Table1[[#This Row],[Sub_Category]])&gt;0,"Valid","Invalid")</f>
        <v>Valid</v>
      </c>
      <c r="V331" t="str">
        <f>_xlfn.XLOOKUP([1]!Table1[[#This Row],[Sub_Category]],[1]Reference_data!B:B,[1]Reference_data!A:A)</f>
        <v>Connectivity &amp; Software</v>
      </c>
      <c r="W331" t="str">
        <f>IF([1]!Table1[[#This Row],[Category]]=[1]!Table1[[#This Row],[Expected_Category ]],"Valid", "invalid")</f>
        <v>Valid</v>
      </c>
    </row>
    <row r="332" spans="1:23">
      <c r="A332" t="s">
        <v>1056</v>
      </c>
      <c r="B332" t="s">
        <v>41</v>
      </c>
      <c r="C332" s="31" t="s">
        <v>1057</v>
      </c>
      <c r="D332" s="32" t="s">
        <v>1058</v>
      </c>
      <c r="E332" t="s">
        <v>78</v>
      </c>
      <c r="F332" t="s">
        <v>79</v>
      </c>
      <c r="G332" t="s">
        <v>54</v>
      </c>
      <c r="H332" t="s">
        <v>138</v>
      </c>
      <c r="I332" t="s">
        <v>80</v>
      </c>
      <c r="J332">
        <v>16.8</v>
      </c>
      <c r="K332">
        <v>4</v>
      </c>
      <c r="L332" t="s">
        <v>27</v>
      </c>
      <c r="N332" t="s">
        <v>27</v>
      </c>
      <c r="O332" t="s">
        <v>28</v>
      </c>
      <c r="P332" t="s">
        <v>57</v>
      </c>
      <c r="Q332" t="s">
        <v>39</v>
      </c>
      <c r="R332" t="str">
        <f>IF(Table1[[#This Row],[Resolution_Time_Hrs]]&gt;Table1[[#This Row],[SLA_Target_Hrs]],"No", "Yes")</f>
        <v>No</v>
      </c>
      <c r="S332" t="str">
        <f>IF(Table1[[#This Row],[Calculated_SLA]]=Table1[[#This Row],[SLA_Met]],"Match","Mismatch")</f>
        <v>Match</v>
      </c>
      <c r="T332">
        <f>IF(Table1[[#This Row],[Calculated_SLA]]="Yes",1,0)</f>
        <v>0</v>
      </c>
      <c r="U332" t="str">
        <f>IF(COUNTIFS(Reference_data!A:A,Table1[[#This Row],[Category]],Reference_data!B:B,Table1[[#This Row],[Sub_Category]])&gt;0,"Valid","Invalid")</f>
        <v>Valid</v>
      </c>
      <c r="V332" t="str">
        <f>_xlfn.XLOOKUP([1]!Table1[[#This Row],[Sub_Category]],[1]Reference_data!B:B,[1]Reference_data!A:A)</f>
        <v>Hardware &amp; Mechanical</v>
      </c>
      <c r="W332" t="str">
        <f>IF([1]!Table1[[#This Row],[Category]]=[1]!Table1[[#This Row],[Expected_Category ]],"Valid", "invalid")</f>
        <v>Valid</v>
      </c>
    </row>
    <row r="333" spans="1:23">
      <c r="A333" t="s">
        <v>1059</v>
      </c>
      <c r="B333" t="s">
        <v>60</v>
      </c>
      <c r="C333" s="31" t="s">
        <v>1060</v>
      </c>
      <c r="D333" s="32" t="s">
        <v>1061</v>
      </c>
      <c r="E333" t="s">
        <v>21</v>
      </c>
      <c r="F333" t="s">
        <v>22</v>
      </c>
      <c r="G333" t="s">
        <v>46</v>
      </c>
      <c r="H333" t="s">
        <v>91</v>
      </c>
      <c r="I333" t="s">
        <v>25</v>
      </c>
      <c r="J333">
        <v>11.1</v>
      </c>
      <c r="K333">
        <v>8</v>
      </c>
      <c r="L333" t="s">
        <v>27</v>
      </c>
      <c r="M333">
        <v>2</v>
      </c>
      <c r="N333" t="s">
        <v>26</v>
      </c>
      <c r="O333" t="s">
        <v>28</v>
      </c>
      <c r="P333" t="s">
        <v>1670</v>
      </c>
      <c r="Q333" t="s">
        <v>101</v>
      </c>
      <c r="R333" t="str">
        <f>IF(Table1[[#This Row],[Resolution_Time_Hrs]]&gt;Table1[[#This Row],[SLA_Target_Hrs]],"No", "Yes")</f>
        <v>No</v>
      </c>
      <c r="S333" t="str">
        <f>IF(Table1[[#This Row],[Calculated_SLA]]=Table1[[#This Row],[SLA_Met]],"Match","Mismatch")</f>
        <v>Match</v>
      </c>
      <c r="T333">
        <f>IF(Table1[[#This Row],[Calculated_SLA]]="Yes",1,0)</f>
        <v>0</v>
      </c>
      <c r="U333" t="str">
        <f>IF(COUNTIFS(Reference_data!A:A,Table1[[#This Row],[Category]],Reference_data!B:B,Table1[[#This Row],[Sub_Category]])&gt;0,"Valid","Invalid")</f>
        <v>Valid</v>
      </c>
      <c r="V333" t="str">
        <f>_xlfn.XLOOKUP([1]!Table1[[#This Row],[Sub_Category]],[1]Reference_data!B:B,[1]Reference_data!A:A)</f>
        <v>Connectivity &amp; Software</v>
      </c>
      <c r="W333" t="str">
        <f>IF([1]!Table1[[#This Row],[Category]]=[1]!Table1[[#This Row],[Expected_Category ]],"Valid", "invalid")</f>
        <v>Valid</v>
      </c>
    </row>
    <row r="334" spans="1:23">
      <c r="A334" t="s">
        <v>1062</v>
      </c>
      <c r="B334" t="s">
        <v>32</v>
      </c>
      <c r="C334" s="31" t="s">
        <v>1063</v>
      </c>
      <c r="D334" s="32" t="s">
        <v>1064</v>
      </c>
      <c r="E334" t="s">
        <v>21</v>
      </c>
      <c r="F334" t="s">
        <v>63</v>
      </c>
      <c r="G334" t="s">
        <v>46</v>
      </c>
      <c r="H334" t="s">
        <v>37</v>
      </c>
      <c r="I334" t="s">
        <v>25</v>
      </c>
      <c r="J334">
        <v>12.9</v>
      </c>
      <c r="K334">
        <v>8</v>
      </c>
      <c r="L334" t="s">
        <v>27</v>
      </c>
      <c r="M334">
        <v>3</v>
      </c>
      <c r="N334" t="s">
        <v>27</v>
      </c>
      <c r="O334" t="s">
        <v>28</v>
      </c>
      <c r="P334" t="s">
        <v>57</v>
      </c>
      <c r="Q334" t="s">
        <v>39</v>
      </c>
      <c r="R334" t="str">
        <f>IF(Table1[[#This Row],[Resolution_Time_Hrs]]&gt;Table1[[#This Row],[SLA_Target_Hrs]],"No", "Yes")</f>
        <v>No</v>
      </c>
      <c r="S334" t="str">
        <f>IF(Table1[[#This Row],[Calculated_SLA]]=Table1[[#This Row],[SLA_Met]],"Match","Mismatch")</f>
        <v>Match</v>
      </c>
      <c r="T334">
        <f>IF(Table1[[#This Row],[Calculated_SLA]]="Yes",1,0)</f>
        <v>0</v>
      </c>
      <c r="U334" t="str">
        <f>IF(COUNTIFS(Reference_data!A:A,Table1[[#This Row],[Category]],Reference_data!B:B,Table1[[#This Row],[Sub_Category]])&gt;0,"Valid","Invalid")</f>
        <v>Valid</v>
      </c>
      <c r="V334" t="str">
        <f>_xlfn.XLOOKUP([1]!Table1[[#This Row],[Sub_Category]],[1]Reference_data!B:B,[1]Reference_data!A:A)</f>
        <v>Connectivity &amp; Software</v>
      </c>
      <c r="W334" t="str">
        <f>IF([1]!Table1[[#This Row],[Category]]=[1]!Table1[[#This Row],[Expected_Category ]],"Valid", "invalid")</f>
        <v>Valid</v>
      </c>
    </row>
    <row r="335" spans="1:23">
      <c r="A335" t="s">
        <v>1065</v>
      </c>
      <c r="B335" t="s">
        <v>32</v>
      </c>
      <c r="C335" s="31" t="s">
        <v>1066</v>
      </c>
      <c r="D335" s="32" t="s">
        <v>1067</v>
      </c>
      <c r="E335" t="s">
        <v>35</v>
      </c>
      <c r="F335" t="s">
        <v>127</v>
      </c>
      <c r="G335" t="s">
        <v>23</v>
      </c>
      <c r="H335" t="s">
        <v>234</v>
      </c>
      <c r="I335" t="s">
        <v>56</v>
      </c>
      <c r="J335">
        <v>4.8</v>
      </c>
      <c r="K335">
        <v>24</v>
      </c>
      <c r="L335" t="s">
        <v>26</v>
      </c>
      <c r="M335">
        <v>5</v>
      </c>
      <c r="N335" t="s">
        <v>27</v>
      </c>
      <c r="O335" t="s">
        <v>28</v>
      </c>
      <c r="P335" t="s">
        <v>29</v>
      </c>
      <c r="Q335" t="s">
        <v>58</v>
      </c>
      <c r="R335" t="str">
        <f>IF(Table1[[#This Row],[Resolution_Time_Hrs]]&gt;Table1[[#This Row],[SLA_Target_Hrs]],"No", "Yes")</f>
        <v>Yes</v>
      </c>
      <c r="S335" t="str">
        <f>IF(Table1[[#This Row],[Calculated_SLA]]=Table1[[#This Row],[SLA_Met]],"Match","Mismatch")</f>
        <v>Match</v>
      </c>
      <c r="T335">
        <f>IF(Table1[[#This Row],[Calculated_SLA]]="Yes",1,0)</f>
        <v>1</v>
      </c>
      <c r="U335" t="str">
        <f>IF(COUNTIFS(Reference_data!A:A,Table1[[#This Row],[Category]],Reference_data!B:B,Table1[[#This Row],[Sub_Category]])&gt;0,"Valid","Invalid")</f>
        <v>Valid</v>
      </c>
      <c r="V335" t="str">
        <f>_xlfn.XLOOKUP([1]!Table1[[#This Row],[Sub_Category]],[1]Reference_data!B:B,[1]Reference_data!A:A)</f>
        <v>Print Quality</v>
      </c>
      <c r="W335" t="str">
        <f>IF([1]!Table1[[#This Row],[Category]]=[1]!Table1[[#This Row],[Expected_Category ]],"Valid", "invalid")</f>
        <v>Valid</v>
      </c>
    </row>
    <row r="336" spans="1:23">
      <c r="A336" t="s">
        <v>1068</v>
      </c>
      <c r="B336" t="s">
        <v>135</v>
      </c>
      <c r="C336" s="31" t="s">
        <v>1069</v>
      </c>
      <c r="D336" s="32" t="s">
        <v>1070</v>
      </c>
      <c r="E336" t="s">
        <v>21</v>
      </c>
      <c r="F336" t="s">
        <v>63</v>
      </c>
      <c r="G336" t="s">
        <v>46</v>
      </c>
      <c r="H336" t="s">
        <v>70</v>
      </c>
      <c r="I336" t="s">
        <v>25</v>
      </c>
      <c r="J336">
        <v>14.9</v>
      </c>
      <c r="K336">
        <v>8</v>
      </c>
      <c r="L336" t="s">
        <v>27</v>
      </c>
      <c r="M336">
        <v>1</v>
      </c>
      <c r="N336" t="s">
        <v>26</v>
      </c>
      <c r="O336" t="s">
        <v>28</v>
      </c>
      <c r="P336" t="s">
        <v>57</v>
      </c>
      <c r="Q336" t="s">
        <v>39</v>
      </c>
      <c r="R336" t="str">
        <f>IF(Table1[[#This Row],[Resolution_Time_Hrs]]&gt;Table1[[#This Row],[SLA_Target_Hrs]],"No", "Yes")</f>
        <v>No</v>
      </c>
      <c r="S336" t="str">
        <f>IF(Table1[[#This Row],[Calculated_SLA]]=Table1[[#This Row],[SLA_Met]],"Match","Mismatch")</f>
        <v>Match</v>
      </c>
      <c r="T336">
        <f>IF(Table1[[#This Row],[Calculated_SLA]]="Yes",1,0)</f>
        <v>0</v>
      </c>
      <c r="U336" t="str">
        <f>IF(COUNTIFS(Reference_data!A:A,Table1[[#This Row],[Category]],Reference_data!B:B,Table1[[#This Row],[Sub_Category]])&gt;0,"Valid","Invalid")</f>
        <v>Valid</v>
      </c>
      <c r="V336" t="str">
        <f>_xlfn.XLOOKUP([1]!Table1[[#This Row],[Sub_Category]],[1]Reference_data!B:B,[1]Reference_data!A:A)</f>
        <v>Connectivity &amp; Software</v>
      </c>
      <c r="W336" t="str">
        <f>IF([1]!Table1[[#This Row],[Category]]=[1]!Table1[[#This Row],[Expected_Category ]],"Valid", "invalid")</f>
        <v>Valid</v>
      </c>
    </row>
    <row r="337" spans="1:23">
      <c r="A337" t="s">
        <v>1071</v>
      </c>
      <c r="B337" t="s">
        <v>50</v>
      </c>
      <c r="C337" s="31" t="s">
        <v>1072</v>
      </c>
      <c r="D337" s="32" t="s">
        <v>1073</v>
      </c>
      <c r="E337" t="s">
        <v>78</v>
      </c>
      <c r="F337" t="s">
        <v>79</v>
      </c>
      <c r="G337" t="s">
        <v>23</v>
      </c>
      <c r="H337" t="s">
        <v>138</v>
      </c>
      <c r="I337" t="s">
        <v>80</v>
      </c>
      <c r="J337">
        <v>19.3</v>
      </c>
      <c r="K337">
        <v>24</v>
      </c>
      <c r="L337" t="s">
        <v>26</v>
      </c>
      <c r="M337">
        <v>5</v>
      </c>
      <c r="N337" t="s">
        <v>27</v>
      </c>
      <c r="O337" t="s">
        <v>28</v>
      </c>
      <c r="P337" t="s">
        <v>29</v>
      </c>
      <c r="Q337" t="s">
        <v>58</v>
      </c>
      <c r="R337" t="str">
        <f>IF(Table1[[#This Row],[Resolution_Time_Hrs]]&gt;Table1[[#This Row],[SLA_Target_Hrs]],"No", "Yes")</f>
        <v>Yes</v>
      </c>
      <c r="S337" t="str">
        <f>IF(Table1[[#This Row],[Calculated_SLA]]=Table1[[#This Row],[SLA_Met]],"Match","Mismatch")</f>
        <v>Match</v>
      </c>
      <c r="T337">
        <f>IF(Table1[[#This Row],[Calculated_SLA]]="Yes",1,0)</f>
        <v>1</v>
      </c>
      <c r="U337" t="str">
        <f>IF(COUNTIFS(Reference_data!A:A,Table1[[#This Row],[Category]],Reference_data!B:B,Table1[[#This Row],[Sub_Category]])&gt;0,"Valid","Invalid")</f>
        <v>Valid</v>
      </c>
      <c r="V337" t="str">
        <f>_xlfn.XLOOKUP([1]!Table1[[#This Row],[Sub_Category]],[1]Reference_data!B:B,[1]Reference_data!A:A)</f>
        <v>Hardware &amp; Mechanical</v>
      </c>
      <c r="W337" t="str">
        <f>IF([1]!Table1[[#This Row],[Category]]=[1]!Table1[[#This Row],[Expected_Category ]],"Valid", "invalid")</f>
        <v>Valid</v>
      </c>
    </row>
    <row r="338" spans="1:23">
      <c r="A338" t="s">
        <v>1074</v>
      </c>
      <c r="B338" t="s">
        <v>50</v>
      </c>
      <c r="C338" s="31" t="s">
        <v>1075</v>
      </c>
      <c r="D338" s="32" t="s">
        <v>1076</v>
      </c>
      <c r="E338" t="s">
        <v>78</v>
      </c>
      <c r="F338" t="s">
        <v>79</v>
      </c>
      <c r="G338" t="s">
        <v>54</v>
      </c>
      <c r="H338" t="s">
        <v>86</v>
      </c>
      <c r="I338" t="s">
        <v>80</v>
      </c>
      <c r="J338">
        <v>17.899999999999999</v>
      </c>
      <c r="K338">
        <v>4</v>
      </c>
      <c r="L338" t="s">
        <v>27</v>
      </c>
      <c r="M338">
        <v>2</v>
      </c>
      <c r="N338" t="s">
        <v>27</v>
      </c>
      <c r="O338" t="s">
        <v>28</v>
      </c>
      <c r="P338" t="s">
        <v>57</v>
      </c>
      <c r="Q338" t="s">
        <v>58</v>
      </c>
      <c r="R338" t="str">
        <f>IF(Table1[[#This Row],[Resolution_Time_Hrs]]&gt;Table1[[#This Row],[SLA_Target_Hrs]],"No", "Yes")</f>
        <v>No</v>
      </c>
      <c r="S338" t="str">
        <f>IF(Table1[[#This Row],[Calculated_SLA]]=Table1[[#This Row],[SLA_Met]],"Match","Mismatch")</f>
        <v>Match</v>
      </c>
      <c r="T338">
        <f>IF(Table1[[#This Row],[Calculated_SLA]]="Yes",1,0)</f>
        <v>0</v>
      </c>
      <c r="U338" t="str">
        <f>IF(COUNTIFS(Reference_data!A:A,Table1[[#This Row],[Category]],Reference_data!B:B,Table1[[#This Row],[Sub_Category]])&gt;0,"Valid","Invalid")</f>
        <v>Valid</v>
      </c>
      <c r="V338" t="str">
        <f>_xlfn.XLOOKUP([1]!Table1[[#This Row],[Sub_Category]],[1]Reference_data!B:B,[1]Reference_data!A:A)</f>
        <v>Hardware &amp; Mechanical</v>
      </c>
      <c r="W338" t="str">
        <f>IF([1]!Table1[[#This Row],[Category]]=[1]!Table1[[#This Row],[Expected_Category ]],"Valid", "invalid")</f>
        <v>Valid</v>
      </c>
    </row>
    <row r="339" spans="1:23">
      <c r="A339" t="s">
        <v>1077</v>
      </c>
      <c r="B339" t="s">
        <v>50</v>
      </c>
      <c r="C339" s="31" t="s">
        <v>1078</v>
      </c>
      <c r="D339" s="32" t="s">
        <v>1079</v>
      </c>
      <c r="E339" t="s">
        <v>78</v>
      </c>
      <c r="F339" t="s">
        <v>79</v>
      </c>
      <c r="G339" t="s">
        <v>54</v>
      </c>
      <c r="H339" t="s">
        <v>55</v>
      </c>
      <c r="I339" t="s">
        <v>80</v>
      </c>
      <c r="J339">
        <v>12.7</v>
      </c>
      <c r="K339">
        <v>4</v>
      </c>
      <c r="L339" t="s">
        <v>27</v>
      </c>
      <c r="M339">
        <v>3</v>
      </c>
      <c r="N339" t="s">
        <v>26</v>
      </c>
      <c r="O339" t="s">
        <v>28</v>
      </c>
      <c r="P339" t="s">
        <v>1670</v>
      </c>
      <c r="Q339" t="s">
        <v>58</v>
      </c>
      <c r="R339" t="str">
        <f>IF(Table1[[#This Row],[Resolution_Time_Hrs]]&gt;Table1[[#This Row],[SLA_Target_Hrs]],"No", "Yes")</f>
        <v>No</v>
      </c>
      <c r="S339" t="str">
        <f>IF(Table1[[#This Row],[Calculated_SLA]]=Table1[[#This Row],[SLA_Met]],"Match","Mismatch")</f>
        <v>Match</v>
      </c>
      <c r="T339">
        <f>IF(Table1[[#This Row],[Calculated_SLA]]="Yes",1,0)</f>
        <v>0</v>
      </c>
      <c r="U339" t="str">
        <f>IF(COUNTIFS(Reference_data!A:A,Table1[[#This Row],[Category]],Reference_data!B:B,Table1[[#This Row],[Sub_Category]])&gt;0,"Valid","Invalid")</f>
        <v>Valid</v>
      </c>
      <c r="V339" t="str">
        <f>_xlfn.XLOOKUP([1]!Table1[[#This Row],[Sub_Category]],[1]Reference_data!B:B,[1]Reference_data!A:A)</f>
        <v>Hardware &amp; Mechanical</v>
      </c>
      <c r="W339" t="str">
        <f>IF([1]!Table1[[#This Row],[Category]]=[1]!Table1[[#This Row],[Expected_Category ]],"Valid", "invalid")</f>
        <v>Valid</v>
      </c>
    </row>
    <row r="340" spans="1:23">
      <c r="A340" t="s">
        <v>1080</v>
      </c>
      <c r="B340" t="s">
        <v>50</v>
      </c>
      <c r="C340" s="31" t="s">
        <v>1081</v>
      </c>
      <c r="D340" s="32" t="s">
        <v>1082</v>
      </c>
      <c r="E340" t="s">
        <v>78</v>
      </c>
      <c r="F340" t="s">
        <v>79</v>
      </c>
      <c r="G340" t="s">
        <v>46</v>
      </c>
      <c r="H340" t="s">
        <v>47</v>
      </c>
      <c r="I340" t="s">
        <v>80</v>
      </c>
      <c r="J340">
        <v>7.1</v>
      </c>
      <c r="K340">
        <v>8</v>
      </c>
      <c r="L340" t="s">
        <v>26</v>
      </c>
      <c r="N340" t="s">
        <v>27</v>
      </c>
      <c r="O340" t="s">
        <v>28</v>
      </c>
      <c r="P340" t="s">
        <v>29</v>
      </c>
      <c r="Q340" t="s">
        <v>58</v>
      </c>
      <c r="R340" t="str">
        <f>IF(Table1[[#This Row],[Resolution_Time_Hrs]]&gt;Table1[[#This Row],[SLA_Target_Hrs]],"No", "Yes")</f>
        <v>Yes</v>
      </c>
      <c r="S340" t="str">
        <f>IF(Table1[[#This Row],[Calculated_SLA]]=Table1[[#This Row],[SLA_Met]],"Match","Mismatch")</f>
        <v>Match</v>
      </c>
      <c r="T340">
        <f>IF(Table1[[#This Row],[Calculated_SLA]]="Yes",1,0)</f>
        <v>1</v>
      </c>
      <c r="U340" t="str">
        <f>IF(COUNTIFS(Reference_data!A:A,Table1[[#This Row],[Category]],Reference_data!B:B,Table1[[#This Row],[Sub_Category]])&gt;0,"Valid","Invalid")</f>
        <v>Valid</v>
      </c>
      <c r="V340" t="str">
        <f>_xlfn.XLOOKUP([1]!Table1[[#This Row],[Sub_Category]],[1]Reference_data!B:B,[1]Reference_data!A:A)</f>
        <v>Hardware &amp; Mechanical</v>
      </c>
      <c r="W340" t="str">
        <f>IF([1]!Table1[[#This Row],[Category]]=[1]!Table1[[#This Row],[Expected_Category ]],"Valid", "invalid")</f>
        <v>Valid</v>
      </c>
    </row>
    <row r="341" spans="1:23">
      <c r="A341" t="s">
        <v>1083</v>
      </c>
      <c r="B341" t="s">
        <v>60</v>
      </c>
      <c r="C341" s="31" t="s">
        <v>1084</v>
      </c>
      <c r="D341" s="32" t="s">
        <v>1085</v>
      </c>
      <c r="E341" t="s">
        <v>35</v>
      </c>
      <c r="F341" t="s">
        <v>53</v>
      </c>
      <c r="G341" t="s">
        <v>46</v>
      </c>
      <c r="H341" t="s">
        <v>37</v>
      </c>
      <c r="I341" t="s">
        <v>56</v>
      </c>
      <c r="J341">
        <v>11.1</v>
      </c>
      <c r="K341">
        <v>8</v>
      </c>
      <c r="L341" t="s">
        <v>27</v>
      </c>
      <c r="M341">
        <v>1</v>
      </c>
      <c r="N341" t="s">
        <v>27</v>
      </c>
      <c r="O341" t="s">
        <v>28</v>
      </c>
      <c r="P341" t="s">
        <v>1670</v>
      </c>
      <c r="Q341" t="s">
        <v>30</v>
      </c>
      <c r="R341" t="str">
        <f>IF(Table1[[#This Row],[Resolution_Time_Hrs]]&gt;Table1[[#This Row],[SLA_Target_Hrs]],"No", "Yes")</f>
        <v>No</v>
      </c>
      <c r="S341" t="str">
        <f>IF(Table1[[#This Row],[Calculated_SLA]]=Table1[[#This Row],[SLA_Met]],"Match","Mismatch")</f>
        <v>Match</v>
      </c>
      <c r="T341">
        <f>IF(Table1[[#This Row],[Calculated_SLA]]="Yes",1,0)</f>
        <v>0</v>
      </c>
      <c r="U341" t="str">
        <f>IF(COUNTIFS(Reference_data!A:A,Table1[[#This Row],[Category]],Reference_data!B:B,Table1[[#This Row],[Sub_Category]])&gt;0,"Valid","Invalid")</f>
        <v>Valid</v>
      </c>
      <c r="V341" t="str">
        <f>_xlfn.XLOOKUP([1]!Table1[[#This Row],[Sub_Category]],[1]Reference_data!B:B,[1]Reference_data!A:A)</f>
        <v>Print Quality</v>
      </c>
      <c r="W341" t="str">
        <f>IF([1]!Table1[[#This Row],[Category]]=[1]!Table1[[#This Row],[Expected_Category ]],"Valid", "invalid")</f>
        <v>Valid</v>
      </c>
    </row>
    <row r="342" spans="1:23">
      <c r="A342" t="s">
        <v>1086</v>
      </c>
      <c r="B342" t="s">
        <v>32</v>
      </c>
      <c r="C342" s="31" t="s">
        <v>1087</v>
      </c>
      <c r="D342" s="32" t="s">
        <v>1088</v>
      </c>
      <c r="E342" t="s">
        <v>35</v>
      </c>
      <c r="F342" t="s">
        <v>36</v>
      </c>
      <c r="G342" t="s">
        <v>23</v>
      </c>
      <c r="H342" t="s">
        <v>138</v>
      </c>
      <c r="I342" t="s">
        <v>38</v>
      </c>
      <c r="J342">
        <v>8.1</v>
      </c>
      <c r="K342">
        <v>24</v>
      </c>
      <c r="L342" t="s">
        <v>26</v>
      </c>
      <c r="M342">
        <v>5</v>
      </c>
      <c r="N342" t="s">
        <v>27</v>
      </c>
      <c r="O342" t="s">
        <v>28</v>
      </c>
      <c r="P342" t="s">
        <v>29</v>
      </c>
      <c r="Q342" t="s">
        <v>39</v>
      </c>
      <c r="R342" t="str">
        <f>IF(Table1[[#This Row],[Resolution_Time_Hrs]]&gt;Table1[[#This Row],[SLA_Target_Hrs]],"No", "Yes")</f>
        <v>Yes</v>
      </c>
      <c r="S342" t="str">
        <f>IF(Table1[[#This Row],[Calculated_SLA]]=Table1[[#This Row],[SLA_Met]],"Match","Mismatch")</f>
        <v>Match</v>
      </c>
      <c r="T342">
        <f>IF(Table1[[#This Row],[Calculated_SLA]]="Yes",1,0)</f>
        <v>1</v>
      </c>
      <c r="U342" t="str">
        <f>IF(COUNTIFS(Reference_data!A:A,Table1[[#This Row],[Category]],Reference_data!B:B,Table1[[#This Row],[Sub_Category]])&gt;0,"Valid","Invalid")</f>
        <v>Valid</v>
      </c>
      <c r="V342" t="str">
        <f>_xlfn.XLOOKUP([1]!Table1[[#This Row],[Sub_Category]],[1]Reference_data!B:B,[1]Reference_data!A:A)</f>
        <v>Print Quality</v>
      </c>
      <c r="W342" t="str">
        <f>IF([1]!Table1[[#This Row],[Category]]=[1]!Table1[[#This Row],[Expected_Category ]],"Valid", "invalid")</f>
        <v>Valid</v>
      </c>
    </row>
    <row r="343" spans="1:23">
      <c r="A343" t="s">
        <v>1089</v>
      </c>
      <c r="B343" t="s">
        <v>66</v>
      </c>
      <c r="C343" s="31" t="s">
        <v>1090</v>
      </c>
      <c r="D343" s="32" t="s">
        <v>1091</v>
      </c>
      <c r="E343" t="s">
        <v>78</v>
      </c>
      <c r="F343" t="s">
        <v>166</v>
      </c>
      <c r="G343" t="s">
        <v>46</v>
      </c>
      <c r="H343" t="s">
        <v>70</v>
      </c>
      <c r="I343" t="s">
        <v>80</v>
      </c>
      <c r="J343">
        <v>11.4</v>
      </c>
      <c r="K343">
        <v>8</v>
      </c>
      <c r="L343" t="s">
        <v>27</v>
      </c>
      <c r="M343">
        <v>1</v>
      </c>
      <c r="N343" t="s">
        <v>27</v>
      </c>
      <c r="O343" t="s">
        <v>28</v>
      </c>
      <c r="P343" t="s">
        <v>1670</v>
      </c>
      <c r="Q343" t="s">
        <v>101</v>
      </c>
      <c r="R343" t="str">
        <f>IF(Table1[[#This Row],[Resolution_Time_Hrs]]&gt;Table1[[#This Row],[SLA_Target_Hrs]],"No", "Yes")</f>
        <v>No</v>
      </c>
      <c r="S343" t="str">
        <f>IF(Table1[[#This Row],[Calculated_SLA]]=Table1[[#This Row],[SLA_Met]],"Match","Mismatch")</f>
        <v>Match</v>
      </c>
      <c r="T343">
        <f>IF(Table1[[#This Row],[Calculated_SLA]]="Yes",1,0)</f>
        <v>0</v>
      </c>
      <c r="U343" t="str">
        <f>IF(COUNTIFS(Reference_data!A:A,Table1[[#This Row],[Category]],Reference_data!B:B,Table1[[#This Row],[Sub_Category]])&gt;0,"Valid","Invalid")</f>
        <v>Valid</v>
      </c>
      <c r="V343" t="str">
        <f>_xlfn.XLOOKUP([1]!Table1[[#This Row],[Sub_Category]],[1]Reference_data!B:B,[1]Reference_data!A:A)</f>
        <v>Hardware &amp; Mechanical</v>
      </c>
      <c r="W343" t="str">
        <f>IF([1]!Table1[[#This Row],[Category]]=[1]!Table1[[#This Row],[Expected_Category ]],"Valid", "invalid")</f>
        <v>Valid</v>
      </c>
    </row>
    <row r="344" spans="1:23">
      <c r="A344" t="s">
        <v>1092</v>
      </c>
      <c r="B344" t="s">
        <v>32</v>
      </c>
      <c r="C344" s="31" t="s">
        <v>1093</v>
      </c>
      <c r="D344" s="32" t="s">
        <v>1094</v>
      </c>
      <c r="E344" t="s">
        <v>44</v>
      </c>
      <c r="F344" t="s">
        <v>109</v>
      </c>
      <c r="G344" t="s">
        <v>46</v>
      </c>
      <c r="H344" t="s">
        <v>70</v>
      </c>
      <c r="I344" t="s">
        <v>48</v>
      </c>
      <c r="J344">
        <v>3.3</v>
      </c>
      <c r="K344">
        <v>8</v>
      </c>
      <c r="L344" t="s">
        <v>26</v>
      </c>
      <c r="M344">
        <v>5</v>
      </c>
      <c r="N344" t="s">
        <v>27</v>
      </c>
      <c r="O344" t="s">
        <v>28</v>
      </c>
      <c r="P344" t="s">
        <v>29</v>
      </c>
      <c r="Q344" t="s">
        <v>39</v>
      </c>
      <c r="R344" t="str">
        <f>IF(Table1[[#This Row],[Resolution_Time_Hrs]]&gt;Table1[[#This Row],[SLA_Target_Hrs]],"No", "Yes")</f>
        <v>Yes</v>
      </c>
      <c r="S344" t="str">
        <f>IF(Table1[[#This Row],[Calculated_SLA]]=Table1[[#This Row],[SLA_Met]],"Match","Mismatch")</f>
        <v>Match</v>
      </c>
      <c r="T344">
        <f>IF(Table1[[#This Row],[Calculated_SLA]]="Yes",1,0)</f>
        <v>1</v>
      </c>
      <c r="U344" t="str">
        <f>IF(COUNTIFS(Reference_data!A:A,Table1[[#This Row],[Category]],Reference_data!B:B,Table1[[#This Row],[Sub_Category]])&gt;0,"Valid","Invalid")</f>
        <v>Valid</v>
      </c>
      <c r="V344" t="str">
        <f>_xlfn.XLOOKUP([1]!Table1[[#This Row],[Sub_Category]],[1]Reference_data!B:B,[1]Reference_data!A:A)</f>
        <v>Contract &amp; Billing</v>
      </c>
      <c r="W344" t="str">
        <f>IF([1]!Table1[[#This Row],[Category]]=[1]!Table1[[#This Row],[Expected_Category ]],"Valid", "invalid")</f>
        <v>Valid</v>
      </c>
    </row>
    <row r="345" spans="1:23">
      <c r="A345" t="s">
        <v>1095</v>
      </c>
      <c r="B345" t="s">
        <v>75</v>
      </c>
      <c r="C345" s="31" t="s">
        <v>1096</v>
      </c>
      <c r="D345" s="32" t="s">
        <v>1097</v>
      </c>
      <c r="E345" t="s">
        <v>35</v>
      </c>
      <c r="F345" t="s">
        <v>53</v>
      </c>
      <c r="G345" t="s">
        <v>46</v>
      </c>
      <c r="H345" t="s">
        <v>55</v>
      </c>
      <c r="I345" t="s">
        <v>56</v>
      </c>
      <c r="J345">
        <v>6.7</v>
      </c>
      <c r="K345">
        <v>8</v>
      </c>
      <c r="L345" t="s">
        <v>26</v>
      </c>
      <c r="M345">
        <v>4</v>
      </c>
      <c r="N345" t="s">
        <v>27</v>
      </c>
      <c r="O345" t="s">
        <v>28</v>
      </c>
      <c r="P345" t="s">
        <v>29</v>
      </c>
      <c r="Q345" t="s">
        <v>39</v>
      </c>
      <c r="R345" t="str">
        <f>IF(Table1[[#This Row],[Resolution_Time_Hrs]]&gt;Table1[[#This Row],[SLA_Target_Hrs]],"No", "Yes")</f>
        <v>Yes</v>
      </c>
      <c r="S345" t="str">
        <f>IF(Table1[[#This Row],[Calculated_SLA]]=Table1[[#This Row],[SLA_Met]],"Match","Mismatch")</f>
        <v>Match</v>
      </c>
      <c r="T345">
        <f>IF(Table1[[#This Row],[Calculated_SLA]]="Yes",1,0)</f>
        <v>1</v>
      </c>
      <c r="U345" t="str">
        <f>IF(COUNTIFS(Reference_data!A:A,Table1[[#This Row],[Category]],Reference_data!B:B,Table1[[#This Row],[Sub_Category]])&gt;0,"Valid","Invalid")</f>
        <v>Valid</v>
      </c>
      <c r="V345" t="str">
        <f>_xlfn.XLOOKUP([1]!Table1[[#This Row],[Sub_Category]],[1]Reference_data!B:B,[1]Reference_data!A:A)</f>
        <v>Print Quality</v>
      </c>
      <c r="W345" t="str">
        <f>IF([1]!Table1[[#This Row],[Category]]=[1]!Table1[[#This Row],[Expected_Category ]],"Valid", "invalid")</f>
        <v>Valid</v>
      </c>
    </row>
    <row r="346" spans="1:23">
      <c r="A346" t="s">
        <v>1098</v>
      </c>
      <c r="B346" t="s">
        <v>32</v>
      </c>
      <c r="C346" s="31" t="s">
        <v>1099</v>
      </c>
      <c r="D346" s="32" t="s">
        <v>1100</v>
      </c>
      <c r="E346" t="s">
        <v>35</v>
      </c>
      <c r="F346" t="s">
        <v>53</v>
      </c>
      <c r="G346" t="s">
        <v>46</v>
      </c>
      <c r="H346" t="s">
        <v>86</v>
      </c>
      <c r="I346" t="s">
        <v>56</v>
      </c>
      <c r="J346">
        <v>6.2</v>
      </c>
      <c r="K346">
        <v>8</v>
      </c>
      <c r="L346" t="s">
        <v>26</v>
      </c>
      <c r="M346">
        <v>5</v>
      </c>
      <c r="N346" t="s">
        <v>27</v>
      </c>
      <c r="O346" t="s">
        <v>28</v>
      </c>
      <c r="P346" t="s">
        <v>29</v>
      </c>
      <c r="Q346" t="s">
        <v>101</v>
      </c>
      <c r="R346" t="str">
        <f>IF(Table1[[#This Row],[Resolution_Time_Hrs]]&gt;Table1[[#This Row],[SLA_Target_Hrs]],"No", "Yes")</f>
        <v>Yes</v>
      </c>
      <c r="S346" t="str">
        <f>IF(Table1[[#This Row],[Calculated_SLA]]=Table1[[#This Row],[SLA_Met]],"Match","Mismatch")</f>
        <v>Match</v>
      </c>
      <c r="T346">
        <f>IF(Table1[[#This Row],[Calculated_SLA]]="Yes",1,0)</f>
        <v>1</v>
      </c>
      <c r="U346" t="str">
        <f>IF(COUNTIFS(Reference_data!A:A,Table1[[#This Row],[Category]],Reference_data!B:B,Table1[[#This Row],[Sub_Category]])&gt;0,"Valid","Invalid")</f>
        <v>Valid</v>
      </c>
      <c r="V346" t="str">
        <f>_xlfn.XLOOKUP([1]!Table1[[#This Row],[Sub_Category]],[1]Reference_data!B:B,[1]Reference_data!A:A)</f>
        <v>Print Quality</v>
      </c>
      <c r="W346" t="str">
        <f>IF([1]!Table1[[#This Row],[Category]]=[1]!Table1[[#This Row],[Expected_Category ]],"Valid", "invalid")</f>
        <v>Valid</v>
      </c>
    </row>
    <row r="347" spans="1:23">
      <c r="A347" t="s">
        <v>1101</v>
      </c>
      <c r="B347" t="s">
        <v>121</v>
      </c>
      <c r="C347" s="31" t="s">
        <v>1102</v>
      </c>
      <c r="D347" s="32" t="s">
        <v>1103</v>
      </c>
      <c r="E347" t="s">
        <v>44</v>
      </c>
      <c r="F347" t="s">
        <v>45</v>
      </c>
      <c r="G347" t="s">
        <v>54</v>
      </c>
      <c r="H347" t="s">
        <v>70</v>
      </c>
      <c r="I347" t="s">
        <v>48</v>
      </c>
      <c r="J347">
        <v>2.6</v>
      </c>
      <c r="K347">
        <v>4</v>
      </c>
      <c r="L347" t="s">
        <v>26</v>
      </c>
      <c r="M347">
        <v>5</v>
      </c>
      <c r="N347" t="s">
        <v>27</v>
      </c>
      <c r="O347" t="s">
        <v>28</v>
      </c>
      <c r="P347" t="s">
        <v>29</v>
      </c>
      <c r="Q347" t="s">
        <v>101</v>
      </c>
      <c r="R347" t="str">
        <f>IF(Table1[[#This Row],[Resolution_Time_Hrs]]&gt;Table1[[#This Row],[SLA_Target_Hrs]],"No", "Yes")</f>
        <v>Yes</v>
      </c>
      <c r="S347" t="str">
        <f>IF(Table1[[#This Row],[Calculated_SLA]]=Table1[[#This Row],[SLA_Met]],"Match","Mismatch")</f>
        <v>Match</v>
      </c>
      <c r="T347">
        <f>IF(Table1[[#This Row],[Calculated_SLA]]="Yes",1,0)</f>
        <v>1</v>
      </c>
      <c r="U347" t="str">
        <f>IF(COUNTIFS(Reference_data!A:A,Table1[[#This Row],[Category]],Reference_data!B:B,Table1[[#This Row],[Sub_Category]])&gt;0,"Valid","Invalid")</f>
        <v>Valid</v>
      </c>
      <c r="V347" t="str">
        <f>_xlfn.XLOOKUP([1]!Table1[[#This Row],[Sub_Category]],[1]Reference_data!B:B,[1]Reference_data!A:A)</f>
        <v>Contract &amp; Billing</v>
      </c>
      <c r="W347" t="str">
        <f>IF([1]!Table1[[#This Row],[Category]]=[1]!Table1[[#This Row],[Expected_Category ]],"Valid", "invalid")</f>
        <v>Valid</v>
      </c>
    </row>
    <row r="348" spans="1:23">
      <c r="A348" t="s">
        <v>1104</v>
      </c>
      <c r="B348" t="s">
        <v>66</v>
      </c>
      <c r="C348" s="31" t="s">
        <v>1105</v>
      </c>
      <c r="D348" s="32" t="s">
        <v>1106</v>
      </c>
      <c r="E348" t="s">
        <v>21</v>
      </c>
      <c r="F348" t="s">
        <v>69</v>
      </c>
      <c r="G348" t="s">
        <v>54</v>
      </c>
      <c r="H348" t="s">
        <v>37</v>
      </c>
      <c r="I348" t="s">
        <v>25</v>
      </c>
      <c r="J348">
        <v>6</v>
      </c>
      <c r="K348">
        <v>4</v>
      </c>
      <c r="L348" t="s">
        <v>27</v>
      </c>
      <c r="M348">
        <v>3</v>
      </c>
      <c r="N348" t="s">
        <v>27</v>
      </c>
      <c r="O348" t="s">
        <v>28</v>
      </c>
      <c r="P348" t="s">
        <v>1670</v>
      </c>
      <c r="Q348" t="s">
        <v>39</v>
      </c>
      <c r="R348" t="str">
        <f>IF(Table1[[#This Row],[Resolution_Time_Hrs]]&gt;Table1[[#This Row],[SLA_Target_Hrs]],"No", "Yes")</f>
        <v>No</v>
      </c>
      <c r="S348" t="str">
        <f>IF(Table1[[#This Row],[Calculated_SLA]]=Table1[[#This Row],[SLA_Met]],"Match","Mismatch")</f>
        <v>Match</v>
      </c>
      <c r="T348">
        <f>IF(Table1[[#This Row],[Calculated_SLA]]="Yes",1,0)</f>
        <v>0</v>
      </c>
      <c r="U348" t="str">
        <f>IF(COUNTIFS(Reference_data!A:A,Table1[[#This Row],[Category]],Reference_data!B:B,Table1[[#This Row],[Sub_Category]])&gt;0,"Valid","Invalid")</f>
        <v>Valid</v>
      </c>
      <c r="V348" t="str">
        <f>_xlfn.XLOOKUP([1]!Table1[[#This Row],[Sub_Category]],[1]Reference_data!B:B,[1]Reference_data!A:A)</f>
        <v>Connectivity &amp; Software</v>
      </c>
      <c r="W348" t="str">
        <f>IF([1]!Table1[[#This Row],[Category]]=[1]!Table1[[#This Row],[Expected_Category ]],"Valid", "invalid")</f>
        <v>Valid</v>
      </c>
    </row>
    <row r="349" spans="1:23">
      <c r="A349" t="s">
        <v>1107</v>
      </c>
      <c r="B349" t="s">
        <v>60</v>
      </c>
      <c r="C349" s="31" t="s">
        <v>1108</v>
      </c>
      <c r="D349" s="32" t="s">
        <v>1109</v>
      </c>
      <c r="E349" t="s">
        <v>35</v>
      </c>
      <c r="F349" t="s">
        <v>53</v>
      </c>
      <c r="G349" t="s">
        <v>54</v>
      </c>
      <c r="H349" t="s">
        <v>37</v>
      </c>
      <c r="I349" t="s">
        <v>56</v>
      </c>
      <c r="J349">
        <v>10.3</v>
      </c>
      <c r="K349">
        <v>4</v>
      </c>
      <c r="L349" t="s">
        <v>27</v>
      </c>
      <c r="M349">
        <v>2</v>
      </c>
      <c r="N349" t="s">
        <v>26</v>
      </c>
      <c r="O349" t="s">
        <v>28</v>
      </c>
      <c r="P349" t="s">
        <v>1670</v>
      </c>
      <c r="Q349" t="s">
        <v>30</v>
      </c>
      <c r="R349" t="str">
        <f>IF(Table1[[#This Row],[Resolution_Time_Hrs]]&gt;Table1[[#This Row],[SLA_Target_Hrs]],"No", "Yes")</f>
        <v>No</v>
      </c>
      <c r="S349" t="str">
        <f>IF(Table1[[#This Row],[Calculated_SLA]]=Table1[[#This Row],[SLA_Met]],"Match","Mismatch")</f>
        <v>Match</v>
      </c>
      <c r="T349">
        <f>IF(Table1[[#This Row],[Calculated_SLA]]="Yes",1,0)</f>
        <v>0</v>
      </c>
      <c r="U349" t="str">
        <f>IF(COUNTIFS(Reference_data!A:A,Table1[[#This Row],[Category]],Reference_data!B:B,Table1[[#This Row],[Sub_Category]])&gt;0,"Valid","Invalid")</f>
        <v>Valid</v>
      </c>
      <c r="V349" t="str">
        <f>_xlfn.XLOOKUP([1]!Table1[[#This Row],[Sub_Category]],[1]Reference_data!B:B,[1]Reference_data!A:A)</f>
        <v>Print Quality</v>
      </c>
      <c r="W349" t="str">
        <f>IF([1]!Table1[[#This Row],[Category]]=[1]!Table1[[#This Row],[Expected_Category ]],"Valid", "invalid")</f>
        <v>Valid</v>
      </c>
    </row>
    <row r="350" spans="1:23">
      <c r="A350" t="s">
        <v>1110</v>
      </c>
      <c r="B350" t="s">
        <v>66</v>
      </c>
      <c r="C350" s="31" t="s">
        <v>1111</v>
      </c>
      <c r="D350" s="32" t="s">
        <v>1112</v>
      </c>
      <c r="E350" t="s">
        <v>35</v>
      </c>
      <c r="F350" t="s">
        <v>36</v>
      </c>
      <c r="G350" t="s">
        <v>46</v>
      </c>
      <c r="H350" t="s">
        <v>234</v>
      </c>
      <c r="I350" t="s">
        <v>38</v>
      </c>
      <c r="J350">
        <v>11.8</v>
      </c>
      <c r="K350">
        <v>8</v>
      </c>
      <c r="L350" t="s">
        <v>27</v>
      </c>
      <c r="M350">
        <v>1</v>
      </c>
      <c r="N350" t="s">
        <v>27</v>
      </c>
      <c r="O350" t="s">
        <v>28</v>
      </c>
      <c r="P350" t="s">
        <v>1670</v>
      </c>
      <c r="Q350" t="s">
        <v>58</v>
      </c>
      <c r="R350" t="str">
        <f>IF(Table1[[#This Row],[Resolution_Time_Hrs]]&gt;Table1[[#This Row],[SLA_Target_Hrs]],"No", "Yes")</f>
        <v>No</v>
      </c>
      <c r="S350" t="str">
        <f>IF(Table1[[#This Row],[Calculated_SLA]]=Table1[[#This Row],[SLA_Met]],"Match","Mismatch")</f>
        <v>Match</v>
      </c>
      <c r="T350">
        <f>IF(Table1[[#This Row],[Calculated_SLA]]="Yes",1,0)</f>
        <v>0</v>
      </c>
      <c r="U350" t="str">
        <f>IF(COUNTIFS(Reference_data!A:A,Table1[[#This Row],[Category]],Reference_data!B:B,Table1[[#This Row],[Sub_Category]])&gt;0,"Valid","Invalid")</f>
        <v>Valid</v>
      </c>
      <c r="V350" t="str">
        <f>_xlfn.XLOOKUP([1]!Table1[[#This Row],[Sub_Category]],[1]Reference_data!B:B,[1]Reference_data!A:A)</f>
        <v>Print Quality</v>
      </c>
      <c r="W350" t="str">
        <f>IF([1]!Table1[[#This Row],[Category]]=[1]!Table1[[#This Row],[Expected_Category ]],"Valid", "invalid")</f>
        <v>Valid</v>
      </c>
    </row>
    <row r="351" spans="1:23">
      <c r="A351" t="s">
        <v>1113</v>
      </c>
      <c r="B351" t="s">
        <v>121</v>
      </c>
      <c r="C351" s="31" t="s">
        <v>1114</v>
      </c>
      <c r="D351" s="32" t="s">
        <v>1115</v>
      </c>
      <c r="E351" t="s">
        <v>21</v>
      </c>
      <c r="F351" t="s">
        <v>63</v>
      </c>
      <c r="G351" t="s">
        <v>46</v>
      </c>
      <c r="H351" t="s">
        <v>70</v>
      </c>
      <c r="I351" t="s">
        <v>25</v>
      </c>
      <c r="J351">
        <v>6.8</v>
      </c>
      <c r="K351">
        <v>8</v>
      </c>
      <c r="L351" t="s">
        <v>26</v>
      </c>
      <c r="M351">
        <v>4</v>
      </c>
      <c r="N351" t="s">
        <v>27</v>
      </c>
      <c r="O351" t="s">
        <v>28</v>
      </c>
      <c r="P351" t="s">
        <v>29</v>
      </c>
      <c r="Q351" t="s">
        <v>101</v>
      </c>
      <c r="R351" t="str">
        <f>IF(Table1[[#This Row],[Resolution_Time_Hrs]]&gt;Table1[[#This Row],[SLA_Target_Hrs]],"No", "Yes")</f>
        <v>Yes</v>
      </c>
      <c r="S351" t="str">
        <f>IF(Table1[[#This Row],[Calculated_SLA]]=Table1[[#This Row],[SLA_Met]],"Match","Mismatch")</f>
        <v>Match</v>
      </c>
      <c r="T351">
        <f>IF(Table1[[#This Row],[Calculated_SLA]]="Yes",1,0)</f>
        <v>1</v>
      </c>
      <c r="U351" t="str">
        <f>IF(COUNTIFS(Reference_data!A:A,Table1[[#This Row],[Category]],Reference_data!B:B,Table1[[#This Row],[Sub_Category]])&gt;0,"Valid","Invalid")</f>
        <v>Valid</v>
      </c>
      <c r="V351" t="str">
        <f>_xlfn.XLOOKUP([1]!Table1[[#This Row],[Sub_Category]],[1]Reference_data!B:B,[1]Reference_data!A:A)</f>
        <v>Connectivity &amp; Software</v>
      </c>
      <c r="W351" t="str">
        <f>IF([1]!Table1[[#This Row],[Category]]=[1]!Table1[[#This Row],[Expected_Category ]],"Valid", "invalid")</f>
        <v>Valid</v>
      </c>
    </row>
    <row r="352" spans="1:23">
      <c r="A352" t="s">
        <v>1116</v>
      </c>
      <c r="B352" t="s">
        <v>50</v>
      </c>
      <c r="C352" s="31" t="s">
        <v>1117</v>
      </c>
      <c r="D352" s="32" t="s">
        <v>1118</v>
      </c>
      <c r="E352" t="s">
        <v>78</v>
      </c>
      <c r="F352" t="s">
        <v>79</v>
      </c>
      <c r="G352" t="s">
        <v>54</v>
      </c>
      <c r="H352" t="s">
        <v>24</v>
      </c>
      <c r="I352" t="s">
        <v>80</v>
      </c>
      <c r="J352">
        <v>23.4</v>
      </c>
      <c r="K352">
        <v>4</v>
      </c>
      <c r="L352" t="s">
        <v>27</v>
      </c>
      <c r="M352">
        <v>3</v>
      </c>
      <c r="N352" t="s">
        <v>26</v>
      </c>
      <c r="O352" t="s">
        <v>28</v>
      </c>
      <c r="P352" t="s">
        <v>1670</v>
      </c>
      <c r="Q352" t="s">
        <v>58</v>
      </c>
      <c r="R352" t="str">
        <f>IF(Table1[[#This Row],[Resolution_Time_Hrs]]&gt;Table1[[#This Row],[SLA_Target_Hrs]],"No", "Yes")</f>
        <v>No</v>
      </c>
      <c r="S352" t="str">
        <f>IF(Table1[[#This Row],[Calculated_SLA]]=Table1[[#This Row],[SLA_Met]],"Match","Mismatch")</f>
        <v>Match</v>
      </c>
      <c r="T352">
        <f>IF(Table1[[#This Row],[Calculated_SLA]]="Yes",1,0)</f>
        <v>0</v>
      </c>
      <c r="U352" t="str">
        <f>IF(COUNTIFS(Reference_data!A:A,Table1[[#This Row],[Category]],Reference_data!B:B,Table1[[#This Row],[Sub_Category]])&gt;0,"Valid","Invalid")</f>
        <v>Valid</v>
      </c>
      <c r="V352" t="str">
        <f>_xlfn.XLOOKUP([1]!Table1[[#This Row],[Sub_Category]],[1]Reference_data!B:B,[1]Reference_data!A:A)</f>
        <v>Hardware &amp; Mechanical</v>
      </c>
      <c r="W352" t="str">
        <f>IF([1]!Table1[[#This Row],[Category]]=[1]!Table1[[#This Row],[Expected_Category ]],"Valid", "invalid")</f>
        <v>Valid</v>
      </c>
    </row>
    <row r="353" spans="1:23">
      <c r="A353" t="s">
        <v>1119</v>
      </c>
      <c r="B353" t="s">
        <v>75</v>
      </c>
      <c r="C353" s="31" t="s">
        <v>1120</v>
      </c>
      <c r="D353" s="32" t="s">
        <v>1121</v>
      </c>
      <c r="E353" t="s">
        <v>84</v>
      </c>
      <c r="F353" t="s">
        <v>116</v>
      </c>
      <c r="G353" t="s">
        <v>23</v>
      </c>
      <c r="H353" t="s">
        <v>37</v>
      </c>
      <c r="I353" t="s">
        <v>87</v>
      </c>
      <c r="J353">
        <v>6.1</v>
      </c>
      <c r="K353">
        <v>24</v>
      </c>
      <c r="L353" t="s">
        <v>27</v>
      </c>
      <c r="M353">
        <v>1</v>
      </c>
      <c r="N353" t="s">
        <v>26</v>
      </c>
      <c r="O353" t="s">
        <v>28</v>
      </c>
      <c r="P353" t="s">
        <v>57</v>
      </c>
      <c r="Q353" t="s">
        <v>39</v>
      </c>
      <c r="R353" t="str">
        <f>IF(Table1[[#This Row],[Resolution_Time_Hrs]]&gt;Table1[[#This Row],[SLA_Target_Hrs]],"No", "Yes")</f>
        <v>Yes</v>
      </c>
      <c r="S353" t="str">
        <f>IF(Table1[[#This Row],[Calculated_SLA]]=Table1[[#This Row],[SLA_Met]],"Match","Mismatch")</f>
        <v>Mismatch</v>
      </c>
      <c r="T353">
        <f>IF(Table1[[#This Row],[Calculated_SLA]]="Yes",1,0)</f>
        <v>1</v>
      </c>
      <c r="U353" t="str">
        <f>IF(COUNTIFS(Reference_data!A:A,Table1[[#This Row],[Category]],Reference_data!B:B,Table1[[#This Row],[Sub_Category]])&gt;0,"Valid","Invalid")</f>
        <v>Valid</v>
      </c>
      <c r="V353" t="str">
        <f>_xlfn.XLOOKUP([1]!Table1[[#This Row],[Sub_Category]],[1]Reference_data!B:B,[1]Reference_data!A:A)</f>
        <v>Supplies &amp; Logistics</v>
      </c>
      <c r="W353" t="str">
        <f>IF([1]!Table1[[#This Row],[Category]]=[1]!Table1[[#This Row],[Expected_Category ]],"Valid", "invalid")</f>
        <v>Valid</v>
      </c>
    </row>
    <row r="354" spans="1:23">
      <c r="A354" t="s">
        <v>1122</v>
      </c>
      <c r="B354" t="s">
        <v>75</v>
      </c>
      <c r="C354" s="31" t="s">
        <v>1123</v>
      </c>
      <c r="D354" s="32" t="s">
        <v>1124</v>
      </c>
      <c r="E354" t="s">
        <v>78</v>
      </c>
      <c r="F354" t="s">
        <v>166</v>
      </c>
      <c r="G354" t="s">
        <v>46</v>
      </c>
      <c r="H354" t="s">
        <v>70</v>
      </c>
      <c r="I354" t="s">
        <v>80</v>
      </c>
      <c r="J354">
        <v>14</v>
      </c>
      <c r="K354">
        <v>8</v>
      </c>
      <c r="L354" t="s">
        <v>27</v>
      </c>
      <c r="M354">
        <v>1</v>
      </c>
      <c r="N354" t="s">
        <v>26</v>
      </c>
      <c r="O354" t="s">
        <v>28</v>
      </c>
      <c r="P354" t="s">
        <v>57</v>
      </c>
      <c r="Q354" t="s">
        <v>58</v>
      </c>
      <c r="R354" t="str">
        <f>IF(Table1[[#This Row],[Resolution_Time_Hrs]]&gt;Table1[[#This Row],[SLA_Target_Hrs]],"No", "Yes")</f>
        <v>No</v>
      </c>
      <c r="S354" t="str">
        <f>IF(Table1[[#This Row],[Calculated_SLA]]=Table1[[#This Row],[SLA_Met]],"Match","Mismatch")</f>
        <v>Match</v>
      </c>
      <c r="T354">
        <f>IF(Table1[[#This Row],[Calculated_SLA]]="Yes",1,0)</f>
        <v>0</v>
      </c>
      <c r="U354" t="str">
        <f>IF(COUNTIFS(Reference_data!A:A,Table1[[#This Row],[Category]],Reference_data!B:B,Table1[[#This Row],[Sub_Category]])&gt;0,"Valid","Invalid")</f>
        <v>Valid</v>
      </c>
      <c r="V354" t="str">
        <f>_xlfn.XLOOKUP([1]!Table1[[#This Row],[Sub_Category]],[1]Reference_data!B:B,[1]Reference_data!A:A)</f>
        <v>Hardware &amp; Mechanical</v>
      </c>
      <c r="W354" t="str">
        <f>IF([1]!Table1[[#This Row],[Category]]=[1]!Table1[[#This Row],[Expected_Category ]],"Valid", "invalid")</f>
        <v>Valid</v>
      </c>
    </row>
    <row r="355" spans="1:23">
      <c r="A355" t="s">
        <v>1125</v>
      </c>
      <c r="B355" t="s">
        <v>135</v>
      </c>
      <c r="C355" s="31" t="s">
        <v>1126</v>
      </c>
      <c r="D355" s="32" t="s">
        <v>1127</v>
      </c>
      <c r="E355" t="s">
        <v>44</v>
      </c>
      <c r="F355" t="s">
        <v>45</v>
      </c>
      <c r="G355" t="s">
        <v>46</v>
      </c>
      <c r="H355" t="s">
        <v>234</v>
      </c>
      <c r="I355" t="s">
        <v>48</v>
      </c>
      <c r="J355">
        <v>4.5</v>
      </c>
      <c r="K355">
        <v>8</v>
      </c>
      <c r="L355" t="s">
        <v>26</v>
      </c>
      <c r="N355" t="s">
        <v>27</v>
      </c>
      <c r="O355" t="s">
        <v>28</v>
      </c>
      <c r="P355" t="s">
        <v>29</v>
      </c>
      <c r="Q355" t="s">
        <v>101</v>
      </c>
      <c r="R355" t="str">
        <f>IF(Table1[[#This Row],[Resolution_Time_Hrs]]&gt;Table1[[#This Row],[SLA_Target_Hrs]],"No", "Yes")</f>
        <v>Yes</v>
      </c>
      <c r="S355" t="str">
        <f>IF(Table1[[#This Row],[Calculated_SLA]]=Table1[[#This Row],[SLA_Met]],"Match","Mismatch")</f>
        <v>Match</v>
      </c>
      <c r="T355">
        <f>IF(Table1[[#This Row],[Calculated_SLA]]="Yes",1,0)</f>
        <v>1</v>
      </c>
      <c r="U355" t="str">
        <f>IF(COUNTIFS(Reference_data!A:A,Table1[[#This Row],[Category]],Reference_data!B:B,Table1[[#This Row],[Sub_Category]])&gt;0,"Valid","Invalid")</f>
        <v>Valid</v>
      </c>
      <c r="V355" t="str">
        <f>_xlfn.XLOOKUP([1]!Table1[[#This Row],[Sub_Category]],[1]Reference_data!B:B,[1]Reference_data!A:A)</f>
        <v>Contract &amp; Billing</v>
      </c>
      <c r="W355" t="str">
        <f>IF([1]!Table1[[#This Row],[Category]]=[1]!Table1[[#This Row],[Expected_Category ]],"Valid", "invalid")</f>
        <v>Valid</v>
      </c>
    </row>
    <row r="356" spans="1:23">
      <c r="A356" t="s">
        <v>1128</v>
      </c>
      <c r="B356" t="s">
        <v>75</v>
      </c>
      <c r="C356" s="31" t="s">
        <v>1129</v>
      </c>
      <c r="D356" s="32" t="s">
        <v>1130</v>
      </c>
      <c r="E356" t="s">
        <v>44</v>
      </c>
      <c r="F356" t="s">
        <v>109</v>
      </c>
      <c r="G356" t="s">
        <v>46</v>
      </c>
      <c r="H356" t="s">
        <v>24</v>
      </c>
      <c r="I356" t="s">
        <v>48</v>
      </c>
      <c r="J356">
        <v>5.3</v>
      </c>
      <c r="K356">
        <v>8</v>
      </c>
      <c r="L356" t="s">
        <v>26</v>
      </c>
      <c r="M356">
        <v>4</v>
      </c>
      <c r="N356" t="s">
        <v>27</v>
      </c>
      <c r="O356" t="s">
        <v>28</v>
      </c>
      <c r="P356" t="s">
        <v>29</v>
      </c>
      <c r="Q356" t="s">
        <v>39</v>
      </c>
      <c r="R356" t="str">
        <f>IF(Table1[[#This Row],[Resolution_Time_Hrs]]&gt;Table1[[#This Row],[SLA_Target_Hrs]],"No", "Yes")</f>
        <v>Yes</v>
      </c>
      <c r="S356" t="str">
        <f>IF(Table1[[#This Row],[Calculated_SLA]]=Table1[[#This Row],[SLA_Met]],"Match","Mismatch")</f>
        <v>Match</v>
      </c>
      <c r="T356">
        <f>IF(Table1[[#This Row],[Calculated_SLA]]="Yes",1,0)</f>
        <v>1</v>
      </c>
      <c r="U356" t="str">
        <f>IF(COUNTIFS(Reference_data!A:A,Table1[[#This Row],[Category]],Reference_data!B:B,Table1[[#This Row],[Sub_Category]])&gt;0,"Valid","Invalid")</f>
        <v>Valid</v>
      </c>
      <c r="V356" t="str">
        <f>_xlfn.XLOOKUP([1]!Table1[[#This Row],[Sub_Category]],[1]Reference_data!B:B,[1]Reference_data!A:A)</f>
        <v>Contract &amp; Billing</v>
      </c>
      <c r="W356" t="str">
        <f>IF([1]!Table1[[#This Row],[Category]]=[1]!Table1[[#This Row],[Expected_Category ]],"Valid", "invalid")</f>
        <v>Valid</v>
      </c>
    </row>
    <row r="357" spans="1:23">
      <c r="A357" t="s">
        <v>1131</v>
      </c>
      <c r="B357" t="s">
        <v>75</v>
      </c>
      <c r="C357" s="31" t="s">
        <v>1132</v>
      </c>
      <c r="D357" s="32" t="s">
        <v>1133</v>
      </c>
      <c r="E357" t="s">
        <v>35</v>
      </c>
      <c r="F357" t="s">
        <v>53</v>
      </c>
      <c r="G357" t="s">
        <v>54</v>
      </c>
      <c r="H357" t="s">
        <v>24</v>
      </c>
      <c r="I357" t="s">
        <v>56</v>
      </c>
      <c r="J357">
        <v>10.6</v>
      </c>
      <c r="K357">
        <v>4</v>
      </c>
      <c r="L357" t="s">
        <v>27</v>
      </c>
      <c r="M357">
        <v>2</v>
      </c>
      <c r="N357" t="s">
        <v>27</v>
      </c>
      <c r="O357" t="s">
        <v>28</v>
      </c>
      <c r="P357" t="s">
        <v>57</v>
      </c>
      <c r="Q357" t="s">
        <v>30</v>
      </c>
      <c r="R357" t="str">
        <f>IF(Table1[[#This Row],[Resolution_Time_Hrs]]&gt;Table1[[#This Row],[SLA_Target_Hrs]],"No", "Yes")</f>
        <v>No</v>
      </c>
      <c r="S357" t="str">
        <f>IF(Table1[[#This Row],[Calculated_SLA]]=Table1[[#This Row],[SLA_Met]],"Match","Mismatch")</f>
        <v>Match</v>
      </c>
      <c r="T357">
        <f>IF(Table1[[#This Row],[Calculated_SLA]]="Yes",1,0)</f>
        <v>0</v>
      </c>
      <c r="U357" t="str">
        <f>IF(COUNTIFS(Reference_data!A:A,Table1[[#This Row],[Category]],Reference_data!B:B,Table1[[#This Row],[Sub_Category]])&gt;0,"Valid","Invalid")</f>
        <v>Valid</v>
      </c>
      <c r="V357" t="str">
        <f>_xlfn.XLOOKUP([1]!Table1[[#This Row],[Sub_Category]],[1]Reference_data!B:B,[1]Reference_data!A:A)</f>
        <v>Print Quality</v>
      </c>
      <c r="W357" t="str">
        <f>IF([1]!Table1[[#This Row],[Category]]=[1]!Table1[[#This Row],[Expected_Category ]],"Valid", "invalid")</f>
        <v>Valid</v>
      </c>
    </row>
    <row r="358" spans="1:23">
      <c r="A358" t="s">
        <v>1134</v>
      </c>
      <c r="B358" t="s">
        <v>32</v>
      </c>
      <c r="C358" s="31" t="s">
        <v>1135</v>
      </c>
      <c r="D358" s="32" t="s">
        <v>1136</v>
      </c>
      <c r="E358" t="s">
        <v>78</v>
      </c>
      <c r="F358" t="s">
        <v>191</v>
      </c>
      <c r="G358" t="s">
        <v>23</v>
      </c>
      <c r="H358" t="s">
        <v>70</v>
      </c>
      <c r="I358" t="s">
        <v>38</v>
      </c>
      <c r="J358">
        <v>14.2</v>
      </c>
      <c r="K358">
        <v>24</v>
      </c>
      <c r="L358" t="s">
        <v>26</v>
      </c>
      <c r="M358">
        <v>5</v>
      </c>
      <c r="N358" t="s">
        <v>27</v>
      </c>
      <c r="O358" t="s">
        <v>28</v>
      </c>
      <c r="P358" t="s">
        <v>29</v>
      </c>
      <c r="Q358" t="s">
        <v>30</v>
      </c>
      <c r="R358" t="str">
        <f>IF(Table1[[#This Row],[Resolution_Time_Hrs]]&gt;Table1[[#This Row],[SLA_Target_Hrs]],"No", "Yes")</f>
        <v>Yes</v>
      </c>
      <c r="S358" t="str">
        <f>IF(Table1[[#This Row],[Calculated_SLA]]=Table1[[#This Row],[SLA_Met]],"Match","Mismatch")</f>
        <v>Match</v>
      </c>
      <c r="T358">
        <f>IF(Table1[[#This Row],[Calculated_SLA]]="Yes",1,0)</f>
        <v>1</v>
      </c>
      <c r="U358" t="str">
        <f>IF(COUNTIFS(Reference_data!A:A,Table1[[#This Row],[Category]],Reference_data!B:B,Table1[[#This Row],[Sub_Category]])&gt;0,"Valid","Invalid")</f>
        <v>Valid</v>
      </c>
      <c r="V358" t="str">
        <f>_xlfn.XLOOKUP([1]!Table1[[#This Row],[Sub_Category]],[1]Reference_data!B:B,[1]Reference_data!A:A)</f>
        <v>Hardware &amp; Mechanical</v>
      </c>
      <c r="W358" t="str">
        <f>IF([1]!Table1[[#This Row],[Category]]=[1]!Table1[[#This Row],[Expected_Category ]],"Valid", "invalid")</f>
        <v>Valid</v>
      </c>
    </row>
    <row r="359" spans="1:23">
      <c r="A359" t="s">
        <v>1137</v>
      </c>
      <c r="B359" t="s">
        <v>32</v>
      </c>
      <c r="C359" s="31" t="s">
        <v>1138</v>
      </c>
      <c r="D359" s="32" t="s">
        <v>1139</v>
      </c>
      <c r="E359" t="s">
        <v>84</v>
      </c>
      <c r="F359" t="s">
        <v>85</v>
      </c>
      <c r="G359" t="s">
        <v>46</v>
      </c>
      <c r="H359" t="s">
        <v>234</v>
      </c>
      <c r="I359" t="s">
        <v>87</v>
      </c>
      <c r="J359">
        <v>5.3</v>
      </c>
      <c r="K359">
        <v>8</v>
      </c>
      <c r="L359" t="s">
        <v>26</v>
      </c>
      <c r="M359">
        <v>4</v>
      </c>
      <c r="N359" t="s">
        <v>27</v>
      </c>
      <c r="O359" t="s">
        <v>28</v>
      </c>
      <c r="P359" t="s">
        <v>29</v>
      </c>
      <c r="Q359" t="s">
        <v>101</v>
      </c>
      <c r="R359" t="str">
        <f>IF(Table1[[#This Row],[Resolution_Time_Hrs]]&gt;Table1[[#This Row],[SLA_Target_Hrs]],"No", "Yes")</f>
        <v>Yes</v>
      </c>
      <c r="S359" t="str">
        <f>IF(Table1[[#This Row],[Calculated_SLA]]=Table1[[#This Row],[SLA_Met]],"Match","Mismatch")</f>
        <v>Match</v>
      </c>
      <c r="T359">
        <f>IF(Table1[[#This Row],[Calculated_SLA]]="Yes",1,0)</f>
        <v>1</v>
      </c>
      <c r="U359" t="str">
        <f>IF(COUNTIFS(Reference_data!A:A,Table1[[#This Row],[Category]],Reference_data!B:B,Table1[[#This Row],[Sub_Category]])&gt;0,"Valid","Invalid")</f>
        <v>Valid</v>
      </c>
      <c r="V359" t="str">
        <f>_xlfn.XLOOKUP([1]!Table1[[#This Row],[Sub_Category]],[1]Reference_data!B:B,[1]Reference_data!A:A)</f>
        <v>Supplies &amp; Logistics</v>
      </c>
      <c r="W359" t="str">
        <f>IF([1]!Table1[[#This Row],[Category]]=[1]!Table1[[#This Row],[Expected_Category ]],"Valid", "invalid")</f>
        <v>Valid</v>
      </c>
    </row>
    <row r="360" spans="1:23">
      <c r="A360" t="s">
        <v>1140</v>
      </c>
      <c r="B360" t="s">
        <v>121</v>
      </c>
      <c r="C360" s="31" t="s">
        <v>1141</v>
      </c>
      <c r="D360" s="32" t="s">
        <v>1142</v>
      </c>
      <c r="E360" t="s">
        <v>35</v>
      </c>
      <c r="F360" t="s">
        <v>36</v>
      </c>
      <c r="G360" t="s">
        <v>23</v>
      </c>
      <c r="H360" t="s">
        <v>37</v>
      </c>
      <c r="I360" t="s">
        <v>38</v>
      </c>
      <c r="J360">
        <v>11.2</v>
      </c>
      <c r="K360">
        <v>24</v>
      </c>
      <c r="L360" t="s">
        <v>26</v>
      </c>
      <c r="M360">
        <v>4</v>
      </c>
      <c r="N360" t="s">
        <v>27</v>
      </c>
      <c r="O360" t="s">
        <v>28</v>
      </c>
      <c r="P360" t="s">
        <v>29</v>
      </c>
      <c r="Q360" t="s">
        <v>101</v>
      </c>
      <c r="R360" t="str">
        <f>IF(Table1[[#This Row],[Resolution_Time_Hrs]]&gt;Table1[[#This Row],[SLA_Target_Hrs]],"No", "Yes")</f>
        <v>Yes</v>
      </c>
      <c r="S360" t="str">
        <f>IF(Table1[[#This Row],[Calculated_SLA]]=Table1[[#This Row],[SLA_Met]],"Match","Mismatch")</f>
        <v>Match</v>
      </c>
      <c r="T360">
        <f>IF(Table1[[#This Row],[Calculated_SLA]]="Yes",1,0)</f>
        <v>1</v>
      </c>
      <c r="U360" t="str">
        <f>IF(COUNTIFS(Reference_data!A:A,Table1[[#This Row],[Category]],Reference_data!B:B,Table1[[#This Row],[Sub_Category]])&gt;0,"Valid","Invalid")</f>
        <v>Valid</v>
      </c>
      <c r="V360" t="str">
        <f>_xlfn.XLOOKUP([1]!Table1[[#This Row],[Sub_Category]],[1]Reference_data!B:B,[1]Reference_data!A:A)</f>
        <v>Print Quality</v>
      </c>
      <c r="W360" t="str">
        <f>IF([1]!Table1[[#This Row],[Category]]=[1]!Table1[[#This Row],[Expected_Category ]],"Valid", "invalid")</f>
        <v>Valid</v>
      </c>
    </row>
    <row r="361" spans="1:23">
      <c r="A361" t="s">
        <v>1143</v>
      </c>
      <c r="B361" t="s">
        <v>60</v>
      </c>
      <c r="C361" s="31" t="s">
        <v>1144</v>
      </c>
      <c r="D361" s="32" t="s">
        <v>1145</v>
      </c>
      <c r="E361" t="s">
        <v>78</v>
      </c>
      <c r="F361" t="s">
        <v>191</v>
      </c>
      <c r="G361" t="s">
        <v>54</v>
      </c>
      <c r="H361" t="s">
        <v>37</v>
      </c>
      <c r="I361" t="s">
        <v>38</v>
      </c>
      <c r="J361">
        <v>10</v>
      </c>
      <c r="K361">
        <v>4</v>
      </c>
      <c r="L361" t="s">
        <v>27</v>
      </c>
      <c r="M361">
        <v>3</v>
      </c>
      <c r="N361" t="s">
        <v>27</v>
      </c>
      <c r="O361" t="s">
        <v>28</v>
      </c>
      <c r="P361" t="s">
        <v>1670</v>
      </c>
      <c r="Q361" t="s">
        <v>39</v>
      </c>
      <c r="R361" t="str">
        <f>IF(Table1[[#This Row],[Resolution_Time_Hrs]]&gt;Table1[[#This Row],[SLA_Target_Hrs]],"No", "Yes")</f>
        <v>No</v>
      </c>
      <c r="S361" t="str">
        <f>IF(Table1[[#This Row],[Calculated_SLA]]=Table1[[#This Row],[SLA_Met]],"Match","Mismatch")</f>
        <v>Match</v>
      </c>
      <c r="T361">
        <f>IF(Table1[[#This Row],[Calculated_SLA]]="Yes",1,0)</f>
        <v>0</v>
      </c>
      <c r="U361" t="str">
        <f>IF(COUNTIFS(Reference_data!A:A,Table1[[#This Row],[Category]],Reference_data!B:B,Table1[[#This Row],[Sub_Category]])&gt;0,"Valid","Invalid")</f>
        <v>Valid</v>
      </c>
      <c r="V361" t="str">
        <f>_xlfn.XLOOKUP([1]!Table1[[#This Row],[Sub_Category]],[1]Reference_data!B:B,[1]Reference_data!A:A)</f>
        <v>Hardware &amp; Mechanical</v>
      </c>
      <c r="W361" t="str">
        <f>IF([1]!Table1[[#This Row],[Category]]=[1]!Table1[[#This Row],[Expected_Category ]],"Valid", "invalid")</f>
        <v>Valid</v>
      </c>
    </row>
    <row r="362" spans="1:23">
      <c r="A362" t="s">
        <v>1146</v>
      </c>
      <c r="B362" t="s">
        <v>18</v>
      </c>
      <c r="C362" s="31" t="s">
        <v>1147</v>
      </c>
      <c r="D362" s="32" t="s">
        <v>1148</v>
      </c>
      <c r="E362" t="s">
        <v>21</v>
      </c>
      <c r="F362" t="s">
        <v>22</v>
      </c>
      <c r="G362" t="s">
        <v>23</v>
      </c>
      <c r="H362" t="s">
        <v>70</v>
      </c>
      <c r="I362" t="s">
        <v>25</v>
      </c>
      <c r="J362">
        <v>6.3</v>
      </c>
      <c r="K362">
        <v>24</v>
      </c>
      <c r="L362" t="s">
        <v>26</v>
      </c>
      <c r="M362">
        <v>5</v>
      </c>
      <c r="N362" t="s">
        <v>27</v>
      </c>
      <c r="O362" t="s">
        <v>28</v>
      </c>
      <c r="P362" t="s">
        <v>29</v>
      </c>
      <c r="Q362" t="s">
        <v>39</v>
      </c>
      <c r="R362" t="str">
        <f>IF(Table1[[#This Row],[Resolution_Time_Hrs]]&gt;Table1[[#This Row],[SLA_Target_Hrs]],"No", "Yes")</f>
        <v>Yes</v>
      </c>
      <c r="S362" t="str">
        <f>IF(Table1[[#This Row],[Calculated_SLA]]=Table1[[#This Row],[SLA_Met]],"Match","Mismatch")</f>
        <v>Match</v>
      </c>
      <c r="T362">
        <f>IF(Table1[[#This Row],[Calculated_SLA]]="Yes",1,0)</f>
        <v>1</v>
      </c>
      <c r="U362" t="str">
        <f>IF(COUNTIFS(Reference_data!A:A,Table1[[#This Row],[Category]],Reference_data!B:B,Table1[[#This Row],[Sub_Category]])&gt;0,"Valid","Invalid")</f>
        <v>Valid</v>
      </c>
      <c r="V362" t="str">
        <f>_xlfn.XLOOKUP([1]!Table1[[#This Row],[Sub_Category]],[1]Reference_data!B:B,[1]Reference_data!A:A)</f>
        <v>Connectivity &amp; Software</v>
      </c>
      <c r="W362" t="str">
        <f>IF([1]!Table1[[#This Row],[Category]]=[1]!Table1[[#This Row],[Expected_Category ]],"Valid", "invalid")</f>
        <v>Valid</v>
      </c>
    </row>
    <row r="363" spans="1:23">
      <c r="A363" t="s">
        <v>1149</v>
      </c>
      <c r="B363" t="s">
        <v>121</v>
      </c>
      <c r="C363" s="31" t="s">
        <v>1150</v>
      </c>
      <c r="D363" s="32" t="s">
        <v>1151</v>
      </c>
      <c r="E363" t="s">
        <v>21</v>
      </c>
      <c r="F363" t="s">
        <v>63</v>
      </c>
      <c r="G363" t="s">
        <v>46</v>
      </c>
      <c r="H363" t="s">
        <v>64</v>
      </c>
      <c r="I363" t="s">
        <v>25</v>
      </c>
      <c r="J363">
        <v>7.4</v>
      </c>
      <c r="K363">
        <v>8</v>
      </c>
      <c r="L363" t="s">
        <v>26</v>
      </c>
      <c r="M363">
        <v>4</v>
      </c>
      <c r="N363" t="s">
        <v>27</v>
      </c>
      <c r="O363" t="s">
        <v>28</v>
      </c>
      <c r="P363" t="s">
        <v>29</v>
      </c>
      <c r="Q363" t="s">
        <v>30</v>
      </c>
      <c r="R363" t="str">
        <f>IF(Table1[[#This Row],[Resolution_Time_Hrs]]&gt;Table1[[#This Row],[SLA_Target_Hrs]],"No", "Yes")</f>
        <v>Yes</v>
      </c>
      <c r="S363" t="str">
        <f>IF(Table1[[#This Row],[Calculated_SLA]]=Table1[[#This Row],[SLA_Met]],"Match","Mismatch")</f>
        <v>Match</v>
      </c>
      <c r="T363">
        <f>IF(Table1[[#This Row],[Calculated_SLA]]="Yes",1,0)</f>
        <v>1</v>
      </c>
      <c r="U363" t="str">
        <f>IF(COUNTIFS(Reference_data!A:A,Table1[[#This Row],[Category]],Reference_data!B:B,Table1[[#This Row],[Sub_Category]])&gt;0,"Valid","Invalid")</f>
        <v>Valid</v>
      </c>
      <c r="V363" t="str">
        <f>_xlfn.XLOOKUP([1]!Table1[[#This Row],[Sub_Category]],[1]Reference_data!B:B,[1]Reference_data!A:A)</f>
        <v>Connectivity &amp; Software</v>
      </c>
      <c r="W363" t="str">
        <f>IF([1]!Table1[[#This Row],[Category]]=[1]!Table1[[#This Row],[Expected_Category ]],"Valid", "invalid")</f>
        <v>Valid</v>
      </c>
    </row>
    <row r="364" spans="1:23">
      <c r="A364" t="s">
        <v>1152</v>
      </c>
      <c r="B364" t="s">
        <v>75</v>
      </c>
      <c r="C364" s="31" t="s">
        <v>1153</v>
      </c>
      <c r="D364" s="32" t="s">
        <v>1154</v>
      </c>
      <c r="E364" t="s">
        <v>78</v>
      </c>
      <c r="F364" t="s">
        <v>166</v>
      </c>
      <c r="G364" t="s">
        <v>46</v>
      </c>
      <c r="H364" t="s">
        <v>37</v>
      </c>
      <c r="I364" t="s">
        <v>80</v>
      </c>
      <c r="J364">
        <v>17.600000000000001</v>
      </c>
      <c r="K364">
        <v>8</v>
      </c>
      <c r="L364" t="s">
        <v>27</v>
      </c>
      <c r="M364">
        <v>1</v>
      </c>
      <c r="N364" t="s">
        <v>27</v>
      </c>
      <c r="O364" t="s">
        <v>28</v>
      </c>
      <c r="P364" t="s">
        <v>57</v>
      </c>
      <c r="Q364" t="s">
        <v>39</v>
      </c>
      <c r="R364" t="str">
        <f>IF(Table1[[#This Row],[Resolution_Time_Hrs]]&gt;Table1[[#This Row],[SLA_Target_Hrs]],"No", "Yes")</f>
        <v>No</v>
      </c>
      <c r="S364" t="str">
        <f>IF(Table1[[#This Row],[Calculated_SLA]]=Table1[[#This Row],[SLA_Met]],"Match","Mismatch")</f>
        <v>Match</v>
      </c>
      <c r="T364">
        <f>IF(Table1[[#This Row],[Calculated_SLA]]="Yes",1,0)</f>
        <v>0</v>
      </c>
      <c r="U364" t="str">
        <f>IF(COUNTIFS(Reference_data!A:A,Table1[[#This Row],[Category]],Reference_data!B:B,Table1[[#This Row],[Sub_Category]])&gt;0,"Valid","Invalid")</f>
        <v>Valid</v>
      </c>
      <c r="V364" t="str">
        <f>_xlfn.XLOOKUP([1]!Table1[[#This Row],[Sub_Category]],[1]Reference_data!B:B,[1]Reference_data!A:A)</f>
        <v>Hardware &amp; Mechanical</v>
      </c>
      <c r="W364" t="str">
        <f>IF([1]!Table1[[#This Row],[Category]]=[1]!Table1[[#This Row],[Expected_Category ]],"Valid", "invalid")</f>
        <v>Valid</v>
      </c>
    </row>
    <row r="365" spans="1:23">
      <c r="A365" t="s">
        <v>1155</v>
      </c>
      <c r="B365" t="s">
        <v>106</v>
      </c>
      <c r="C365" s="31" t="s">
        <v>1156</v>
      </c>
      <c r="D365" s="32" t="s">
        <v>1157</v>
      </c>
      <c r="E365" t="s">
        <v>21</v>
      </c>
      <c r="F365" t="s">
        <v>22</v>
      </c>
      <c r="G365" t="s">
        <v>54</v>
      </c>
      <c r="H365" t="s">
        <v>86</v>
      </c>
      <c r="I365" t="s">
        <v>25</v>
      </c>
      <c r="J365">
        <v>8.1999999999999993</v>
      </c>
      <c r="K365">
        <v>4</v>
      </c>
      <c r="L365" t="s">
        <v>27</v>
      </c>
      <c r="M365">
        <v>1</v>
      </c>
      <c r="N365" t="s">
        <v>27</v>
      </c>
      <c r="O365" t="s">
        <v>28</v>
      </c>
      <c r="P365" t="s">
        <v>57</v>
      </c>
      <c r="Q365" t="s">
        <v>39</v>
      </c>
      <c r="R365" t="str">
        <f>IF(Table1[[#This Row],[Resolution_Time_Hrs]]&gt;Table1[[#This Row],[SLA_Target_Hrs]],"No", "Yes")</f>
        <v>No</v>
      </c>
      <c r="S365" t="str">
        <f>IF(Table1[[#This Row],[Calculated_SLA]]=Table1[[#This Row],[SLA_Met]],"Match","Mismatch")</f>
        <v>Match</v>
      </c>
      <c r="T365">
        <f>IF(Table1[[#This Row],[Calculated_SLA]]="Yes",1,0)</f>
        <v>0</v>
      </c>
      <c r="U365" t="str">
        <f>IF(COUNTIFS(Reference_data!A:A,Table1[[#This Row],[Category]],Reference_data!B:B,Table1[[#This Row],[Sub_Category]])&gt;0,"Valid","Invalid")</f>
        <v>Valid</v>
      </c>
      <c r="V365" t="str">
        <f>_xlfn.XLOOKUP([1]!Table1[[#This Row],[Sub_Category]],[1]Reference_data!B:B,[1]Reference_data!A:A)</f>
        <v>Connectivity &amp; Software</v>
      </c>
      <c r="W365" t="str">
        <f>IF([1]!Table1[[#This Row],[Category]]=[1]!Table1[[#This Row],[Expected_Category ]],"Valid", "invalid")</f>
        <v>Valid</v>
      </c>
    </row>
    <row r="366" spans="1:23">
      <c r="A366" t="s">
        <v>1158</v>
      </c>
      <c r="B366" t="s">
        <v>60</v>
      </c>
      <c r="C366" s="31" t="s">
        <v>1159</v>
      </c>
      <c r="D366" s="32" t="s">
        <v>1160</v>
      </c>
      <c r="E366" t="s">
        <v>21</v>
      </c>
      <c r="F366" t="s">
        <v>69</v>
      </c>
      <c r="G366" t="s">
        <v>46</v>
      </c>
      <c r="H366" t="s">
        <v>47</v>
      </c>
      <c r="I366" t="s">
        <v>25</v>
      </c>
      <c r="J366">
        <v>8.3000000000000007</v>
      </c>
      <c r="K366">
        <v>8</v>
      </c>
      <c r="L366" t="s">
        <v>27</v>
      </c>
      <c r="M366">
        <v>2</v>
      </c>
      <c r="N366" t="s">
        <v>27</v>
      </c>
      <c r="O366" t="s">
        <v>28</v>
      </c>
      <c r="P366" t="s">
        <v>57</v>
      </c>
      <c r="Q366" t="s">
        <v>58</v>
      </c>
      <c r="R366" t="str">
        <f>IF(Table1[[#This Row],[Resolution_Time_Hrs]]&gt;Table1[[#This Row],[SLA_Target_Hrs]],"No", "Yes")</f>
        <v>No</v>
      </c>
      <c r="S366" t="str">
        <f>IF(Table1[[#This Row],[Calculated_SLA]]=Table1[[#This Row],[SLA_Met]],"Match","Mismatch")</f>
        <v>Match</v>
      </c>
      <c r="T366">
        <f>IF(Table1[[#This Row],[Calculated_SLA]]="Yes",1,0)</f>
        <v>0</v>
      </c>
      <c r="U366" t="str">
        <f>IF(COUNTIFS(Reference_data!A:A,Table1[[#This Row],[Category]],Reference_data!B:B,Table1[[#This Row],[Sub_Category]])&gt;0,"Valid","Invalid")</f>
        <v>Valid</v>
      </c>
      <c r="V366" t="str">
        <f>_xlfn.XLOOKUP([1]!Table1[[#This Row],[Sub_Category]],[1]Reference_data!B:B,[1]Reference_data!A:A)</f>
        <v>Connectivity &amp; Software</v>
      </c>
      <c r="W366" t="str">
        <f>IF([1]!Table1[[#This Row],[Category]]=[1]!Table1[[#This Row],[Expected_Category ]],"Valid", "invalid")</f>
        <v>Valid</v>
      </c>
    </row>
    <row r="367" spans="1:23">
      <c r="A367" t="s">
        <v>1161</v>
      </c>
      <c r="B367" t="s">
        <v>121</v>
      </c>
      <c r="C367" s="31" t="s">
        <v>1162</v>
      </c>
      <c r="D367" s="32" t="s">
        <v>1163</v>
      </c>
      <c r="E367" t="s">
        <v>35</v>
      </c>
      <c r="F367" t="s">
        <v>127</v>
      </c>
      <c r="G367" t="s">
        <v>46</v>
      </c>
      <c r="H367" t="s">
        <v>86</v>
      </c>
      <c r="I367" t="s">
        <v>56</v>
      </c>
      <c r="J367">
        <v>12</v>
      </c>
      <c r="K367">
        <v>8</v>
      </c>
      <c r="L367" t="s">
        <v>27</v>
      </c>
      <c r="M367">
        <v>2</v>
      </c>
      <c r="N367" t="s">
        <v>27</v>
      </c>
      <c r="O367" t="s">
        <v>28</v>
      </c>
      <c r="P367" t="s">
        <v>1670</v>
      </c>
      <c r="Q367" t="s">
        <v>101</v>
      </c>
      <c r="R367" t="str">
        <f>IF(Table1[[#This Row],[Resolution_Time_Hrs]]&gt;Table1[[#This Row],[SLA_Target_Hrs]],"No", "Yes")</f>
        <v>No</v>
      </c>
      <c r="S367" t="str">
        <f>IF(Table1[[#This Row],[Calculated_SLA]]=Table1[[#This Row],[SLA_Met]],"Match","Mismatch")</f>
        <v>Match</v>
      </c>
      <c r="T367">
        <f>IF(Table1[[#This Row],[Calculated_SLA]]="Yes",1,0)</f>
        <v>0</v>
      </c>
      <c r="U367" t="str">
        <f>IF(COUNTIFS(Reference_data!A:A,Table1[[#This Row],[Category]],Reference_data!B:B,Table1[[#This Row],[Sub_Category]])&gt;0,"Valid","Invalid")</f>
        <v>Valid</v>
      </c>
      <c r="V367" t="str">
        <f>_xlfn.XLOOKUP([1]!Table1[[#This Row],[Sub_Category]],[1]Reference_data!B:B,[1]Reference_data!A:A)</f>
        <v>Print Quality</v>
      </c>
      <c r="W367" t="str">
        <f>IF([1]!Table1[[#This Row],[Category]]=[1]!Table1[[#This Row],[Expected_Category ]],"Valid", "invalid")</f>
        <v>Valid</v>
      </c>
    </row>
    <row r="368" spans="1:23">
      <c r="A368" t="s">
        <v>1164</v>
      </c>
      <c r="B368" t="s">
        <v>60</v>
      </c>
      <c r="C368" s="31" t="s">
        <v>1165</v>
      </c>
      <c r="D368" s="32" t="s">
        <v>1166</v>
      </c>
      <c r="E368" t="s">
        <v>21</v>
      </c>
      <c r="F368" t="s">
        <v>69</v>
      </c>
      <c r="G368" t="s">
        <v>46</v>
      </c>
      <c r="H368" t="s">
        <v>55</v>
      </c>
      <c r="I368" t="s">
        <v>25</v>
      </c>
      <c r="J368">
        <v>14.4</v>
      </c>
      <c r="K368">
        <v>8</v>
      </c>
      <c r="L368" t="s">
        <v>27</v>
      </c>
      <c r="M368">
        <v>2</v>
      </c>
      <c r="N368" t="s">
        <v>26</v>
      </c>
      <c r="O368" t="s">
        <v>28</v>
      </c>
      <c r="P368" t="s">
        <v>57</v>
      </c>
      <c r="Q368" t="s">
        <v>39</v>
      </c>
      <c r="R368" t="str">
        <f>IF(Table1[[#This Row],[Resolution_Time_Hrs]]&gt;Table1[[#This Row],[SLA_Target_Hrs]],"No", "Yes")</f>
        <v>No</v>
      </c>
      <c r="S368" t="str">
        <f>IF(Table1[[#This Row],[Calculated_SLA]]=Table1[[#This Row],[SLA_Met]],"Match","Mismatch")</f>
        <v>Match</v>
      </c>
      <c r="T368">
        <f>IF(Table1[[#This Row],[Calculated_SLA]]="Yes",1,0)</f>
        <v>0</v>
      </c>
      <c r="U368" t="str">
        <f>IF(COUNTIFS(Reference_data!A:A,Table1[[#This Row],[Category]],Reference_data!B:B,Table1[[#This Row],[Sub_Category]])&gt;0,"Valid","Invalid")</f>
        <v>Valid</v>
      </c>
      <c r="V368" t="str">
        <f>_xlfn.XLOOKUP([1]!Table1[[#This Row],[Sub_Category]],[1]Reference_data!B:B,[1]Reference_data!A:A)</f>
        <v>Connectivity &amp; Software</v>
      </c>
      <c r="W368" t="str">
        <f>IF([1]!Table1[[#This Row],[Category]]=[1]!Table1[[#This Row],[Expected_Category ]],"Valid", "invalid")</f>
        <v>Valid</v>
      </c>
    </row>
    <row r="369" spans="1:23">
      <c r="A369" t="s">
        <v>1167</v>
      </c>
      <c r="B369" t="s">
        <v>135</v>
      </c>
      <c r="C369" s="31" t="s">
        <v>1168</v>
      </c>
      <c r="D369" s="32" t="s">
        <v>1169</v>
      </c>
      <c r="E369" t="s">
        <v>78</v>
      </c>
      <c r="F369" t="s">
        <v>191</v>
      </c>
      <c r="G369" t="s">
        <v>46</v>
      </c>
      <c r="H369" t="s">
        <v>64</v>
      </c>
      <c r="I369" t="s">
        <v>38</v>
      </c>
      <c r="J369">
        <v>11.7</v>
      </c>
      <c r="K369">
        <v>8</v>
      </c>
      <c r="L369" t="s">
        <v>27</v>
      </c>
      <c r="M369">
        <v>3</v>
      </c>
      <c r="N369" t="s">
        <v>27</v>
      </c>
      <c r="O369" t="s">
        <v>28</v>
      </c>
      <c r="P369" t="s">
        <v>57</v>
      </c>
      <c r="Q369" t="s">
        <v>58</v>
      </c>
      <c r="R369" t="str">
        <f>IF(Table1[[#This Row],[Resolution_Time_Hrs]]&gt;Table1[[#This Row],[SLA_Target_Hrs]],"No", "Yes")</f>
        <v>No</v>
      </c>
      <c r="S369" t="str">
        <f>IF(Table1[[#This Row],[Calculated_SLA]]=Table1[[#This Row],[SLA_Met]],"Match","Mismatch")</f>
        <v>Match</v>
      </c>
      <c r="T369">
        <f>IF(Table1[[#This Row],[Calculated_SLA]]="Yes",1,0)</f>
        <v>0</v>
      </c>
      <c r="U369" t="str">
        <f>IF(COUNTIFS(Reference_data!A:A,Table1[[#This Row],[Category]],Reference_data!B:B,Table1[[#This Row],[Sub_Category]])&gt;0,"Valid","Invalid")</f>
        <v>Valid</v>
      </c>
      <c r="V369" t="str">
        <f>_xlfn.XLOOKUP([1]!Table1[[#This Row],[Sub_Category]],[1]Reference_data!B:B,[1]Reference_data!A:A)</f>
        <v>Hardware &amp; Mechanical</v>
      </c>
      <c r="W369" t="str">
        <f>IF([1]!Table1[[#This Row],[Category]]=[1]!Table1[[#This Row],[Expected_Category ]],"Valid", "invalid")</f>
        <v>Valid</v>
      </c>
    </row>
    <row r="370" spans="1:23">
      <c r="A370" t="s">
        <v>1170</v>
      </c>
      <c r="B370" t="s">
        <v>41</v>
      </c>
      <c r="C370" s="31" t="s">
        <v>1171</v>
      </c>
      <c r="D370" s="32" t="s">
        <v>1172</v>
      </c>
      <c r="E370" t="s">
        <v>44</v>
      </c>
      <c r="F370" t="s">
        <v>109</v>
      </c>
      <c r="G370" t="s">
        <v>54</v>
      </c>
      <c r="H370" t="s">
        <v>64</v>
      </c>
      <c r="I370" t="s">
        <v>48</v>
      </c>
      <c r="J370">
        <v>2.6</v>
      </c>
      <c r="K370">
        <v>4</v>
      </c>
      <c r="L370" t="s">
        <v>26</v>
      </c>
      <c r="M370">
        <v>5</v>
      </c>
      <c r="N370" t="s">
        <v>27</v>
      </c>
      <c r="O370" t="s">
        <v>28</v>
      </c>
      <c r="P370" t="s">
        <v>29</v>
      </c>
      <c r="Q370" t="s">
        <v>39</v>
      </c>
      <c r="R370" t="str">
        <f>IF(Table1[[#This Row],[Resolution_Time_Hrs]]&gt;Table1[[#This Row],[SLA_Target_Hrs]],"No", "Yes")</f>
        <v>Yes</v>
      </c>
      <c r="S370" t="str">
        <f>IF(Table1[[#This Row],[Calculated_SLA]]=Table1[[#This Row],[SLA_Met]],"Match","Mismatch")</f>
        <v>Match</v>
      </c>
      <c r="T370">
        <f>IF(Table1[[#This Row],[Calculated_SLA]]="Yes",1,0)</f>
        <v>1</v>
      </c>
      <c r="U370" t="str">
        <f>IF(COUNTIFS(Reference_data!A:A,Table1[[#This Row],[Category]],Reference_data!B:B,Table1[[#This Row],[Sub_Category]])&gt;0,"Valid","Invalid")</f>
        <v>Valid</v>
      </c>
      <c r="V370" t="str">
        <f>_xlfn.XLOOKUP([1]!Table1[[#This Row],[Sub_Category]],[1]Reference_data!B:B,[1]Reference_data!A:A)</f>
        <v>Contract &amp; Billing</v>
      </c>
      <c r="W370" t="str">
        <f>IF([1]!Table1[[#This Row],[Category]]=[1]!Table1[[#This Row],[Expected_Category ]],"Valid", "invalid")</f>
        <v>Valid</v>
      </c>
    </row>
    <row r="371" spans="1:23">
      <c r="A371" t="s">
        <v>1173</v>
      </c>
      <c r="B371" t="s">
        <v>50</v>
      </c>
      <c r="C371" s="31" t="s">
        <v>1174</v>
      </c>
      <c r="D371" s="32" t="s">
        <v>1175</v>
      </c>
      <c r="E371" t="s">
        <v>21</v>
      </c>
      <c r="F371" t="s">
        <v>22</v>
      </c>
      <c r="G371" t="s">
        <v>46</v>
      </c>
      <c r="H371" t="s">
        <v>91</v>
      </c>
      <c r="I371" t="s">
        <v>25</v>
      </c>
      <c r="J371">
        <v>9.1</v>
      </c>
      <c r="K371">
        <v>8</v>
      </c>
      <c r="L371" t="s">
        <v>27</v>
      </c>
      <c r="M371">
        <v>1</v>
      </c>
      <c r="N371" t="s">
        <v>26</v>
      </c>
      <c r="O371" t="s">
        <v>28</v>
      </c>
      <c r="P371" t="s">
        <v>57</v>
      </c>
      <c r="Q371" t="s">
        <v>30</v>
      </c>
      <c r="R371" t="str">
        <f>IF(Table1[[#This Row],[Resolution_Time_Hrs]]&gt;Table1[[#This Row],[SLA_Target_Hrs]],"No", "Yes")</f>
        <v>No</v>
      </c>
      <c r="S371" t="str">
        <f>IF(Table1[[#This Row],[Calculated_SLA]]=Table1[[#This Row],[SLA_Met]],"Match","Mismatch")</f>
        <v>Match</v>
      </c>
      <c r="T371">
        <f>IF(Table1[[#This Row],[Calculated_SLA]]="Yes",1,0)</f>
        <v>0</v>
      </c>
      <c r="U371" t="str">
        <f>IF(COUNTIFS(Reference_data!A:A,Table1[[#This Row],[Category]],Reference_data!B:B,Table1[[#This Row],[Sub_Category]])&gt;0,"Valid","Invalid")</f>
        <v>Valid</v>
      </c>
      <c r="V371" t="str">
        <f>_xlfn.XLOOKUP([1]!Table1[[#This Row],[Sub_Category]],[1]Reference_data!B:B,[1]Reference_data!A:A)</f>
        <v>Connectivity &amp; Software</v>
      </c>
      <c r="W371" t="str">
        <f>IF([1]!Table1[[#This Row],[Category]]=[1]!Table1[[#This Row],[Expected_Category ]],"Valid", "invalid")</f>
        <v>Valid</v>
      </c>
    </row>
    <row r="372" spans="1:23">
      <c r="A372" t="s">
        <v>1176</v>
      </c>
      <c r="B372" t="s">
        <v>18</v>
      </c>
      <c r="C372" s="31" t="s">
        <v>1177</v>
      </c>
      <c r="D372" s="32" t="s">
        <v>1178</v>
      </c>
      <c r="E372" t="s">
        <v>78</v>
      </c>
      <c r="F372" t="s">
        <v>191</v>
      </c>
      <c r="G372" t="s">
        <v>23</v>
      </c>
      <c r="H372" t="s">
        <v>55</v>
      </c>
      <c r="I372" t="s">
        <v>38</v>
      </c>
      <c r="J372">
        <v>12.9</v>
      </c>
      <c r="K372">
        <v>24</v>
      </c>
      <c r="L372" t="s">
        <v>26</v>
      </c>
      <c r="M372">
        <v>4</v>
      </c>
      <c r="N372" t="s">
        <v>27</v>
      </c>
      <c r="O372" t="s">
        <v>28</v>
      </c>
      <c r="P372" t="s">
        <v>29</v>
      </c>
      <c r="Q372" t="s">
        <v>58</v>
      </c>
      <c r="R372" t="str">
        <f>IF(Table1[[#This Row],[Resolution_Time_Hrs]]&gt;Table1[[#This Row],[SLA_Target_Hrs]],"No", "Yes")</f>
        <v>Yes</v>
      </c>
      <c r="S372" t="str">
        <f>IF(Table1[[#This Row],[Calculated_SLA]]=Table1[[#This Row],[SLA_Met]],"Match","Mismatch")</f>
        <v>Match</v>
      </c>
      <c r="T372">
        <f>IF(Table1[[#This Row],[Calculated_SLA]]="Yes",1,0)</f>
        <v>1</v>
      </c>
      <c r="U372" t="str">
        <f>IF(COUNTIFS(Reference_data!A:A,Table1[[#This Row],[Category]],Reference_data!B:B,Table1[[#This Row],[Sub_Category]])&gt;0,"Valid","Invalid")</f>
        <v>Valid</v>
      </c>
      <c r="V372" t="str">
        <f>_xlfn.XLOOKUP([1]!Table1[[#This Row],[Sub_Category]],[1]Reference_data!B:B,[1]Reference_data!A:A)</f>
        <v>Hardware &amp; Mechanical</v>
      </c>
      <c r="W372" t="str">
        <f>IF([1]!Table1[[#This Row],[Category]]=[1]!Table1[[#This Row],[Expected_Category ]],"Valid", "invalid")</f>
        <v>Valid</v>
      </c>
    </row>
    <row r="373" spans="1:23">
      <c r="A373" t="s">
        <v>1179</v>
      </c>
      <c r="B373" t="s">
        <v>32</v>
      </c>
      <c r="C373" s="31" t="s">
        <v>1180</v>
      </c>
      <c r="D373" s="32" t="s">
        <v>1181</v>
      </c>
      <c r="E373" t="s">
        <v>35</v>
      </c>
      <c r="F373" t="s">
        <v>53</v>
      </c>
      <c r="G373" t="s">
        <v>46</v>
      </c>
      <c r="H373" t="s">
        <v>234</v>
      </c>
      <c r="I373" t="s">
        <v>56</v>
      </c>
      <c r="J373">
        <v>10.5</v>
      </c>
      <c r="K373">
        <v>8</v>
      </c>
      <c r="L373" t="s">
        <v>27</v>
      </c>
      <c r="M373">
        <v>1</v>
      </c>
      <c r="N373" t="s">
        <v>26</v>
      </c>
      <c r="O373" t="s">
        <v>28</v>
      </c>
      <c r="P373" t="s">
        <v>57</v>
      </c>
      <c r="Q373" t="s">
        <v>101</v>
      </c>
      <c r="R373" t="str">
        <f>IF(Table1[[#This Row],[Resolution_Time_Hrs]]&gt;Table1[[#This Row],[SLA_Target_Hrs]],"No", "Yes")</f>
        <v>No</v>
      </c>
      <c r="S373" t="str">
        <f>IF(Table1[[#This Row],[Calculated_SLA]]=Table1[[#This Row],[SLA_Met]],"Match","Mismatch")</f>
        <v>Match</v>
      </c>
      <c r="T373">
        <f>IF(Table1[[#This Row],[Calculated_SLA]]="Yes",1,0)</f>
        <v>0</v>
      </c>
      <c r="U373" t="str">
        <f>IF(COUNTIFS(Reference_data!A:A,Table1[[#This Row],[Category]],Reference_data!B:B,Table1[[#This Row],[Sub_Category]])&gt;0,"Valid","Invalid")</f>
        <v>Valid</v>
      </c>
      <c r="V373" t="str">
        <f>_xlfn.XLOOKUP([1]!Table1[[#This Row],[Sub_Category]],[1]Reference_data!B:B,[1]Reference_data!A:A)</f>
        <v>Print Quality</v>
      </c>
      <c r="W373" t="str">
        <f>IF([1]!Table1[[#This Row],[Category]]=[1]!Table1[[#This Row],[Expected_Category ]],"Valid", "invalid")</f>
        <v>Valid</v>
      </c>
    </row>
    <row r="374" spans="1:23">
      <c r="A374" t="s">
        <v>1182</v>
      </c>
      <c r="B374" t="s">
        <v>60</v>
      </c>
      <c r="C374" s="31" t="s">
        <v>1183</v>
      </c>
      <c r="D374" s="32" t="s">
        <v>1184</v>
      </c>
      <c r="E374" t="s">
        <v>35</v>
      </c>
      <c r="F374" t="s">
        <v>53</v>
      </c>
      <c r="G374" t="s">
        <v>46</v>
      </c>
      <c r="H374" t="s">
        <v>55</v>
      </c>
      <c r="I374" t="s">
        <v>56</v>
      </c>
      <c r="J374">
        <v>8.8000000000000007</v>
      </c>
      <c r="K374">
        <v>8</v>
      </c>
      <c r="L374" t="s">
        <v>27</v>
      </c>
      <c r="M374">
        <v>1</v>
      </c>
      <c r="N374" t="s">
        <v>26</v>
      </c>
      <c r="O374" t="s">
        <v>28</v>
      </c>
      <c r="P374" t="s">
        <v>1670</v>
      </c>
      <c r="Q374" t="s">
        <v>30</v>
      </c>
      <c r="R374" t="str">
        <f>IF(Table1[[#This Row],[Resolution_Time_Hrs]]&gt;Table1[[#This Row],[SLA_Target_Hrs]],"No", "Yes")</f>
        <v>No</v>
      </c>
      <c r="S374" t="str">
        <f>IF(Table1[[#This Row],[Calculated_SLA]]=Table1[[#This Row],[SLA_Met]],"Match","Mismatch")</f>
        <v>Match</v>
      </c>
      <c r="T374">
        <f>IF(Table1[[#This Row],[Calculated_SLA]]="Yes",1,0)</f>
        <v>0</v>
      </c>
      <c r="U374" t="str">
        <f>IF(COUNTIFS(Reference_data!A:A,Table1[[#This Row],[Category]],Reference_data!B:B,Table1[[#This Row],[Sub_Category]])&gt;0,"Valid","Invalid")</f>
        <v>Valid</v>
      </c>
      <c r="V374" t="str">
        <f>_xlfn.XLOOKUP([1]!Table1[[#This Row],[Sub_Category]],[1]Reference_data!B:B,[1]Reference_data!A:A)</f>
        <v>Print Quality</v>
      </c>
      <c r="W374" t="str">
        <f>IF([1]!Table1[[#This Row],[Category]]=[1]!Table1[[#This Row],[Expected_Category ]],"Valid", "invalid")</f>
        <v>Valid</v>
      </c>
    </row>
    <row r="375" spans="1:23">
      <c r="A375" t="s">
        <v>1185</v>
      </c>
      <c r="B375" t="s">
        <v>41</v>
      </c>
      <c r="C375" s="31" t="s">
        <v>1186</v>
      </c>
      <c r="D375" s="32" t="s">
        <v>1187</v>
      </c>
      <c r="E375" t="s">
        <v>35</v>
      </c>
      <c r="F375" t="s">
        <v>53</v>
      </c>
      <c r="G375" t="s">
        <v>23</v>
      </c>
      <c r="H375" t="s">
        <v>24</v>
      </c>
      <c r="I375" t="s">
        <v>56</v>
      </c>
      <c r="J375">
        <v>17.7</v>
      </c>
      <c r="K375">
        <v>24</v>
      </c>
      <c r="L375" t="s">
        <v>26</v>
      </c>
      <c r="M375">
        <v>4</v>
      </c>
      <c r="N375" t="s">
        <v>27</v>
      </c>
      <c r="O375" t="s">
        <v>28</v>
      </c>
      <c r="P375" t="s">
        <v>29</v>
      </c>
      <c r="Q375" t="s">
        <v>58</v>
      </c>
      <c r="R375" t="str">
        <f>IF(Table1[[#This Row],[Resolution_Time_Hrs]]&gt;Table1[[#This Row],[SLA_Target_Hrs]],"No", "Yes")</f>
        <v>Yes</v>
      </c>
      <c r="S375" t="str">
        <f>IF(Table1[[#This Row],[Calculated_SLA]]=Table1[[#This Row],[SLA_Met]],"Match","Mismatch")</f>
        <v>Match</v>
      </c>
      <c r="T375">
        <f>IF(Table1[[#This Row],[Calculated_SLA]]="Yes",1,0)</f>
        <v>1</v>
      </c>
      <c r="U375" t="str">
        <f>IF(COUNTIFS(Reference_data!A:A,Table1[[#This Row],[Category]],Reference_data!B:B,Table1[[#This Row],[Sub_Category]])&gt;0,"Valid","Invalid")</f>
        <v>Valid</v>
      </c>
      <c r="V375" t="str">
        <f>_xlfn.XLOOKUP([1]!Table1[[#This Row],[Sub_Category]],[1]Reference_data!B:B,[1]Reference_data!A:A)</f>
        <v>Print Quality</v>
      </c>
      <c r="W375" t="str">
        <f>IF([1]!Table1[[#This Row],[Category]]=[1]!Table1[[#This Row],[Expected_Category ]],"Valid", "invalid")</f>
        <v>Valid</v>
      </c>
    </row>
    <row r="376" spans="1:23">
      <c r="A376" t="s">
        <v>1188</v>
      </c>
      <c r="B376" t="s">
        <v>32</v>
      </c>
      <c r="C376" s="31" t="s">
        <v>1189</v>
      </c>
      <c r="D376" s="32" t="s">
        <v>1190</v>
      </c>
      <c r="E376" t="s">
        <v>78</v>
      </c>
      <c r="F376" t="s">
        <v>191</v>
      </c>
      <c r="G376" t="s">
        <v>46</v>
      </c>
      <c r="H376" t="s">
        <v>37</v>
      </c>
      <c r="I376" t="s">
        <v>38</v>
      </c>
      <c r="J376">
        <v>8.9</v>
      </c>
      <c r="K376">
        <v>8</v>
      </c>
      <c r="L376" t="s">
        <v>27</v>
      </c>
      <c r="M376">
        <v>3</v>
      </c>
      <c r="N376" t="s">
        <v>26</v>
      </c>
      <c r="O376" t="s">
        <v>28</v>
      </c>
      <c r="P376" t="s">
        <v>57</v>
      </c>
      <c r="Q376" t="s">
        <v>58</v>
      </c>
      <c r="R376" t="str">
        <f>IF(Table1[[#This Row],[Resolution_Time_Hrs]]&gt;Table1[[#This Row],[SLA_Target_Hrs]],"No", "Yes")</f>
        <v>No</v>
      </c>
      <c r="S376" t="str">
        <f>IF(Table1[[#This Row],[Calculated_SLA]]=Table1[[#This Row],[SLA_Met]],"Match","Mismatch")</f>
        <v>Match</v>
      </c>
      <c r="T376">
        <f>IF(Table1[[#This Row],[Calculated_SLA]]="Yes",1,0)</f>
        <v>0</v>
      </c>
      <c r="U376" t="str">
        <f>IF(COUNTIFS(Reference_data!A:A,Table1[[#This Row],[Category]],Reference_data!B:B,Table1[[#This Row],[Sub_Category]])&gt;0,"Valid","Invalid")</f>
        <v>Valid</v>
      </c>
      <c r="V376" t="str">
        <f>_xlfn.XLOOKUP([1]!Table1[[#This Row],[Sub_Category]],[1]Reference_data!B:B,[1]Reference_data!A:A)</f>
        <v>Hardware &amp; Mechanical</v>
      </c>
      <c r="W376" t="str">
        <f>IF([1]!Table1[[#This Row],[Category]]=[1]!Table1[[#This Row],[Expected_Category ]],"Valid", "invalid")</f>
        <v>Valid</v>
      </c>
    </row>
    <row r="377" spans="1:23">
      <c r="A377" t="s">
        <v>1191</v>
      </c>
      <c r="B377" t="s">
        <v>75</v>
      </c>
      <c r="C377" s="31" t="s">
        <v>1192</v>
      </c>
      <c r="D377" s="32" t="s">
        <v>1193</v>
      </c>
      <c r="E377" t="s">
        <v>44</v>
      </c>
      <c r="F377" t="s">
        <v>45</v>
      </c>
      <c r="G377" t="s">
        <v>23</v>
      </c>
      <c r="H377" t="s">
        <v>55</v>
      </c>
      <c r="I377" t="s">
        <v>48</v>
      </c>
      <c r="J377">
        <v>3.2</v>
      </c>
      <c r="K377">
        <v>24</v>
      </c>
      <c r="L377" t="s">
        <v>26</v>
      </c>
      <c r="M377">
        <v>5</v>
      </c>
      <c r="N377" t="s">
        <v>27</v>
      </c>
      <c r="O377" t="s">
        <v>28</v>
      </c>
      <c r="P377" t="s">
        <v>29</v>
      </c>
      <c r="Q377" t="s">
        <v>39</v>
      </c>
      <c r="R377" t="str">
        <f>IF(Table1[[#This Row],[Resolution_Time_Hrs]]&gt;Table1[[#This Row],[SLA_Target_Hrs]],"No", "Yes")</f>
        <v>Yes</v>
      </c>
      <c r="S377" t="str">
        <f>IF(Table1[[#This Row],[Calculated_SLA]]=Table1[[#This Row],[SLA_Met]],"Match","Mismatch")</f>
        <v>Match</v>
      </c>
      <c r="T377">
        <f>IF(Table1[[#This Row],[Calculated_SLA]]="Yes",1,0)</f>
        <v>1</v>
      </c>
      <c r="U377" t="str">
        <f>IF(COUNTIFS(Reference_data!A:A,Table1[[#This Row],[Category]],Reference_data!B:B,Table1[[#This Row],[Sub_Category]])&gt;0,"Valid","Invalid")</f>
        <v>Valid</v>
      </c>
      <c r="V377" t="str">
        <f>_xlfn.XLOOKUP([1]!Table1[[#This Row],[Sub_Category]],[1]Reference_data!B:B,[1]Reference_data!A:A)</f>
        <v>Contract &amp; Billing</v>
      </c>
      <c r="W377" t="str">
        <f>IF([1]!Table1[[#This Row],[Category]]=[1]!Table1[[#This Row],[Expected_Category ]],"Valid", "invalid")</f>
        <v>Valid</v>
      </c>
    </row>
    <row r="378" spans="1:23">
      <c r="A378" t="s">
        <v>1194</v>
      </c>
      <c r="B378" t="s">
        <v>75</v>
      </c>
      <c r="C378" s="31" t="s">
        <v>1195</v>
      </c>
      <c r="D378" s="32" t="s">
        <v>1196</v>
      </c>
      <c r="E378" t="s">
        <v>21</v>
      </c>
      <c r="F378" t="s">
        <v>63</v>
      </c>
      <c r="G378" t="s">
        <v>46</v>
      </c>
      <c r="H378" t="s">
        <v>91</v>
      </c>
      <c r="I378" t="s">
        <v>25</v>
      </c>
      <c r="J378">
        <v>15.9</v>
      </c>
      <c r="K378">
        <v>8</v>
      </c>
      <c r="L378" t="s">
        <v>27</v>
      </c>
      <c r="M378">
        <v>2</v>
      </c>
      <c r="N378" t="s">
        <v>26</v>
      </c>
      <c r="O378" t="s">
        <v>28</v>
      </c>
      <c r="P378" t="s">
        <v>1670</v>
      </c>
      <c r="Q378" t="s">
        <v>39</v>
      </c>
      <c r="R378" t="str">
        <f>IF(Table1[[#This Row],[Resolution_Time_Hrs]]&gt;Table1[[#This Row],[SLA_Target_Hrs]],"No", "Yes")</f>
        <v>No</v>
      </c>
      <c r="S378" t="str">
        <f>IF(Table1[[#This Row],[Calculated_SLA]]=Table1[[#This Row],[SLA_Met]],"Match","Mismatch")</f>
        <v>Match</v>
      </c>
      <c r="T378">
        <f>IF(Table1[[#This Row],[Calculated_SLA]]="Yes",1,0)</f>
        <v>0</v>
      </c>
      <c r="U378" t="str">
        <f>IF(COUNTIFS(Reference_data!A:A,Table1[[#This Row],[Category]],Reference_data!B:B,Table1[[#This Row],[Sub_Category]])&gt;0,"Valid","Invalid")</f>
        <v>Valid</v>
      </c>
      <c r="V378" t="str">
        <f>_xlfn.XLOOKUP([1]!Table1[[#This Row],[Sub_Category]],[1]Reference_data!B:B,[1]Reference_data!A:A)</f>
        <v>Connectivity &amp; Software</v>
      </c>
      <c r="W378" t="str">
        <f>IF([1]!Table1[[#This Row],[Category]]=[1]!Table1[[#This Row],[Expected_Category ]],"Valid", "invalid")</f>
        <v>Valid</v>
      </c>
    </row>
    <row r="379" spans="1:23">
      <c r="A379" t="s">
        <v>1197</v>
      </c>
      <c r="B379" t="s">
        <v>135</v>
      </c>
      <c r="C379" s="31" t="s">
        <v>1198</v>
      </c>
      <c r="D379" s="32" t="s">
        <v>1199</v>
      </c>
      <c r="E379" t="s">
        <v>21</v>
      </c>
      <c r="F379" t="s">
        <v>69</v>
      </c>
      <c r="G379" t="s">
        <v>23</v>
      </c>
      <c r="H379" t="s">
        <v>64</v>
      </c>
      <c r="I379" t="s">
        <v>25</v>
      </c>
      <c r="J379">
        <v>10.5</v>
      </c>
      <c r="K379">
        <v>24</v>
      </c>
      <c r="L379" t="s">
        <v>26</v>
      </c>
      <c r="M379">
        <v>4</v>
      </c>
      <c r="N379" t="s">
        <v>27</v>
      </c>
      <c r="O379" t="s">
        <v>28</v>
      </c>
      <c r="P379" t="s">
        <v>29</v>
      </c>
      <c r="Q379" t="s">
        <v>39</v>
      </c>
      <c r="R379" t="str">
        <f>IF(Table1[[#This Row],[Resolution_Time_Hrs]]&gt;Table1[[#This Row],[SLA_Target_Hrs]],"No", "Yes")</f>
        <v>Yes</v>
      </c>
      <c r="S379" t="str">
        <f>IF(Table1[[#This Row],[Calculated_SLA]]=Table1[[#This Row],[SLA_Met]],"Match","Mismatch")</f>
        <v>Match</v>
      </c>
      <c r="T379">
        <f>IF(Table1[[#This Row],[Calculated_SLA]]="Yes",1,0)</f>
        <v>1</v>
      </c>
      <c r="U379" t="str">
        <f>IF(COUNTIFS(Reference_data!A:A,Table1[[#This Row],[Category]],Reference_data!B:B,Table1[[#This Row],[Sub_Category]])&gt;0,"Valid","Invalid")</f>
        <v>Valid</v>
      </c>
      <c r="V379" t="str">
        <f>_xlfn.XLOOKUP([1]!Table1[[#This Row],[Sub_Category]],[1]Reference_data!B:B,[1]Reference_data!A:A)</f>
        <v>Connectivity &amp; Software</v>
      </c>
      <c r="W379" t="str">
        <f>IF([1]!Table1[[#This Row],[Category]]=[1]!Table1[[#This Row],[Expected_Category ]],"Valid", "invalid")</f>
        <v>Valid</v>
      </c>
    </row>
    <row r="380" spans="1:23">
      <c r="A380" t="s">
        <v>1200</v>
      </c>
      <c r="B380" t="s">
        <v>32</v>
      </c>
      <c r="C380" s="31" t="s">
        <v>1201</v>
      </c>
      <c r="D380" s="32" t="s">
        <v>1202</v>
      </c>
      <c r="E380" t="s">
        <v>78</v>
      </c>
      <c r="F380" t="s">
        <v>166</v>
      </c>
      <c r="G380" t="s">
        <v>54</v>
      </c>
      <c r="H380" t="s">
        <v>37</v>
      </c>
      <c r="I380" t="s">
        <v>80</v>
      </c>
      <c r="J380">
        <v>17.399999999999999</v>
      </c>
      <c r="K380">
        <v>4</v>
      </c>
      <c r="L380" t="s">
        <v>27</v>
      </c>
      <c r="M380">
        <v>2</v>
      </c>
      <c r="N380" t="s">
        <v>26</v>
      </c>
      <c r="O380" t="s">
        <v>28</v>
      </c>
      <c r="P380" t="s">
        <v>57</v>
      </c>
      <c r="Q380" t="s">
        <v>58</v>
      </c>
      <c r="R380" t="str">
        <f>IF(Table1[[#This Row],[Resolution_Time_Hrs]]&gt;Table1[[#This Row],[SLA_Target_Hrs]],"No", "Yes")</f>
        <v>No</v>
      </c>
      <c r="S380" t="str">
        <f>IF(Table1[[#This Row],[Calculated_SLA]]=Table1[[#This Row],[SLA_Met]],"Match","Mismatch")</f>
        <v>Match</v>
      </c>
      <c r="T380">
        <f>IF(Table1[[#This Row],[Calculated_SLA]]="Yes",1,0)</f>
        <v>0</v>
      </c>
      <c r="U380" t="str">
        <f>IF(COUNTIFS(Reference_data!A:A,Table1[[#This Row],[Category]],Reference_data!B:B,Table1[[#This Row],[Sub_Category]])&gt;0,"Valid","Invalid")</f>
        <v>Valid</v>
      </c>
      <c r="V380" t="str">
        <f>_xlfn.XLOOKUP([1]!Table1[[#This Row],[Sub_Category]],[1]Reference_data!B:B,[1]Reference_data!A:A)</f>
        <v>Hardware &amp; Mechanical</v>
      </c>
      <c r="W380" t="str">
        <f>IF([1]!Table1[[#This Row],[Category]]=[1]!Table1[[#This Row],[Expected_Category ]],"Valid", "invalid")</f>
        <v>Valid</v>
      </c>
    </row>
    <row r="381" spans="1:23">
      <c r="A381" t="s">
        <v>1203</v>
      </c>
      <c r="B381" t="s">
        <v>32</v>
      </c>
      <c r="C381" s="31" t="s">
        <v>1204</v>
      </c>
      <c r="D381" s="32" t="s">
        <v>1205</v>
      </c>
      <c r="E381" t="s">
        <v>21</v>
      </c>
      <c r="F381" t="s">
        <v>22</v>
      </c>
      <c r="G381" t="s">
        <v>23</v>
      </c>
      <c r="H381" t="s">
        <v>55</v>
      </c>
      <c r="I381" t="s">
        <v>25</v>
      </c>
      <c r="J381">
        <v>14.8</v>
      </c>
      <c r="K381">
        <v>24</v>
      </c>
      <c r="L381" t="s">
        <v>26</v>
      </c>
      <c r="M381">
        <v>4</v>
      </c>
      <c r="N381" t="s">
        <v>27</v>
      </c>
      <c r="O381" t="s">
        <v>28</v>
      </c>
      <c r="P381" t="s">
        <v>29</v>
      </c>
      <c r="Q381" t="s">
        <v>101</v>
      </c>
      <c r="R381" t="str">
        <f>IF(Table1[[#This Row],[Resolution_Time_Hrs]]&gt;Table1[[#This Row],[SLA_Target_Hrs]],"No", "Yes")</f>
        <v>Yes</v>
      </c>
      <c r="S381" t="str">
        <f>IF(Table1[[#This Row],[Calculated_SLA]]=Table1[[#This Row],[SLA_Met]],"Match","Mismatch")</f>
        <v>Match</v>
      </c>
      <c r="T381">
        <f>IF(Table1[[#This Row],[Calculated_SLA]]="Yes",1,0)</f>
        <v>1</v>
      </c>
      <c r="U381" t="str">
        <f>IF(COUNTIFS(Reference_data!A:A,Table1[[#This Row],[Category]],Reference_data!B:B,Table1[[#This Row],[Sub_Category]])&gt;0,"Valid","Invalid")</f>
        <v>Valid</v>
      </c>
      <c r="V381" t="str">
        <f>_xlfn.XLOOKUP([1]!Table1[[#This Row],[Sub_Category]],[1]Reference_data!B:B,[1]Reference_data!A:A)</f>
        <v>Connectivity &amp; Software</v>
      </c>
      <c r="W381" t="str">
        <f>IF([1]!Table1[[#This Row],[Category]]=[1]!Table1[[#This Row],[Expected_Category ]],"Valid", "invalid")</f>
        <v>Valid</v>
      </c>
    </row>
    <row r="382" spans="1:23">
      <c r="A382" t="s">
        <v>1206</v>
      </c>
      <c r="B382" t="s">
        <v>66</v>
      </c>
      <c r="C382" s="31" t="s">
        <v>1207</v>
      </c>
      <c r="D382" s="32" t="s">
        <v>1208</v>
      </c>
      <c r="E382" t="s">
        <v>78</v>
      </c>
      <c r="F382" t="s">
        <v>166</v>
      </c>
      <c r="G382" t="s">
        <v>46</v>
      </c>
      <c r="H382" t="s">
        <v>86</v>
      </c>
      <c r="I382" t="s">
        <v>80</v>
      </c>
      <c r="J382">
        <v>17.899999999999999</v>
      </c>
      <c r="K382">
        <v>8</v>
      </c>
      <c r="L382" t="s">
        <v>27</v>
      </c>
      <c r="M382">
        <v>1</v>
      </c>
      <c r="N382" t="s">
        <v>26</v>
      </c>
      <c r="O382" t="s">
        <v>28</v>
      </c>
      <c r="P382" t="s">
        <v>1670</v>
      </c>
      <c r="Q382" t="s">
        <v>30</v>
      </c>
      <c r="R382" t="str">
        <f>IF(Table1[[#This Row],[Resolution_Time_Hrs]]&gt;Table1[[#This Row],[SLA_Target_Hrs]],"No", "Yes")</f>
        <v>No</v>
      </c>
      <c r="S382" t="str">
        <f>IF(Table1[[#This Row],[Calculated_SLA]]=Table1[[#This Row],[SLA_Met]],"Match","Mismatch")</f>
        <v>Match</v>
      </c>
      <c r="T382">
        <f>IF(Table1[[#This Row],[Calculated_SLA]]="Yes",1,0)</f>
        <v>0</v>
      </c>
      <c r="U382" t="str">
        <f>IF(COUNTIFS(Reference_data!A:A,Table1[[#This Row],[Category]],Reference_data!B:B,Table1[[#This Row],[Sub_Category]])&gt;0,"Valid","Invalid")</f>
        <v>Valid</v>
      </c>
      <c r="V382" t="str">
        <f>_xlfn.XLOOKUP([1]!Table1[[#This Row],[Sub_Category]],[1]Reference_data!B:B,[1]Reference_data!A:A)</f>
        <v>Hardware &amp; Mechanical</v>
      </c>
      <c r="W382" t="str">
        <f>IF([1]!Table1[[#This Row],[Category]]=[1]!Table1[[#This Row],[Expected_Category ]],"Valid", "invalid")</f>
        <v>Valid</v>
      </c>
    </row>
    <row r="383" spans="1:23">
      <c r="A383" t="s">
        <v>1209</v>
      </c>
      <c r="B383" t="s">
        <v>60</v>
      </c>
      <c r="C383" s="31" t="s">
        <v>1210</v>
      </c>
      <c r="D383" s="32" t="s">
        <v>1211</v>
      </c>
      <c r="E383" t="s">
        <v>35</v>
      </c>
      <c r="F383" t="s">
        <v>36</v>
      </c>
      <c r="G383" t="s">
        <v>54</v>
      </c>
      <c r="H383" t="s">
        <v>234</v>
      </c>
      <c r="I383" t="s">
        <v>38</v>
      </c>
      <c r="J383">
        <v>7.7</v>
      </c>
      <c r="K383">
        <v>4</v>
      </c>
      <c r="L383" t="s">
        <v>27</v>
      </c>
      <c r="M383">
        <v>3</v>
      </c>
      <c r="N383" t="s">
        <v>27</v>
      </c>
      <c r="O383" t="s">
        <v>28</v>
      </c>
      <c r="P383" t="s">
        <v>1670</v>
      </c>
      <c r="Q383" t="s">
        <v>30</v>
      </c>
      <c r="R383" t="str">
        <f>IF(Table1[[#This Row],[Resolution_Time_Hrs]]&gt;Table1[[#This Row],[SLA_Target_Hrs]],"No", "Yes")</f>
        <v>No</v>
      </c>
      <c r="S383" t="str">
        <f>IF(Table1[[#This Row],[Calculated_SLA]]=Table1[[#This Row],[SLA_Met]],"Match","Mismatch")</f>
        <v>Match</v>
      </c>
      <c r="T383">
        <f>IF(Table1[[#This Row],[Calculated_SLA]]="Yes",1,0)</f>
        <v>0</v>
      </c>
      <c r="U383" t="str">
        <f>IF(COUNTIFS(Reference_data!A:A,Table1[[#This Row],[Category]],Reference_data!B:B,Table1[[#This Row],[Sub_Category]])&gt;0,"Valid","Invalid")</f>
        <v>Valid</v>
      </c>
      <c r="V383" t="str">
        <f>_xlfn.XLOOKUP([1]!Table1[[#This Row],[Sub_Category]],[1]Reference_data!B:B,[1]Reference_data!A:A)</f>
        <v>Print Quality</v>
      </c>
      <c r="W383" t="str">
        <f>IF([1]!Table1[[#This Row],[Category]]=[1]!Table1[[#This Row],[Expected_Category ]],"Valid", "invalid")</f>
        <v>Valid</v>
      </c>
    </row>
    <row r="384" spans="1:23">
      <c r="A384" t="s">
        <v>1212</v>
      </c>
      <c r="B384" t="s">
        <v>50</v>
      </c>
      <c r="C384" s="31" t="s">
        <v>1213</v>
      </c>
      <c r="D384" s="32" t="s">
        <v>1214</v>
      </c>
      <c r="E384" t="s">
        <v>84</v>
      </c>
      <c r="F384" t="s">
        <v>116</v>
      </c>
      <c r="G384" t="s">
        <v>54</v>
      </c>
      <c r="H384" t="s">
        <v>86</v>
      </c>
      <c r="I384" t="s">
        <v>87</v>
      </c>
      <c r="J384">
        <v>4.9000000000000004</v>
      </c>
      <c r="K384">
        <v>4</v>
      </c>
      <c r="L384" t="s">
        <v>27</v>
      </c>
      <c r="M384">
        <v>3</v>
      </c>
      <c r="N384" t="s">
        <v>27</v>
      </c>
      <c r="O384" t="s">
        <v>28</v>
      </c>
      <c r="P384" t="s">
        <v>1670</v>
      </c>
      <c r="Q384" t="s">
        <v>39</v>
      </c>
      <c r="R384" t="str">
        <f>IF(Table1[[#This Row],[Resolution_Time_Hrs]]&gt;Table1[[#This Row],[SLA_Target_Hrs]],"No", "Yes")</f>
        <v>No</v>
      </c>
      <c r="S384" t="str">
        <f>IF(Table1[[#This Row],[Calculated_SLA]]=Table1[[#This Row],[SLA_Met]],"Match","Mismatch")</f>
        <v>Match</v>
      </c>
      <c r="T384">
        <f>IF(Table1[[#This Row],[Calculated_SLA]]="Yes",1,0)</f>
        <v>0</v>
      </c>
      <c r="U384" t="str">
        <f>IF(COUNTIFS(Reference_data!A:A,Table1[[#This Row],[Category]],Reference_data!B:B,Table1[[#This Row],[Sub_Category]])&gt;0,"Valid","Invalid")</f>
        <v>Valid</v>
      </c>
      <c r="V384" t="str">
        <f>_xlfn.XLOOKUP([1]!Table1[[#This Row],[Sub_Category]],[1]Reference_data!B:B,[1]Reference_data!A:A)</f>
        <v>Supplies &amp; Logistics</v>
      </c>
      <c r="W384" t="str">
        <f>IF([1]!Table1[[#This Row],[Category]]=[1]!Table1[[#This Row],[Expected_Category ]],"Valid", "invalid")</f>
        <v>Valid</v>
      </c>
    </row>
    <row r="385" spans="1:23">
      <c r="A385" t="s">
        <v>1215</v>
      </c>
      <c r="B385" t="s">
        <v>60</v>
      </c>
      <c r="C385" s="31" t="s">
        <v>1216</v>
      </c>
      <c r="D385" s="32" t="s">
        <v>1217</v>
      </c>
      <c r="E385" t="s">
        <v>21</v>
      </c>
      <c r="F385" t="s">
        <v>69</v>
      </c>
      <c r="G385" t="s">
        <v>54</v>
      </c>
      <c r="H385" t="s">
        <v>24</v>
      </c>
      <c r="I385" t="s">
        <v>25</v>
      </c>
      <c r="J385">
        <v>17.399999999999999</v>
      </c>
      <c r="K385">
        <v>4</v>
      </c>
      <c r="L385" t="s">
        <v>27</v>
      </c>
      <c r="M385">
        <v>1</v>
      </c>
      <c r="N385" t="s">
        <v>27</v>
      </c>
      <c r="O385" t="s">
        <v>28</v>
      </c>
      <c r="P385" t="s">
        <v>57</v>
      </c>
      <c r="Q385" t="s">
        <v>58</v>
      </c>
      <c r="R385" t="str">
        <f>IF(Table1[[#This Row],[Resolution_Time_Hrs]]&gt;Table1[[#This Row],[SLA_Target_Hrs]],"No", "Yes")</f>
        <v>No</v>
      </c>
      <c r="S385" t="str">
        <f>IF(Table1[[#This Row],[Calculated_SLA]]=Table1[[#This Row],[SLA_Met]],"Match","Mismatch")</f>
        <v>Match</v>
      </c>
      <c r="T385">
        <f>IF(Table1[[#This Row],[Calculated_SLA]]="Yes",1,0)</f>
        <v>0</v>
      </c>
      <c r="U385" t="str">
        <f>IF(COUNTIFS(Reference_data!A:A,Table1[[#This Row],[Category]],Reference_data!B:B,Table1[[#This Row],[Sub_Category]])&gt;0,"Valid","Invalid")</f>
        <v>Valid</v>
      </c>
      <c r="V385" t="str">
        <f>_xlfn.XLOOKUP([1]!Table1[[#This Row],[Sub_Category]],[1]Reference_data!B:B,[1]Reference_data!A:A)</f>
        <v>Connectivity &amp; Software</v>
      </c>
      <c r="W385" t="str">
        <f>IF([1]!Table1[[#This Row],[Category]]=[1]!Table1[[#This Row],[Expected_Category ]],"Valid", "invalid")</f>
        <v>Valid</v>
      </c>
    </row>
    <row r="386" spans="1:23">
      <c r="A386" t="s">
        <v>1218</v>
      </c>
      <c r="B386" t="s">
        <v>75</v>
      </c>
      <c r="C386" s="31" t="s">
        <v>1219</v>
      </c>
      <c r="D386" s="32" t="s">
        <v>1220</v>
      </c>
      <c r="E386" t="s">
        <v>21</v>
      </c>
      <c r="F386" t="s">
        <v>63</v>
      </c>
      <c r="G386" t="s">
        <v>54</v>
      </c>
      <c r="H386" t="s">
        <v>70</v>
      </c>
      <c r="I386" t="s">
        <v>25</v>
      </c>
      <c r="J386">
        <v>14.3</v>
      </c>
      <c r="K386">
        <v>4</v>
      </c>
      <c r="L386" t="s">
        <v>27</v>
      </c>
      <c r="M386">
        <v>3</v>
      </c>
      <c r="N386" t="s">
        <v>26</v>
      </c>
      <c r="O386" t="s">
        <v>28</v>
      </c>
      <c r="P386" t="s">
        <v>1670</v>
      </c>
      <c r="Q386" t="s">
        <v>39</v>
      </c>
      <c r="R386" t="str">
        <f>IF(Table1[[#This Row],[Resolution_Time_Hrs]]&gt;Table1[[#This Row],[SLA_Target_Hrs]],"No", "Yes")</f>
        <v>No</v>
      </c>
      <c r="S386" t="str">
        <f>IF(Table1[[#This Row],[Calculated_SLA]]=Table1[[#This Row],[SLA_Met]],"Match","Mismatch")</f>
        <v>Match</v>
      </c>
      <c r="T386">
        <f>IF(Table1[[#This Row],[Calculated_SLA]]="Yes",1,0)</f>
        <v>0</v>
      </c>
      <c r="U386" t="str">
        <f>IF(COUNTIFS(Reference_data!A:A,Table1[[#This Row],[Category]],Reference_data!B:B,Table1[[#This Row],[Sub_Category]])&gt;0,"Valid","Invalid")</f>
        <v>Valid</v>
      </c>
      <c r="V386" t="str">
        <f>_xlfn.XLOOKUP([1]!Table1[[#This Row],[Sub_Category]],[1]Reference_data!B:B,[1]Reference_data!A:A)</f>
        <v>Connectivity &amp; Software</v>
      </c>
      <c r="W386" t="str">
        <f>IF([1]!Table1[[#This Row],[Category]]=[1]!Table1[[#This Row],[Expected_Category ]],"Valid", "invalid")</f>
        <v>Valid</v>
      </c>
    </row>
    <row r="387" spans="1:23">
      <c r="A387" t="s">
        <v>1221</v>
      </c>
      <c r="B387" t="s">
        <v>135</v>
      </c>
      <c r="C387" s="31" t="s">
        <v>1222</v>
      </c>
      <c r="D387" s="32" t="s">
        <v>1223</v>
      </c>
      <c r="E387" t="s">
        <v>84</v>
      </c>
      <c r="F387" t="s">
        <v>116</v>
      </c>
      <c r="G387" t="s">
        <v>46</v>
      </c>
      <c r="H387" t="s">
        <v>138</v>
      </c>
      <c r="I387" t="s">
        <v>87</v>
      </c>
      <c r="J387">
        <v>6.4</v>
      </c>
      <c r="K387">
        <v>8</v>
      </c>
      <c r="L387" t="s">
        <v>26</v>
      </c>
      <c r="M387">
        <v>4</v>
      </c>
      <c r="N387" t="s">
        <v>27</v>
      </c>
      <c r="O387" t="s">
        <v>28</v>
      </c>
      <c r="P387" t="s">
        <v>29</v>
      </c>
      <c r="Q387" t="s">
        <v>101</v>
      </c>
      <c r="R387" t="str">
        <f>IF(Table1[[#This Row],[Resolution_Time_Hrs]]&gt;Table1[[#This Row],[SLA_Target_Hrs]],"No", "Yes")</f>
        <v>Yes</v>
      </c>
      <c r="S387" t="str">
        <f>IF(Table1[[#This Row],[Calculated_SLA]]=Table1[[#This Row],[SLA_Met]],"Match","Mismatch")</f>
        <v>Match</v>
      </c>
      <c r="T387">
        <f>IF(Table1[[#This Row],[Calculated_SLA]]="Yes",1,0)</f>
        <v>1</v>
      </c>
      <c r="U387" t="str">
        <f>IF(COUNTIFS(Reference_data!A:A,Table1[[#This Row],[Category]],Reference_data!B:B,Table1[[#This Row],[Sub_Category]])&gt;0,"Valid","Invalid")</f>
        <v>Valid</v>
      </c>
      <c r="V387" t="str">
        <f>_xlfn.XLOOKUP([1]!Table1[[#This Row],[Sub_Category]],[1]Reference_data!B:B,[1]Reference_data!A:A)</f>
        <v>Supplies &amp; Logistics</v>
      </c>
      <c r="W387" t="str">
        <f>IF([1]!Table1[[#This Row],[Category]]=[1]!Table1[[#This Row],[Expected_Category ]],"Valid", "invalid")</f>
        <v>Valid</v>
      </c>
    </row>
    <row r="388" spans="1:23">
      <c r="A388" t="s">
        <v>1224</v>
      </c>
      <c r="B388" t="s">
        <v>50</v>
      </c>
      <c r="C388" s="31" t="s">
        <v>1225</v>
      </c>
      <c r="D388" s="32" t="s">
        <v>1226</v>
      </c>
      <c r="E388" t="s">
        <v>35</v>
      </c>
      <c r="F388" t="s">
        <v>53</v>
      </c>
      <c r="G388" t="s">
        <v>46</v>
      </c>
      <c r="H388" t="s">
        <v>86</v>
      </c>
      <c r="I388" t="s">
        <v>56</v>
      </c>
      <c r="J388">
        <v>8.1</v>
      </c>
      <c r="K388">
        <v>8</v>
      </c>
      <c r="L388" t="s">
        <v>27</v>
      </c>
      <c r="M388">
        <v>3</v>
      </c>
      <c r="N388" t="s">
        <v>26</v>
      </c>
      <c r="O388" t="s">
        <v>28</v>
      </c>
      <c r="P388" t="s">
        <v>1670</v>
      </c>
      <c r="Q388" t="s">
        <v>30</v>
      </c>
      <c r="R388" t="str">
        <f>IF(Table1[[#This Row],[Resolution_Time_Hrs]]&gt;Table1[[#This Row],[SLA_Target_Hrs]],"No", "Yes")</f>
        <v>No</v>
      </c>
      <c r="S388" t="str">
        <f>IF(Table1[[#This Row],[Calculated_SLA]]=Table1[[#This Row],[SLA_Met]],"Match","Mismatch")</f>
        <v>Match</v>
      </c>
      <c r="T388">
        <f>IF(Table1[[#This Row],[Calculated_SLA]]="Yes",1,0)</f>
        <v>0</v>
      </c>
      <c r="U388" t="str">
        <f>IF(COUNTIFS(Reference_data!A:A,Table1[[#This Row],[Category]],Reference_data!B:B,Table1[[#This Row],[Sub_Category]])&gt;0,"Valid","Invalid")</f>
        <v>Valid</v>
      </c>
      <c r="V388" t="str">
        <f>_xlfn.XLOOKUP([1]!Table1[[#This Row],[Sub_Category]],[1]Reference_data!B:B,[1]Reference_data!A:A)</f>
        <v>Print Quality</v>
      </c>
      <c r="W388" t="str">
        <f>IF([1]!Table1[[#This Row],[Category]]=[1]!Table1[[#This Row],[Expected_Category ]],"Valid", "invalid")</f>
        <v>Valid</v>
      </c>
    </row>
    <row r="389" spans="1:23">
      <c r="A389" t="s">
        <v>1227</v>
      </c>
      <c r="B389" t="s">
        <v>50</v>
      </c>
      <c r="C389" s="31" t="s">
        <v>1228</v>
      </c>
      <c r="D389" s="32" t="s">
        <v>1229</v>
      </c>
      <c r="E389" t="s">
        <v>35</v>
      </c>
      <c r="F389" t="s">
        <v>127</v>
      </c>
      <c r="G389" t="s">
        <v>23</v>
      </c>
      <c r="H389" t="s">
        <v>37</v>
      </c>
      <c r="I389" t="s">
        <v>56</v>
      </c>
      <c r="J389">
        <v>9.1</v>
      </c>
      <c r="K389">
        <v>24</v>
      </c>
      <c r="L389" t="s">
        <v>26</v>
      </c>
      <c r="M389">
        <v>4</v>
      </c>
      <c r="N389" t="s">
        <v>27</v>
      </c>
      <c r="O389" t="s">
        <v>28</v>
      </c>
      <c r="P389" t="s">
        <v>29</v>
      </c>
      <c r="Q389" t="s">
        <v>58</v>
      </c>
      <c r="R389" t="str">
        <f>IF(Table1[[#This Row],[Resolution_Time_Hrs]]&gt;Table1[[#This Row],[SLA_Target_Hrs]],"No", "Yes")</f>
        <v>Yes</v>
      </c>
      <c r="S389" t="str">
        <f>IF(Table1[[#This Row],[Calculated_SLA]]=Table1[[#This Row],[SLA_Met]],"Match","Mismatch")</f>
        <v>Match</v>
      </c>
      <c r="T389">
        <f>IF(Table1[[#This Row],[Calculated_SLA]]="Yes",1,0)</f>
        <v>1</v>
      </c>
      <c r="U389" t="str">
        <f>IF(COUNTIFS(Reference_data!A:A,Table1[[#This Row],[Category]],Reference_data!B:B,Table1[[#This Row],[Sub_Category]])&gt;0,"Valid","Invalid")</f>
        <v>Valid</v>
      </c>
      <c r="V389" t="str">
        <f>_xlfn.XLOOKUP([1]!Table1[[#This Row],[Sub_Category]],[1]Reference_data!B:B,[1]Reference_data!A:A)</f>
        <v>Print Quality</v>
      </c>
      <c r="W389" t="str">
        <f>IF([1]!Table1[[#This Row],[Category]]=[1]!Table1[[#This Row],[Expected_Category ]],"Valid", "invalid")</f>
        <v>Valid</v>
      </c>
    </row>
    <row r="390" spans="1:23">
      <c r="A390" t="s">
        <v>1230</v>
      </c>
      <c r="B390" t="s">
        <v>41</v>
      </c>
      <c r="C390" s="31" t="s">
        <v>1231</v>
      </c>
      <c r="D390" s="32" t="s">
        <v>1232</v>
      </c>
      <c r="E390" t="s">
        <v>35</v>
      </c>
      <c r="F390" t="s">
        <v>36</v>
      </c>
      <c r="G390" t="s">
        <v>54</v>
      </c>
      <c r="H390" t="s">
        <v>47</v>
      </c>
      <c r="I390" t="s">
        <v>38</v>
      </c>
      <c r="J390">
        <v>4.2</v>
      </c>
      <c r="K390">
        <v>4</v>
      </c>
      <c r="L390" t="s">
        <v>27</v>
      </c>
      <c r="M390">
        <v>2</v>
      </c>
      <c r="N390" t="s">
        <v>26</v>
      </c>
      <c r="O390" t="s">
        <v>28</v>
      </c>
      <c r="P390" t="s">
        <v>1670</v>
      </c>
      <c r="Q390" t="s">
        <v>39</v>
      </c>
      <c r="R390" t="str">
        <f>IF(Table1[[#This Row],[Resolution_Time_Hrs]]&gt;Table1[[#This Row],[SLA_Target_Hrs]],"No", "Yes")</f>
        <v>No</v>
      </c>
      <c r="S390" t="str">
        <f>IF(Table1[[#This Row],[Calculated_SLA]]=Table1[[#This Row],[SLA_Met]],"Match","Mismatch")</f>
        <v>Match</v>
      </c>
      <c r="T390">
        <f>IF(Table1[[#This Row],[Calculated_SLA]]="Yes",1,0)</f>
        <v>0</v>
      </c>
      <c r="U390" t="str">
        <f>IF(COUNTIFS(Reference_data!A:A,Table1[[#This Row],[Category]],Reference_data!B:B,Table1[[#This Row],[Sub_Category]])&gt;0,"Valid","Invalid")</f>
        <v>Valid</v>
      </c>
      <c r="V390" t="str">
        <f>_xlfn.XLOOKUP([1]!Table1[[#This Row],[Sub_Category]],[1]Reference_data!B:B,[1]Reference_data!A:A)</f>
        <v>Print Quality</v>
      </c>
      <c r="W390" t="str">
        <f>IF([1]!Table1[[#This Row],[Category]]=[1]!Table1[[#This Row],[Expected_Category ]],"Valid", "invalid")</f>
        <v>Valid</v>
      </c>
    </row>
    <row r="391" spans="1:23">
      <c r="A391" t="s">
        <v>1233</v>
      </c>
      <c r="B391" t="s">
        <v>50</v>
      </c>
      <c r="C391" s="31" t="s">
        <v>1234</v>
      </c>
      <c r="D391" s="32" t="s">
        <v>1235</v>
      </c>
      <c r="E391" t="s">
        <v>78</v>
      </c>
      <c r="F391" t="s">
        <v>166</v>
      </c>
      <c r="G391" t="s">
        <v>23</v>
      </c>
      <c r="H391" t="s">
        <v>138</v>
      </c>
      <c r="I391" t="s">
        <v>80</v>
      </c>
      <c r="J391">
        <v>13.5</v>
      </c>
      <c r="K391">
        <v>24</v>
      </c>
      <c r="L391" t="s">
        <v>26</v>
      </c>
      <c r="M391">
        <v>4</v>
      </c>
      <c r="N391" t="s">
        <v>27</v>
      </c>
      <c r="O391" t="s">
        <v>28</v>
      </c>
      <c r="P391" t="s">
        <v>29</v>
      </c>
      <c r="Q391" t="s">
        <v>39</v>
      </c>
      <c r="R391" t="str">
        <f>IF(Table1[[#This Row],[Resolution_Time_Hrs]]&gt;Table1[[#This Row],[SLA_Target_Hrs]],"No", "Yes")</f>
        <v>Yes</v>
      </c>
      <c r="S391" t="str">
        <f>IF(Table1[[#This Row],[Calculated_SLA]]=Table1[[#This Row],[SLA_Met]],"Match","Mismatch")</f>
        <v>Match</v>
      </c>
      <c r="T391">
        <f>IF(Table1[[#This Row],[Calculated_SLA]]="Yes",1,0)</f>
        <v>1</v>
      </c>
      <c r="U391" t="str">
        <f>IF(COUNTIFS(Reference_data!A:A,Table1[[#This Row],[Category]],Reference_data!B:B,Table1[[#This Row],[Sub_Category]])&gt;0,"Valid","Invalid")</f>
        <v>Valid</v>
      </c>
      <c r="V391" t="str">
        <f>_xlfn.XLOOKUP([1]!Table1[[#This Row],[Sub_Category]],[1]Reference_data!B:B,[1]Reference_data!A:A)</f>
        <v>Hardware &amp; Mechanical</v>
      </c>
      <c r="W391" t="str">
        <f>IF([1]!Table1[[#This Row],[Category]]=[1]!Table1[[#This Row],[Expected_Category ]],"Valid", "invalid")</f>
        <v>Valid</v>
      </c>
    </row>
    <row r="392" spans="1:23">
      <c r="A392" t="s">
        <v>1236</v>
      </c>
      <c r="B392" t="s">
        <v>60</v>
      </c>
      <c r="C392" s="31" t="s">
        <v>1237</v>
      </c>
      <c r="D392" s="32" t="s">
        <v>1238</v>
      </c>
      <c r="E392" t="s">
        <v>21</v>
      </c>
      <c r="F392" t="s">
        <v>63</v>
      </c>
      <c r="G392" t="s">
        <v>46</v>
      </c>
      <c r="H392" t="s">
        <v>55</v>
      </c>
      <c r="I392" t="s">
        <v>25</v>
      </c>
      <c r="J392">
        <v>14.9</v>
      </c>
      <c r="K392">
        <v>8</v>
      </c>
      <c r="L392" t="s">
        <v>27</v>
      </c>
      <c r="M392">
        <v>2</v>
      </c>
      <c r="N392" t="s">
        <v>26</v>
      </c>
      <c r="O392" t="s">
        <v>28</v>
      </c>
      <c r="P392" t="s">
        <v>1670</v>
      </c>
      <c r="Q392" t="s">
        <v>30</v>
      </c>
      <c r="R392" t="str">
        <f>IF(Table1[[#This Row],[Resolution_Time_Hrs]]&gt;Table1[[#This Row],[SLA_Target_Hrs]],"No", "Yes")</f>
        <v>No</v>
      </c>
      <c r="S392" t="str">
        <f>IF(Table1[[#This Row],[Calculated_SLA]]=Table1[[#This Row],[SLA_Met]],"Match","Mismatch")</f>
        <v>Match</v>
      </c>
      <c r="T392">
        <f>IF(Table1[[#This Row],[Calculated_SLA]]="Yes",1,0)</f>
        <v>0</v>
      </c>
      <c r="U392" t="str">
        <f>IF(COUNTIFS(Reference_data!A:A,Table1[[#This Row],[Category]],Reference_data!B:B,Table1[[#This Row],[Sub_Category]])&gt;0,"Valid","Invalid")</f>
        <v>Valid</v>
      </c>
      <c r="V392" t="str">
        <f>_xlfn.XLOOKUP([1]!Table1[[#This Row],[Sub_Category]],[1]Reference_data!B:B,[1]Reference_data!A:A)</f>
        <v>Connectivity &amp; Software</v>
      </c>
      <c r="W392" t="str">
        <f>IF([1]!Table1[[#This Row],[Category]]=[1]!Table1[[#This Row],[Expected_Category ]],"Valid", "invalid")</f>
        <v>Valid</v>
      </c>
    </row>
    <row r="393" spans="1:23">
      <c r="A393" t="s">
        <v>1239</v>
      </c>
      <c r="B393" t="s">
        <v>60</v>
      </c>
      <c r="C393" s="31" t="s">
        <v>1240</v>
      </c>
      <c r="D393" s="32" t="s">
        <v>1241</v>
      </c>
      <c r="E393" t="s">
        <v>35</v>
      </c>
      <c r="F393" t="s">
        <v>53</v>
      </c>
      <c r="G393" t="s">
        <v>46</v>
      </c>
      <c r="H393" t="s">
        <v>64</v>
      </c>
      <c r="I393" t="s">
        <v>56</v>
      </c>
      <c r="J393">
        <v>6.6</v>
      </c>
      <c r="K393">
        <v>8</v>
      </c>
      <c r="L393" t="s">
        <v>26</v>
      </c>
      <c r="M393">
        <v>5</v>
      </c>
      <c r="N393" t="s">
        <v>27</v>
      </c>
      <c r="O393" t="s">
        <v>28</v>
      </c>
      <c r="P393" t="s">
        <v>29</v>
      </c>
      <c r="Q393" t="s">
        <v>58</v>
      </c>
      <c r="R393" t="str">
        <f>IF(Table1[[#This Row],[Resolution_Time_Hrs]]&gt;Table1[[#This Row],[SLA_Target_Hrs]],"No", "Yes")</f>
        <v>Yes</v>
      </c>
      <c r="S393" t="str">
        <f>IF(Table1[[#This Row],[Calculated_SLA]]=Table1[[#This Row],[SLA_Met]],"Match","Mismatch")</f>
        <v>Match</v>
      </c>
      <c r="T393">
        <f>IF(Table1[[#This Row],[Calculated_SLA]]="Yes",1,0)</f>
        <v>1</v>
      </c>
      <c r="U393" t="str">
        <f>IF(COUNTIFS(Reference_data!A:A,Table1[[#This Row],[Category]],Reference_data!B:B,Table1[[#This Row],[Sub_Category]])&gt;0,"Valid","Invalid")</f>
        <v>Valid</v>
      </c>
      <c r="V393" t="str">
        <f>_xlfn.XLOOKUP([1]!Table1[[#This Row],[Sub_Category]],[1]Reference_data!B:B,[1]Reference_data!A:A)</f>
        <v>Print Quality</v>
      </c>
      <c r="W393" t="str">
        <f>IF([1]!Table1[[#This Row],[Category]]=[1]!Table1[[#This Row],[Expected_Category ]],"Valid", "invalid")</f>
        <v>Valid</v>
      </c>
    </row>
    <row r="394" spans="1:23">
      <c r="A394" t="s">
        <v>1242</v>
      </c>
      <c r="B394" t="s">
        <v>50</v>
      </c>
      <c r="C394" s="31" t="s">
        <v>1243</v>
      </c>
      <c r="D394" s="32" t="s">
        <v>1244</v>
      </c>
      <c r="E394" t="s">
        <v>35</v>
      </c>
      <c r="F394" t="s">
        <v>53</v>
      </c>
      <c r="G394" t="s">
        <v>46</v>
      </c>
      <c r="H394" t="s">
        <v>64</v>
      </c>
      <c r="I394" t="s">
        <v>56</v>
      </c>
      <c r="J394">
        <v>6.4</v>
      </c>
      <c r="K394">
        <v>8</v>
      </c>
      <c r="L394" t="s">
        <v>26</v>
      </c>
      <c r="M394">
        <v>4</v>
      </c>
      <c r="N394" t="s">
        <v>27</v>
      </c>
      <c r="O394" t="s">
        <v>28</v>
      </c>
      <c r="P394" t="s">
        <v>29</v>
      </c>
      <c r="Q394" t="s">
        <v>39</v>
      </c>
      <c r="R394" t="str">
        <f>IF(Table1[[#This Row],[Resolution_Time_Hrs]]&gt;Table1[[#This Row],[SLA_Target_Hrs]],"No", "Yes")</f>
        <v>Yes</v>
      </c>
      <c r="S394" t="str">
        <f>IF(Table1[[#This Row],[Calculated_SLA]]=Table1[[#This Row],[SLA_Met]],"Match","Mismatch")</f>
        <v>Match</v>
      </c>
      <c r="T394">
        <f>IF(Table1[[#This Row],[Calculated_SLA]]="Yes",1,0)</f>
        <v>1</v>
      </c>
      <c r="U394" t="str">
        <f>IF(COUNTIFS(Reference_data!A:A,Table1[[#This Row],[Category]],Reference_data!B:B,Table1[[#This Row],[Sub_Category]])&gt;0,"Valid","Invalid")</f>
        <v>Valid</v>
      </c>
      <c r="V394" t="str">
        <f>_xlfn.XLOOKUP([1]!Table1[[#This Row],[Sub_Category]],[1]Reference_data!B:B,[1]Reference_data!A:A)</f>
        <v>Print Quality</v>
      </c>
      <c r="W394" t="str">
        <f>IF([1]!Table1[[#This Row],[Category]]=[1]!Table1[[#This Row],[Expected_Category ]],"Valid", "invalid")</f>
        <v>Valid</v>
      </c>
    </row>
    <row r="395" spans="1:23">
      <c r="A395" t="s">
        <v>1245</v>
      </c>
      <c r="B395" t="s">
        <v>50</v>
      </c>
      <c r="C395" s="31" t="s">
        <v>1246</v>
      </c>
      <c r="D395" s="32" t="s">
        <v>1247</v>
      </c>
      <c r="E395" t="s">
        <v>21</v>
      </c>
      <c r="F395" t="s">
        <v>22</v>
      </c>
      <c r="G395" t="s">
        <v>46</v>
      </c>
      <c r="H395" t="s">
        <v>86</v>
      </c>
      <c r="I395" t="s">
        <v>25</v>
      </c>
      <c r="J395">
        <v>13.3</v>
      </c>
      <c r="K395">
        <v>8</v>
      </c>
      <c r="L395" t="s">
        <v>27</v>
      </c>
      <c r="M395">
        <v>1</v>
      </c>
      <c r="N395" t="s">
        <v>27</v>
      </c>
      <c r="O395" t="s">
        <v>28</v>
      </c>
      <c r="P395" t="s">
        <v>1670</v>
      </c>
      <c r="Q395" t="s">
        <v>30</v>
      </c>
      <c r="R395" t="str">
        <f>IF(Table1[[#This Row],[Resolution_Time_Hrs]]&gt;Table1[[#This Row],[SLA_Target_Hrs]],"No", "Yes")</f>
        <v>No</v>
      </c>
      <c r="S395" t="str">
        <f>IF(Table1[[#This Row],[Calculated_SLA]]=Table1[[#This Row],[SLA_Met]],"Match","Mismatch")</f>
        <v>Match</v>
      </c>
      <c r="T395">
        <f>IF(Table1[[#This Row],[Calculated_SLA]]="Yes",1,0)</f>
        <v>0</v>
      </c>
      <c r="U395" t="str">
        <f>IF(COUNTIFS(Reference_data!A:A,Table1[[#This Row],[Category]],Reference_data!B:B,Table1[[#This Row],[Sub_Category]])&gt;0,"Valid","Invalid")</f>
        <v>Valid</v>
      </c>
      <c r="V395" t="str">
        <f>_xlfn.XLOOKUP([1]!Table1[[#This Row],[Sub_Category]],[1]Reference_data!B:B,[1]Reference_data!A:A)</f>
        <v>Connectivity &amp; Software</v>
      </c>
      <c r="W395" t="str">
        <f>IF([1]!Table1[[#This Row],[Category]]=[1]!Table1[[#This Row],[Expected_Category ]],"Valid", "invalid")</f>
        <v>Valid</v>
      </c>
    </row>
    <row r="396" spans="1:23">
      <c r="A396" t="s">
        <v>1248</v>
      </c>
      <c r="B396" t="s">
        <v>32</v>
      </c>
      <c r="C396" s="31" t="s">
        <v>1249</v>
      </c>
      <c r="D396" s="32" t="s">
        <v>1250</v>
      </c>
      <c r="E396" t="s">
        <v>35</v>
      </c>
      <c r="F396" t="s">
        <v>36</v>
      </c>
      <c r="G396" t="s">
        <v>46</v>
      </c>
      <c r="H396" t="s">
        <v>55</v>
      </c>
      <c r="I396" t="s">
        <v>38</v>
      </c>
      <c r="J396">
        <v>11.9</v>
      </c>
      <c r="K396">
        <v>8</v>
      </c>
      <c r="L396" t="s">
        <v>27</v>
      </c>
      <c r="M396">
        <v>2</v>
      </c>
      <c r="N396" t="s">
        <v>27</v>
      </c>
      <c r="O396" t="s">
        <v>28</v>
      </c>
      <c r="P396" t="s">
        <v>57</v>
      </c>
      <c r="Q396" t="s">
        <v>101</v>
      </c>
      <c r="R396" t="str">
        <f>IF(Table1[[#This Row],[Resolution_Time_Hrs]]&gt;Table1[[#This Row],[SLA_Target_Hrs]],"No", "Yes")</f>
        <v>No</v>
      </c>
      <c r="S396" t="str">
        <f>IF(Table1[[#This Row],[Calculated_SLA]]=Table1[[#This Row],[SLA_Met]],"Match","Mismatch")</f>
        <v>Match</v>
      </c>
      <c r="T396">
        <f>IF(Table1[[#This Row],[Calculated_SLA]]="Yes",1,0)</f>
        <v>0</v>
      </c>
      <c r="U396" t="str">
        <f>IF(COUNTIFS(Reference_data!A:A,Table1[[#This Row],[Category]],Reference_data!B:B,Table1[[#This Row],[Sub_Category]])&gt;0,"Valid","Invalid")</f>
        <v>Valid</v>
      </c>
      <c r="V396" t="str">
        <f>_xlfn.XLOOKUP([1]!Table1[[#This Row],[Sub_Category]],[1]Reference_data!B:B,[1]Reference_data!A:A)</f>
        <v>Print Quality</v>
      </c>
      <c r="W396" t="str">
        <f>IF([1]!Table1[[#This Row],[Category]]=[1]!Table1[[#This Row],[Expected_Category ]],"Valid", "invalid")</f>
        <v>Valid</v>
      </c>
    </row>
    <row r="397" spans="1:23">
      <c r="A397" t="s">
        <v>1251</v>
      </c>
      <c r="B397" t="s">
        <v>75</v>
      </c>
      <c r="C397" s="31" t="s">
        <v>1252</v>
      </c>
      <c r="D397" s="32" t="s">
        <v>1253</v>
      </c>
      <c r="E397" t="s">
        <v>84</v>
      </c>
      <c r="F397" t="s">
        <v>116</v>
      </c>
      <c r="G397" t="s">
        <v>54</v>
      </c>
      <c r="H397" t="s">
        <v>138</v>
      </c>
      <c r="I397" t="s">
        <v>87</v>
      </c>
      <c r="J397">
        <v>7.3</v>
      </c>
      <c r="K397">
        <v>4</v>
      </c>
      <c r="L397" t="s">
        <v>27</v>
      </c>
      <c r="M397">
        <v>1</v>
      </c>
      <c r="N397" t="s">
        <v>27</v>
      </c>
      <c r="O397" t="s">
        <v>28</v>
      </c>
      <c r="P397" t="s">
        <v>1670</v>
      </c>
      <c r="Q397" t="s">
        <v>58</v>
      </c>
      <c r="R397" t="str">
        <f>IF(Table1[[#This Row],[Resolution_Time_Hrs]]&gt;Table1[[#This Row],[SLA_Target_Hrs]],"No", "Yes")</f>
        <v>No</v>
      </c>
      <c r="S397" t="str">
        <f>IF(Table1[[#This Row],[Calculated_SLA]]=Table1[[#This Row],[SLA_Met]],"Match","Mismatch")</f>
        <v>Match</v>
      </c>
      <c r="T397">
        <f>IF(Table1[[#This Row],[Calculated_SLA]]="Yes",1,0)</f>
        <v>0</v>
      </c>
      <c r="U397" t="str">
        <f>IF(COUNTIFS(Reference_data!A:A,Table1[[#This Row],[Category]],Reference_data!B:B,Table1[[#This Row],[Sub_Category]])&gt;0,"Valid","Invalid")</f>
        <v>Valid</v>
      </c>
      <c r="V397" t="str">
        <f>_xlfn.XLOOKUP([1]!Table1[[#This Row],[Sub_Category]],[1]Reference_data!B:B,[1]Reference_data!A:A)</f>
        <v>Supplies &amp; Logistics</v>
      </c>
      <c r="W397" t="str">
        <f>IF([1]!Table1[[#This Row],[Category]]=[1]!Table1[[#This Row],[Expected_Category ]],"Valid", "invalid")</f>
        <v>Valid</v>
      </c>
    </row>
    <row r="398" spans="1:23">
      <c r="A398" t="s">
        <v>1254</v>
      </c>
      <c r="B398" t="s">
        <v>75</v>
      </c>
      <c r="C398" s="31" t="s">
        <v>1255</v>
      </c>
      <c r="D398" s="32" t="s">
        <v>1256</v>
      </c>
      <c r="E398" t="s">
        <v>44</v>
      </c>
      <c r="F398" t="s">
        <v>45</v>
      </c>
      <c r="G398" t="s">
        <v>46</v>
      </c>
      <c r="H398" t="s">
        <v>138</v>
      </c>
      <c r="I398" t="s">
        <v>48</v>
      </c>
      <c r="J398">
        <v>3.5</v>
      </c>
      <c r="K398">
        <v>8</v>
      </c>
      <c r="L398" t="s">
        <v>26</v>
      </c>
      <c r="M398">
        <v>4</v>
      </c>
      <c r="N398" t="s">
        <v>27</v>
      </c>
      <c r="O398" t="s">
        <v>28</v>
      </c>
      <c r="P398" t="s">
        <v>29</v>
      </c>
      <c r="Q398" t="s">
        <v>101</v>
      </c>
      <c r="R398" t="str">
        <f>IF(Table1[[#This Row],[Resolution_Time_Hrs]]&gt;Table1[[#This Row],[SLA_Target_Hrs]],"No", "Yes")</f>
        <v>Yes</v>
      </c>
      <c r="S398" t="str">
        <f>IF(Table1[[#This Row],[Calculated_SLA]]=Table1[[#This Row],[SLA_Met]],"Match","Mismatch")</f>
        <v>Match</v>
      </c>
      <c r="T398">
        <f>IF(Table1[[#This Row],[Calculated_SLA]]="Yes",1,0)</f>
        <v>1</v>
      </c>
      <c r="U398" t="str">
        <f>IF(COUNTIFS(Reference_data!A:A,Table1[[#This Row],[Category]],Reference_data!B:B,Table1[[#This Row],[Sub_Category]])&gt;0,"Valid","Invalid")</f>
        <v>Valid</v>
      </c>
      <c r="V398" t="str">
        <f>_xlfn.XLOOKUP([1]!Table1[[#This Row],[Sub_Category]],[1]Reference_data!B:B,[1]Reference_data!A:A)</f>
        <v>Contract &amp; Billing</v>
      </c>
      <c r="W398" t="str">
        <f>IF([1]!Table1[[#This Row],[Category]]=[1]!Table1[[#This Row],[Expected_Category ]],"Valid", "invalid")</f>
        <v>Valid</v>
      </c>
    </row>
    <row r="399" spans="1:23">
      <c r="A399" t="s">
        <v>1257</v>
      </c>
      <c r="B399" t="s">
        <v>18</v>
      </c>
      <c r="C399" s="31" t="s">
        <v>1258</v>
      </c>
      <c r="D399" s="32" t="s">
        <v>1259</v>
      </c>
      <c r="E399" t="s">
        <v>78</v>
      </c>
      <c r="F399" t="s">
        <v>79</v>
      </c>
      <c r="G399" t="s">
        <v>23</v>
      </c>
      <c r="H399" t="s">
        <v>138</v>
      </c>
      <c r="I399" t="s">
        <v>80</v>
      </c>
      <c r="J399">
        <v>15</v>
      </c>
      <c r="K399">
        <v>24</v>
      </c>
      <c r="L399" t="s">
        <v>26</v>
      </c>
      <c r="M399">
        <v>4</v>
      </c>
      <c r="N399" t="s">
        <v>27</v>
      </c>
      <c r="O399" t="s">
        <v>28</v>
      </c>
      <c r="P399" t="s">
        <v>29</v>
      </c>
      <c r="Q399" t="s">
        <v>30</v>
      </c>
      <c r="R399" t="str">
        <f>IF(Table1[[#This Row],[Resolution_Time_Hrs]]&gt;Table1[[#This Row],[SLA_Target_Hrs]],"No", "Yes")</f>
        <v>Yes</v>
      </c>
      <c r="S399" t="str">
        <f>IF(Table1[[#This Row],[Calculated_SLA]]=Table1[[#This Row],[SLA_Met]],"Match","Mismatch")</f>
        <v>Match</v>
      </c>
      <c r="T399">
        <f>IF(Table1[[#This Row],[Calculated_SLA]]="Yes",1,0)</f>
        <v>1</v>
      </c>
      <c r="U399" t="str">
        <f>IF(COUNTIFS(Reference_data!A:A,Table1[[#This Row],[Category]],Reference_data!B:B,Table1[[#This Row],[Sub_Category]])&gt;0,"Valid","Invalid")</f>
        <v>Valid</v>
      </c>
      <c r="V399" t="str">
        <f>_xlfn.XLOOKUP([1]!Table1[[#This Row],[Sub_Category]],[1]Reference_data!B:B,[1]Reference_data!A:A)</f>
        <v>Hardware &amp; Mechanical</v>
      </c>
      <c r="W399" t="str">
        <f>IF([1]!Table1[[#This Row],[Category]]=[1]!Table1[[#This Row],[Expected_Category ]],"Valid", "invalid")</f>
        <v>Valid</v>
      </c>
    </row>
    <row r="400" spans="1:23">
      <c r="A400" t="s">
        <v>1260</v>
      </c>
      <c r="B400" t="s">
        <v>32</v>
      </c>
      <c r="C400" s="31" t="s">
        <v>1261</v>
      </c>
      <c r="D400" s="32" t="s">
        <v>1262</v>
      </c>
      <c r="E400" t="s">
        <v>21</v>
      </c>
      <c r="F400" t="s">
        <v>69</v>
      </c>
      <c r="G400" t="s">
        <v>46</v>
      </c>
      <c r="H400" t="s">
        <v>64</v>
      </c>
      <c r="I400" t="s">
        <v>25</v>
      </c>
      <c r="J400">
        <v>6.9</v>
      </c>
      <c r="K400">
        <v>8</v>
      </c>
      <c r="L400" t="s">
        <v>26</v>
      </c>
      <c r="M400">
        <v>5</v>
      </c>
      <c r="N400" t="s">
        <v>27</v>
      </c>
      <c r="O400" t="s">
        <v>28</v>
      </c>
      <c r="P400" t="s">
        <v>29</v>
      </c>
      <c r="Q400" t="s">
        <v>101</v>
      </c>
      <c r="R400" t="str">
        <f>IF(Table1[[#This Row],[Resolution_Time_Hrs]]&gt;Table1[[#This Row],[SLA_Target_Hrs]],"No", "Yes")</f>
        <v>Yes</v>
      </c>
      <c r="S400" t="str">
        <f>IF(Table1[[#This Row],[Calculated_SLA]]=Table1[[#This Row],[SLA_Met]],"Match","Mismatch")</f>
        <v>Match</v>
      </c>
      <c r="T400">
        <f>IF(Table1[[#This Row],[Calculated_SLA]]="Yes",1,0)</f>
        <v>1</v>
      </c>
      <c r="U400" t="str">
        <f>IF(COUNTIFS(Reference_data!A:A,Table1[[#This Row],[Category]],Reference_data!B:B,Table1[[#This Row],[Sub_Category]])&gt;0,"Valid","Invalid")</f>
        <v>Valid</v>
      </c>
      <c r="V400" t="str">
        <f>_xlfn.XLOOKUP([1]!Table1[[#This Row],[Sub_Category]],[1]Reference_data!B:B,[1]Reference_data!A:A)</f>
        <v>Connectivity &amp; Software</v>
      </c>
      <c r="W400" t="str">
        <f>IF([1]!Table1[[#This Row],[Category]]=[1]!Table1[[#This Row],[Expected_Category ]],"Valid", "invalid")</f>
        <v>Valid</v>
      </c>
    </row>
    <row r="401" spans="1:23">
      <c r="A401" t="s">
        <v>1263</v>
      </c>
      <c r="B401" t="s">
        <v>75</v>
      </c>
      <c r="C401" s="31" t="s">
        <v>1264</v>
      </c>
      <c r="D401" s="32" t="s">
        <v>1265</v>
      </c>
      <c r="E401" t="s">
        <v>35</v>
      </c>
      <c r="F401" t="s">
        <v>127</v>
      </c>
      <c r="G401" t="s">
        <v>46</v>
      </c>
      <c r="H401" t="s">
        <v>37</v>
      </c>
      <c r="I401" t="s">
        <v>56</v>
      </c>
      <c r="J401">
        <v>10.3</v>
      </c>
      <c r="K401">
        <v>8</v>
      </c>
      <c r="L401" t="s">
        <v>27</v>
      </c>
      <c r="M401">
        <v>1</v>
      </c>
      <c r="N401" t="s">
        <v>27</v>
      </c>
      <c r="O401" t="s">
        <v>28</v>
      </c>
      <c r="P401" t="s">
        <v>1670</v>
      </c>
      <c r="Q401" t="s">
        <v>39</v>
      </c>
      <c r="R401" t="str">
        <f>IF(Table1[[#This Row],[Resolution_Time_Hrs]]&gt;Table1[[#This Row],[SLA_Target_Hrs]],"No", "Yes")</f>
        <v>No</v>
      </c>
      <c r="S401" t="str">
        <f>IF(Table1[[#This Row],[Calculated_SLA]]=Table1[[#This Row],[SLA_Met]],"Match","Mismatch")</f>
        <v>Match</v>
      </c>
      <c r="T401">
        <f>IF(Table1[[#This Row],[Calculated_SLA]]="Yes",1,0)</f>
        <v>0</v>
      </c>
      <c r="U401" t="str">
        <f>IF(COUNTIFS(Reference_data!A:A,Table1[[#This Row],[Category]],Reference_data!B:B,Table1[[#This Row],[Sub_Category]])&gt;0,"Valid","Invalid")</f>
        <v>Valid</v>
      </c>
      <c r="V401" t="str">
        <f>_xlfn.XLOOKUP([1]!Table1[[#This Row],[Sub_Category]],[1]Reference_data!B:B,[1]Reference_data!A:A)</f>
        <v>Print Quality</v>
      </c>
      <c r="W401" t="str">
        <f>IF([1]!Table1[[#This Row],[Category]]=[1]!Table1[[#This Row],[Expected_Category ]],"Valid", "invalid")</f>
        <v>Valid</v>
      </c>
    </row>
    <row r="402" spans="1:23">
      <c r="A402" t="s">
        <v>1266</v>
      </c>
      <c r="B402" t="s">
        <v>32</v>
      </c>
      <c r="C402" s="31" t="s">
        <v>1267</v>
      </c>
      <c r="D402" s="32" t="s">
        <v>1268</v>
      </c>
      <c r="E402" t="s">
        <v>21</v>
      </c>
      <c r="F402" t="s">
        <v>22</v>
      </c>
      <c r="G402" t="s">
        <v>23</v>
      </c>
      <c r="H402" t="s">
        <v>64</v>
      </c>
      <c r="I402" t="s">
        <v>25</v>
      </c>
      <c r="J402">
        <v>10.4</v>
      </c>
      <c r="K402">
        <v>24</v>
      </c>
      <c r="L402" t="s">
        <v>26</v>
      </c>
      <c r="M402">
        <v>4</v>
      </c>
      <c r="N402" t="s">
        <v>27</v>
      </c>
      <c r="O402" t="s">
        <v>28</v>
      </c>
      <c r="P402" t="s">
        <v>29</v>
      </c>
      <c r="Q402" t="s">
        <v>58</v>
      </c>
      <c r="R402" t="str">
        <f>IF(Table1[[#This Row],[Resolution_Time_Hrs]]&gt;Table1[[#This Row],[SLA_Target_Hrs]],"No", "Yes")</f>
        <v>Yes</v>
      </c>
      <c r="S402" t="str">
        <f>IF(Table1[[#This Row],[Calculated_SLA]]=Table1[[#This Row],[SLA_Met]],"Match","Mismatch")</f>
        <v>Match</v>
      </c>
      <c r="T402">
        <f>IF(Table1[[#This Row],[Calculated_SLA]]="Yes",1,0)</f>
        <v>1</v>
      </c>
      <c r="U402" t="str">
        <f>IF(COUNTIFS(Reference_data!A:A,Table1[[#This Row],[Category]],Reference_data!B:B,Table1[[#This Row],[Sub_Category]])&gt;0,"Valid","Invalid")</f>
        <v>Valid</v>
      </c>
      <c r="V402" t="str">
        <f>_xlfn.XLOOKUP([1]!Table1[[#This Row],[Sub_Category]],[1]Reference_data!B:B,[1]Reference_data!A:A)</f>
        <v>Connectivity &amp; Software</v>
      </c>
      <c r="W402" t="str">
        <f>IF([1]!Table1[[#This Row],[Category]]=[1]!Table1[[#This Row],[Expected_Category ]],"Valid", "invalid")</f>
        <v>Valid</v>
      </c>
    </row>
    <row r="403" spans="1:23">
      <c r="A403" t="s">
        <v>1269</v>
      </c>
      <c r="B403" t="s">
        <v>50</v>
      </c>
      <c r="C403" s="31" t="s">
        <v>1270</v>
      </c>
      <c r="D403" s="32" t="s">
        <v>1271</v>
      </c>
      <c r="E403" t="s">
        <v>35</v>
      </c>
      <c r="F403" t="s">
        <v>36</v>
      </c>
      <c r="G403" t="s">
        <v>23</v>
      </c>
      <c r="H403" t="s">
        <v>70</v>
      </c>
      <c r="I403" t="s">
        <v>38</v>
      </c>
      <c r="J403">
        <v>8</v>
      </c>
      <c r="K403">
        <v>24</v>
      </c>
      <c r="L403" t="s">
        <v>26</v>
      </c>
      <c r="M403">
        <v>4</v>
      </c>
      <c r="N403" t="s">
        <v>27</v>
      </c>
      <c r="O403" t="s">
        <v>28</v>
      </c>
      <c r="P403" t="s">
        <v>29</v>
      </c>
      <c r="Q403" t="s">
        <v>30</v>
      </c>
      <c r="R403" t="str">
        <f>IF(Table1[[#This Row],[Resolution_Time_Hrs]]&gt;Table1[[#This Row],[SLA_Target_Hrs]],"No", "Yes")</f>
        <v>Yes</v>
      </c>
      <c r="S403" t="str">
        <f>IF(Table1[[#This Row],[Calculated_SLA]]=Table1[[#This Row],[SLA_Met]],"Match","Mismatch")</f>
        <v>Match</v>
      </c>
      <c r="T403">
        <f>IF(Table1[[#This Row],[Calculated_SLA]]="Yes",1,0)</f>
        <v>1</v>
      </c>
      <c r="U403" t="str">
        <f>IF(COUNTIFS(Reference_data!A:A,Table1[[#This Row],[Category]],Reference_data!B:B,Table1[[#This Row],[Sub_Category]])&gt;0,"Valid","Invalid")</f>
        <v>Valid</v>
      </c>
      <c r="V403" t="str">
        <f>_xlfn.XLOOKUP([1]!Table1[[#This Row],[Sub_Category]],[1]Reference_data!B:B,[1]Reference_data!A:A)</f>
        <v>Print Quality</v>
      </c>
      <c r="W403" t="str">
        <f>IF([1]!Table1[[#This Row],[Category]]=[1]!Table1[[#This Row],[Expected_Category ]],"Valid", "invalid")</f>
        <v>Valid</v>
      </c>
    </row>
    <row r="404" spans="1:23">
      <c r="A404" t="s">
        <v>1272</v>
      </c>
      <c r="B404" t="s">
        <v>32</v>
      </c>
      <c r="C404" s="31" t="s">
        <v>1273</v>
      </c>
      <c r="D404" s="32" t="s">
        <v>1274</v>
      </c>
      <c r="E404" t="s">
        <v>21</v>
      </c>
      <c r="F404" t="s">
        <v>22</v>
      </c>
      <c r="G404" t="s">
        <v>46</v>
      </c>
      <c r="H404" t="s">
        <v>70</v>
      </c>
      <c r="I404" t="s">
        <v>25</v>
      </c>
      <c r="J404">
        <v>10.1</v>
      </c>
      <c r="K404">
        <v>8</v>
      </c>
      <c r="L404" t="s">
        <v>27</v>
      </c>
      <c r="M404">
        <v>2</v>
      </c>
      <c r="N404" t="s">
        <v>27</v>
      </c>
      <c r="O404" t="s">
        <v>28</v>
      </c>
      <c r="P404" t="s">
        <v>1670</v>
      </c>
      <c r="Q404" t="s">
        <v>58</v>
      </c>
      <c r="R404" t="str">
        <f>IF(Table1[[#This Row],[Resolution_Time_Hrs]]&gt;Table1[[#This Row],[SLA_Target_Hrs]],"No", "Yes")</f>
        <v>No</v>
      </c>
      <c r="S404" t="str">
        <f>IF(Table1[[#This Row],[Calculated_SLA]]=Table1[[#This Row],[SLA_Met]],"Match","Mismatch")</f>
        <v>Match</v>
      </c>
      <c r="T404">
        <f>IF(Table1[[#This Row],[Calculated_SLA]]="Yes",1,0)</f>
        <v>0</v>
      </c>
      <c r="U404" t="str">
        <f>IF(COUNTIFS(Reference_data!A:A,Table1[[#This Row],[Category]],Reference_data!B:B,Table1[[#This Row],[Sub_Category]])&gt;0,"Valid","Invalid")</f>
        <v>Valid</v>
      </c>
      <c r="V404" t="str">
        <f>_xlfn.XLOOKUP([1]!Table1[[#This Row],[Sub_Category]],[1]Reference_data!B:B,[1]Reference_data!A:A)</f>
        <v>Connectivity &amp; Software</v>
      </c>
      <c r="W404" t="str">
        <f>IF([1]!Table1[[#This Row],[Category]]=[1]!Table1[[#This Row],[Expected_Category ]],"Valid", "invalid")</f>
        <v>Valid</v>
      </c>
    </row>
    <row r="405" spans="1:23">
      <c r="A405" t="s">
        <v>1275</v>
      </c>
      <c r="B405" t="s">
        <v>66</v>
      </c>
      <c r="C405" s="31" t="s">
        <v>1276</v>
      </c>
      <c r="D405" s="32" t="s">
        <v>1277</v>
      </c>
      <c r="E405" t="s">
        <v>78</v>
      </c>
      <c r="F405" t="s">
        <v>191</v>
      </c>
      <c r="G405" t="s">
        <v>54</v>
      </c>
      <c r="H405" t="s">
        <v>138</v>
      </c>
      <c r="I405" t="s">
        <v>38</v>
      </c>
      <c r="J405">
        <v>16.600000000000001</v>
      </c>
      <c r="K405">
        <v>4</v>
      </c>
      <c r="L405" t="s">
        <v>27</v>
      </c>
      <c r="M405">
        <v>2</v>
      </c>
      <c r="N405" t="s">
        <v>27</v>
      </c>
      <c r="O405" t="s">
        <v>28</v>
      </c>
      <c r="P405" t="s">
        <v>1670</v>
      </c>
      <c r="Q405" t="s">
        <v>39</v>
      </c>
      <c r="R405" t="str">
        <f>IF(Table1[[#This Row],[Resolution_Time_Hrs]]&gt;Table1[[#This Row],[SLA_Target_Hrs]],"No", "Yes")</f>
        <v>No</v>
      </c>
      <c r="S405" t="str">
        <f>IF(Table1[[#This Row],[Calculated_SLA]]=Table1[[#This Row],[SLA_Met]],"Match","Mismatch")</f>
        <v>Match</v>
      </c>
      <c r="T405">
        <f>IF(Table1[[#This Row],[Calculated_SLA]]="Yes",1,0)</f>
        <v>0</v>
      </c>
      <c r="U405" t="str">
        <f>IF(COUNTIFS(Reference_data!A:A,Table1[[#This Row],[Category]],Reference_data!B:B,Table1[[#This Row],[Sub_Category]])&gt;0,"Valid","Invalid")</f>
        <v>Valid</v>
      </c>
      <c r="V405" t="str">
        <f>_xlfn.XLOOKUP([1]!Table1[[#This Row],[Sub_Category]],[1]Reference_data!B:B,[1]Reference_data!A:A)</f>
        <v>Hardware &amp; Mechanical</v>
      </c>
      <c r="W405" t="str">
        <f>IF([1]!Table1[[#This Row],[Category]]=[1]!Table1[[#This Row],[Expected_Category ]],"Valid", "invalid")</f>
        <v>Valid</v>
      </c>
    </row>
    <row r="406" spans="1:23">
      <c r="A406" t="s">
        <v>1278</v>
      </c>
      <c r="B406" t="s">
        <v>60</v>
      </c>
      <c r="C406" s="31" t="s">
        <v>1279</v>
      </c>
      <c r="D406" s="32" t="s">
        <v>1280</v>
      </c>
      <c r="E406" t="s">
        <v>21</v>
      </c>
      <c r="F406" t="s">
        <v>63</v>
      </c>
      <c r="G406" t="s">
        <v>46</v>
      </c>
      <c r="H406" t="s">
        <v>64</v>
      </c>
      <c r="I406" t="s">
        <v>25</v>
      </c>
      <c r="J406">
        <v>5.6</v>
      </c>
      <c r="K406">
        <v>8</v>
      </c>
      <c r="L406" t="s">
        <v>26</v>
      </c>
      <c r="M406">
        <v>4</v>
      </c>
      <c r="N406" t="s">
        <v>27</v>
      </c>
      <c r="O406" t="s">
        <v>28</v>
      </c>
      <c r="P406" t="s">
        <v>29</v>
      </c>
      <c r="Q406" t="s">
        <v>30</v>
      </c>
      <c r="R406" t="str">
        <f>IF(Table1[[#This Row],[Resolution_Time_Hrs]]&gt;Table1[[#This Row],[SLA_Target_Hrs]],"No", "Yes")</f>
        <v>Yes</v>
      </c>
      <c r="S406" t="str">
        <f>IF(Table1[[#This Row],[Calculated_SLA]]=Table1[[#This Row],[SLA_Met]],"Match","Mismatch")</f>
        <v>Match</v>
      </c>
      <c r="T406">
        <f>IF(Table1[[#This Row],[Calculated_SLA]]="Yes",1,0)</f>
        <v>1</v>
      </c>
      <c r="U406" t="str">
        <f>IF(COUNTIFS(Reference_data!A:A,Table1[[#This Row],[Category]],Reference_data!B:B,Table1[[#This Row],[Sub_Category]])&gt;0,"Valid","Invalid")</f>
        <v>Valid</v>
      </c>
      <c r="V406" t="str">
        <f>_xlfn.XLOOKUP([1]!Table1[[#This Row],[Sub_Category]],[1]Reference_data!B:B,[1]Reference_data!A:A)</f>
        <v>Connectivity &amp; Software</v>
      </c>
      <c r="W406" t="str">
        <f>IF([1]!Table1[[#This Row],[Category]]=[1]!Table1[[#This Row],[Expected_Category ]],"Valid", "invalid")</f>
        <v>Valid</v>
      </c>
    </row>
    <row r="407" spans="1:23">
      <c r="A407" t="s">
        <v>1281</v>
      </c>
      <c r="B407" t="s">
        <v>41</v>
      </c>
      <c r="C407" s="31" t="s">
        <v>1282</v>
      </c>
      <c r="D407" s="32" t="s">
        <v>1283</v>
      </c>
      <c r="E407" t="s">
        <v>84</v>
      </c>
      <c r="F407" t="s">
        <v>85</v>
      </c>
      <c r="G407" t="s">
        <v>46</v>
      </c>
      <c r="H407" t="s">
        <v>234</v>
      </c>
      <c r="I407" t="s">
        <v>87</v>
      </c>
      <c r="J407">
        <v>6.5</v>
      </c>
      <c r="K407">
        <v>8</v>
      </c>
      <c r="L407" t="s">
        <v>26</v>
      </c>
      <c r="M407">
        <v>5</v>
      </c>
      <c r="N407" t="s">
        <v>27</v>
      </c>
      <c r="O407" t="s">
        <v>28</v>
      </c>
      <c r="P407" t="s">
        <v>29</v>
      </c>
      <c r="Q407" t="s">
        <v>101</v>
      </c>
      <c r="R407" t="str">
        <f>IF(Table1[[#This Row],[Resolution_Time_Hrs]]&gt;Table1[[#This Row],[SLA_Target_Hrs]],"No", "Yes")</f>
        <v>Yes</v>
      </c>
      <c r="S407" t="str">
        <f>IF(Table1[[#This Row],[Calculated_SLA]]=Table1[[#This Row],[SLA_Met]],"Match","Mismatch")</f>
        <v>Match</v>
      </c>
      <c r="T407">
        <f>IF(Table1[[#This Row],[Calculated_SLA]]="Yes",1,0)</f>
        <v>1</v>
      </c>
      <c r="U407" t="str">
        <f>IF(COUNTIFS(Reference_data!A:A,Table1[[#This Row],[Category]],Reference_data!B:B,Table1[[#This Row],[Sub_Category]])&gt;0,"Valid","Invalid")</f>
        <v>Valid</v>
      </c>
      <c r="V407" t="str">
        <f>_xlfn.XLOOKUP([1]!Table1[[#This Row],[Sub_Category]],[1]Reference_data!B:B,[1]Reference_data!A:A)</f>
        <v>Supplies &amp; Logistics</v>
      </c>
      <c r="W407" t="str">
        <f>IF([1]!Table1[[#This Row],[Category]]=[1]!Table1[[#This Row],[Expected_Category ]],"Valid", "invalid")</f>
        <v>Valid</v>
      </c>
    </row>
    <row r="408" spans="1:23">
      <c r="A408" t="s">
        <v>1284</v>
      </c>
      <c r="B408" t="s">
        <v>32</v>
      </c>
      <c r="C408" s="31" t="s">
        <v>1285</v>
      </c>
      <c r="D408" s="32" t="s">
        <v>1286</v>
      </c>
      <c r="E408" t="s">
        <v>84</v>
      </c>
      <c r="F408" t="s">
        <v>85</v>
      </c>
      <c r="G408" t="s">
        <v>46</v>
      </c>
      <c r="H408" t="s">
        <v>55</v>
      </c>
      <c r="I408" t="s">
        <v>87</v>
      </c>
      <c r="J408">
        <v>6.9</v>
      </c>
      <c r="K408">
        <v>8</v>
      </c>
      <c r="L408" t="s">
        <v>26</v>
      </c>
      <c r="M408">
        <v>4</v>
      </c>
      <c r="N408" t="s">
        <v>27</v>
      </c>
      <c r="O408" t="s">
        <v>28</v>
      </c>
      <c r="P408" t="s">
        <v>29</v>
      </c>
      <c r="Q408" t="s">
        <v>58</v>
      </c>
      <c r="R408" t="str">
        <f>IF(Table1[[#This Row],[Resolution_Time_Hrs]]&gt;Table1[[#This Row],[SLA_Target_Hrs]],"No", "Yes")</f>
        <v>Yes</v>
      </c>
      <c r="S408" t="str">
        <f>IF(Table1[[#This Row],[Calculated_SLA]]=Table1[[#This Row],[SLA_Met]],"Match","Mismatch")</f>
        <v>Match</v>
      </c>
      <c r="T408">
        <f>IF(Table1[[#This Row],[Calculated_SLA]]="Yes",1,0)</f>
        <v>1</v>
      </c>
      <c r="U408" t="str">
        <f>IF(COUNTIFS(Reference_data!A:A,Table1[[#This Row],[Category]],Reference_data!B:B,Table1[[#This Row],[Sub_Category]])&gt;0,"Valid","Invalid")</f>
        <v>Valid</v>
      </c>
      <c r="V408" t="str">
        <f>_xlfn.XLOOKUP([1]!Table1[[#This Row],[Sub_Category]],[1]Reference_data!B:B,[1]Reference_data!A:A)</f>
        <v>Supplies &amp; Logistics</v>
      </c>
      <c r="W408" t="str">
        <f>IF([1]!Table1[[#This Row],[Category]]=[1]!Table1[[#This Row],[Expected_Category ]],"Valid", "invalid")</f>
        <v>Valid</v>
      </c>
    </row>
    <row r="409" spans="1:23">
      <c r="A409" t="s">
        <v>1287</v>
      </c>
      <c r="B409" t="s">
        <v>32</v>
      </c>
      <c r="C409" s="31" t="s">
        <v>1288</v>
      </c>
      <c r="D409" s="32" t="s">
        <v>1289</v>
      </c>
      <c r="E409" t="s">
        <v>78</v>
      </c>
      <c r="F409" t="s">
        <v>191</v>
      </c>
      <c r="G409" t="s">
        <v>54</v>
      </c>
      <c r="H409" t="s">
        <v>55</v>
      </c>
      <c r="I409" t="s">
        <v>38</v>
      </c>
      <c r="J409">
        <v>8.5</v>
      </c>
      <c r="K409">
        <v>4</v>
      </c>
      <c r="L409" t="s">
        <v>27</v>
      </c>
      <c r="M409">
        <v>3</v>
      </c>
      <c r="N409" t="s">
        <v>26</v>
      </c>
      <c r="O409" t="s">
        <v>28</v>
      </c>
      <c r="P409" t="s">
        <v>57</v>
      </c>
      <c r="Q409" t="s">
        <v>58</v>
      </c>
      <c r="R409" t="str">
        <f>IF(Table1[[#This Row],[Resolution_Time_Hrs]]&gt;Table1[[#This Row],[SLA_Target_Hrs]],"No", "Yes")</f>
        <v>No</v>
      </c>
      <c r="S409" t="str">
        <f>IF(Table1[[#This Row],[Calculated_SLA]]=Table1[[#This Row],[SLA_Met]],"Match","Mismatch")</f>
        <v>Match</v>
      </c>
      <c r="T409">
        <f>IF(Table1[[#This Row],[Calculated_SLA]]="Yes",1,0)</f>
        <v>0</v>
      </c>
      <c r="U409" t="str">
        <f>IF(COUNTIFS(Reference_data!A:A,Table1[[#This Row],[Category]],Reference_data!B:B,Table1[[#This Row],[Sub_Category]])&gt;0,"Valid","Invalid")</f>
        <v>Valid</v>
      </c>
      <c r="V409" t="str">
        <f>_xlfn.XLOOKUP([1]!Table1[[#This Row],[Sub_Category]],[1]Reference_data!B:B,[1]Reference_data!A:A)</f>
        <v>Hardware &amp; Mechanical</v>
      </c>
      <c r="W409" t="str">
        <f>IF([1]!Table1[[#This Row],[Category]]=[1]!Table1[[#This Row],[Expected_Category ]],"Valid", "invalid")</f>
        <v>Valid</v>
      </c>
    </row>
    <row r="410" spans="1:23">
      <c r="A410" t="s">
        <v>1290</v>
      </c>
      <c r="B410" t="s">
        <v>60</v>
      </c>
      <c r="C410" s="31" t="s">
        <v>1291</v>
      </c>
      <c r="D410" s="32" t="s">
        <v>1292</v>
      </c>
      <c r="E410" t="s">
        <v>78</v>
      </c>
      <c r="F410" t="s">
        <v>79</v>
      </c>
      <c r="G410" t="s">
        <v>54</v>
      </c>
      <c r="H410" t="s">
        <v>91</v>
      </c>
      <c r="I410" t="s">
        <v>80</v>
      </c>
      <c r="J410">
        <v>18</v>
      </c>
      <c r="K410">
        <v>4</v>
      </c>
      <c r="L410" t="s">
        <v>27</v>
      </c>
      <c r="M410">
        <v>2</v>
      </c>
      <c r="N410" t="s">
        <v>26</v>
      </c>
      <c r="O410" t="s">
        <v>28</v>
      </c>
      <c r="P410" t="s">
        <v>57</v>
      </c>
      <c r="Q410" t="s">
        <v>58</v>
      </c>
      <c r="R410" t="str">
        <f>IF(Table1[[#This Row],[Resolution_Time_Hrs]]&gt;Table1[[#This Row],[SLA_Target_Hrs]],"No", "Yes")</f>
        <v>No</v>
      </c>
      <c r="S410" t="str">
        <f>IF(Table1[[#This Row],[Calculated_SLA]]=Table1[[#This Row],[SLA_Met]],"Match","Mismatch")</f>
        <v>Match</v>
      </c>
      <c r="T410">
        <f>IF(Table1[[#This Row],[Calculated_SLA]]="Yes",1,0)</f>
        <v>0</v>
      </c>
      <c r="U410" t="str">
        <f>IF(COUNTIFS(Reference_data!A:A,Table1[[#This Row],[Category]],Reference_data!B:B,Table1[[#This Row],[Sub_Category]])&gt;0,"Valid","Invalid")</f>
        <v>Valid</v>
      </c>
      <c r="V410" t="str">
        <f>_xlfn.XLOOKUP([1]!Table1[[#This Row],[Sub_Category]],[1]Reference_data!B:B,[1]Reference_data!A:A)</f>
        <v>Hardware &amp; Mechanical</v>
      </c>
      <c r="W410" t="str">
        <f>IF([1]!Table1[[#This Row],[Category]]=[1]!Table1[[#This Row],[Expected_Category ]],"Valid", "invalid")</f>
        <v>Valid</v>
      </c>
    </row>
    <row r="411" spans="1:23">
      <c r="A411" t="s">
        <v>1293</v>
      </c>
      <c r="B411" t="s">
        <v>75</v>
      </c>
      <c r="C411" s="31" t="s">
        <v>1294</v>
      </c>
      <c r="D411" s="32" t="s">
        <v>1295</v>
      </c>
      <c r="E411" t="s">
        <v>35</v>
      </c>
      <c r="F411" t="s">
        <v>36</v>
      </c>
      <c r="G411" t="s">
        <v>46</v>
      </c>
      <c r="H411" t="s">
        <v>24</v>
      </c>
      <c r="I411" t="s">
        <v>38</v>
      </c>
      <c r="J411">
        <v>9</v>
      </c>
      <c r="K411">
        <v>8</v>
      </c>
      <c r="L411" t="s">
        <v>27</v>
      </c>
      <c r="M411">
        <v>1</v>
      </c>
      <c r="N411" t="s">
        <v>26</v>
      </c>
      <c r="O411" t="s">
        <v>28</v>
      </c>
      <c r="P411" t="s">
        <v>57</v>
      </c>
      <c r="Q411" t="s">
        <v>58</v>
      </c>
      <c r="R411" t="str">
        <f>IF(Table1[[#This Row],[Resolution_Time_Hrs]]&gt;Table1[[#This Row],[SLA_Target_Hrs]],"No", "Yes")</f>
        <v>No</v>
      </c>
      <c r="S411" t="str">
        <f>IF(Table1[[#This Row],[Calculated_SLA]]=Table1[[#This Row],[SLA_Met]],"Match","Mismatch")</f>
        <v>Match</v>
      </c>
      <c r="T411">
        <f>IF(Table1[[#This Row],[Calculated_SLA]]="Yes",1,0)</f>
        <v>0</v>
      </c>
      <c r="U411" t="str">
        <f>IF(COUNTIFS(Reference_data!A:A,Table1[[#This Row],[Category]],Reference_data!B:B,Table1[[#This Row],[Sub_Category]])&gt;0,"Valid","Invalid")</f>
        <v>Valid</v>
      </c>
      <c r="V411" t="str">
        <f>_xlfn.XLOOKUP([1]!Table1[[#This Row],[Sub_Category]],[1]Reference_data!B:B,[1]Reference_data!A:A)</f>
        <v>Print Quality</v>
      </c>
      <c r="W411" t="str">
        <f>IF([1]!Table1[[#This Row],[Category]]=[1]!Table1[[#This Row],[Expected_Category ]],"Valid", "invalid")</f>
        <v>Valid</v>
      </c>
    </row>
    <row r="412" spans="1:23">
      <c r="A412" t="s">
        <v>1296</v>
      </c>
      <c r="B412" t="s">
        <v>50</v>
      </c>
      <c r="C412" s="31" t="s">
        <v>1297</v>
      </c>
      <c r="D412" s="32" t="s">
        <v>1298</v>
      </c>
      <c r="E412" t="s">
        <v>21</v>
      </c>
      <c r="F412" t="s">
        <v>63</v>
      </c>
      <c r="G412" t="s">
        <v>54</v>
      </c>
      <c r="H412" t="s">
        <v>47</v>
      </c>
      <c r="I412" t="s">
        <v>25</v>
      </c>
      <c r="J412">
        <v>10.3</v>
      </c>
      <c r="K412">
        <v>4</v>
      </c>
      <c r="L412" t="s">
        <v>27</v>
      </c>
      <c r="M412">
        <v>3</v>
      </c>
      <c r="N412" t="s">
        <v>27</v>
      </c>
      <c r="O412" t="s">
        <v>28</v>
      </c>
      <c r="P412" t="s">
        <v>57</v>
      </c>
      <c r="Q412" t="s">
        <v>101</v>
      </c>
      <c r="R412" t="str">
        <f>IF(Table1[[#This Row],[Resolution_Time_Hrs]]&gt;Table1[[#This Row],[SLA_Target_Hrs]],"No", "Yes")</f>
        <v>No</v>
      </c>
      <c r="S412" t="str">
        <f>IF(Table1[[#This Row],[Calculated_SLA]]=Table1[[#This Row],[SLA_Met]],"Match","Mismatch")</f>
        <v>Match</v>
      </c>
      <c r="T412">
        <f>IF(Table1[[#This Row],[Calculated_SLA]]="Yes",1,0)</f>
        <v>0</v>
      </c>
      <c r="U412" t="str">
        <f>IF(COUNTIFS(Reference_data!A:A,Table1[[#This Row],[Category]],Reference_data!B:B,Table1[[#This Row],[Sub_Category]])&gt;0,"Valid","Invalid")</f>
        <v>Valid</v>
      </c>
      <c r="V412" t="str">
        <f>_xlfn.XLOOKUP([1]!Table1[[#This Row],[Sub_Category]],[1]Reference_data!B:B,[1]Reference_data!A:A)</f>
        <v>Connectivity &amp; Software</v>
      </c>
      <c r="W412" t="str">
        <f>IF([1]!Table1[[#This Row],[Category]]=[1]!Table1[[#This Row],[Expected_Category ]],"Valid", "invalid")</f>
        <v>Valid</v>
      </c>
    </row>
    <row r="413" spans="1:23">
      <c r="A413" t="s">
        <v>1299</v>
      </c>
      <c r="B413" t="s">
        <v>41</v>
      </c>
      <c r="C413" s="31" t="s">
        <v>1300</v>
      </c>
      <c r="D413" s="32" t="s">
        <v>1301</v>
      </c>
      <c r="E413" t="s">
        <v>78</v>
      </c>
      <c r="F413" t="s">
        <v>79</v>
      </c>
      <c r="G413" t="s">
        <v>23</v>
      </c>
      <c r="H413" t="s">
        <v>70</v>
      </c>
      <c r="I413" t="s">
        <v>80</v>
      </c>
      <c r="J413">
        <v>14</v>
      </c>
      <c r="K413">
        <v>24</v>
      </c>
      <c r="L413" t="s">
        <v>26</v>
      </c>
      <c r="M413">
        <v>4</v>
      </c>
      <c r="N413" t="s">
        <v>27</v>
      </c>
      <c r="O413" t="s">
        <v>28</v>
      </c>
      <c r="P413" t="s">
        <v>29</v>
      </c>
      <c r="Q413" t="s">
        <v>101</v>
      </c>
      <c r="R413" t="str">
        <f>IF(Table1[[#This Row],[Resolution_Time_Hrs]]&gt;Table1[[#This Row],[SLA_Target_Hrs]],"No", "Yes")</f>
        <v>Yes</v>
      </c>
      <c r="S413" t="str">
        <f>IF(Table1[[#This Row],[Calculated_SLA]]=Table1[[#This Row],[SLA_Met]],"Match","Mismatch")</f>
        <v>Match</v>
      </c>
      <c r="T413">
        <f>IF(Table1[[#This Row],[Calculated_SLA]]="Yes",1,0)</f>
        <v>1</v>
      </c>
      <c r="U413" t="str">
        <f>IF(COUNTIFS(Reference_data!A:A,Table1[[#This Row],[Category]],Reference_data!B:B,Table1[[#This Row],[Sub_Category]])&gt;0,"Valid","Invalid")</f>
        <v>Valid</v>
      </c>
      <c r="V413" t="str">
        <f>_xlfn.XLOOKUP([1]!Table1[[#This Row],[Sub_Category]],[1]Reference_data!B:B,[1]Reference_data!A:A)</f>
        <v>Hardware &amp; Mechanical</v>
      </c>
      <c r="W413" t="str">
        <f>IF([1]!Table1[[#This Row],[Category]]=[1]!Table1[[#This Row],[Expected_Category ]],"Valid", "invalid")</f>
        <v>Valid</v>
      </c>
    </row>
    <row r="414" spans="1:23">
      <c r="A414" t="s">
        <v>1302</v>
      </c>
      <c r="B414" t="s">
        <v>41</v>
      </c>
      <c r="C414" s="31" t="s">
        <v>1303</v>
      </c>
      <c r="D414" s="32" t="s">
        <v>1304</v>
      </c>
      <c r="E414" t="s">
        <v>21</v>
      </c>
      <c r="F414" t="s">
        <v>69</v>
      </c>
      <c r="G414" t="s">
        <v>46</v>
      </c>
      <c r="H414" t="s">
        <v>55</v>
      </c>
      <c r="I414" t="s">
        <v>25</v>
      </c>
      <c r="J414">
        <v>14.6</v>
      </c>
      <c r="K414">
        <v>8</v>
      </c>
      <c r="L414" t="s">
        <v>27</v>
      </c>
      <c r="M414">
        <v>1</v>
      </c>
      <c r="N414" t="s">
        <v>26</v>
      </c>
      <c r="O414" t="s">
        <v>28</v>
      </c>
      <c r="P414" t="s">
        <v>1670</v>
      </c>
      <c r="Q414" t="s">
        <v>30</v>
      </c>
      <c r="R414" t="str">
        <f>IF(Table1[[#This Row],[Resolution_Time_Hrs]]&gt;Table1[[#This Row],[SLA_Target_Hrs]],"No", "Yes")</f>
        <v>No</v>
      </c>
      <c r="S414" t="str">
        <f>IF(Table1[[#This Row],[Calculated_SLA]]=Table1[[#This Row],[SLA_Met]],"Match","Mismatch")</f>
        <v>Match</v>
      </c>
      <c r="T414">
        <f>IF(Table1[[#This Row],[Calculated_SLA]]="Yes",1,0)</f>
        <v>0</v>
      </c>
      <c r="U414" t="str">
        <f>IF(COUNTIFS(Reference_data!A:A,Table1[[#This Row],[Category]],Reference_data!B:B,Table1[[#This Row],[Sub_Category]])&gt;0,"Valid","Invalid")</f>
        <v>Valid</v>
      </c>
      <c r="V414" t="str">
        <f>_xlfn.XLOOKUP([1]!Table1[[#This Row],[Sub_Category]],[1]Reference_data!B:B,[1]Reference_data!A:A)</f>
        <v>Connectivity &amp; Software</v>
      </c>
      <c r="W414" t="str">
        <f>IF([1]!Table1[[#This Row],[Category]]=[1]!Table1[[#This Row],[Expected_Category ]],"Valid", "invalid")</f>
        <v>Valid</v>
      </c>
    </row>
    <row r="415" spans="1:23">
      <c r="A415" t="s">
        <v>1305</v>
      </c>
      <c r="B415" t="s">
        <v>18</v>
      </c>
      <c r="C415" s="31" t="s">
        <v>1306</v>
      </c>
      <c r="D415" s="32" t="s">
        <v>1307</v>
      </c>
      <c r="E415" t="s">
        <v>44</v>
      </c>
      <c r="F415" t="s">
        <v>109</v>
      </c>
      <c r="G415" t="s">
        <v>46</v>
      </c>
      <c r="H415" t="s">
        <v>37</v>
      </c>
      <c r="I415" t="s">
        <v>48</v>
      </c>
      <c r="J415">
        <v>4.8</v>
      </c>
      <c r="K415">
        <v>8</v>
      </c>
      <c r="L415" t="s">
        <v>26</v>
      </c>
      <c r="M415">
        <v>4</v>
      </c>
      <c r="N415" t="s">
        <v>27</v>
      </c>
      <c r="O415" t="s">
        <v>28</v>
      </c>
      <c r="P415" t="s">
        <v>29</v>
      </c>
      <c r="Q415" t="s">
        <v>39</v>
      </c>
      <c r="R415" t="str">
        <f>IF(Table1[[#This Row],[Resolution_Time_Hrs]]&gt;Table1[[#This Row],[SLA_Target_Hrs]],"No", "Yes")</f>
        <v>Yes</v>
      </c>
      <c r="S415" t="str">
        <f>IF(Table1[[#This Row],[Calculated_SLA]]=Table1[[#This Row],[SLA_Met]],"Match","Mismatch")</f>
        <v>Match</v>
      </c>
      <c r="T415">
        <f>IF(Table1[[#This Row],[Calculated_SLA]]="Yes",1,0)</f>
        <v>1</v>
      </c>
      <c r="U415" t="str">
        <f>IF(COUNTIFS(Reference_data!A:A,Table1[[#This Row],[Category]],Reference_data!B:B,Table1[[#This Row],[Sub_Category]])&gt;0,"Valid","Invalid")</f>
        <v>Valid</v>
      </c>
      <c r="V415" t="str">
        <f>_xlfn.XLOOKUP([1]!Table1[[#This Row],[Sub_Category]],[1]Reference_data!B:B,[1]Reference_data!A:A)</f>
        <v>Contract &amp; Billing</v>
      </c>
      <c r="W415" t="str">
        <f>IF([1]!Table1[[#This Row],[Category]]=[1]!Table1[[#This Row],[Expected_Category ]],"Valid", "invalid")</f>
        <v>Valid</v>
      </c>
    </row>
    <row r="416" spans="1:23">
      <c r="A416" t="s">
        <v>1308</v>
      </c>
      <c r="B416" t="s">
        <v>60</v>
      </c>
      <c r="C416" s="31" t="s">
        <v>1309</v>
      </c>
      <c r="D416" s="32" t="s">
        <v>1310</v>
      </c>
      <c r="E416" t="s">
        <v>84</v>
      </c>
      <c r="F416" t="s">
        <v>116</v>
      </c>
      <c r="G416" t="s">
        <v>46</v>
      </c>
      <c r="H416" t="s">
        <v>234</v>
      </c>
      <c r="I416" t="s">
        <v>87</v>
      </c>
      <c r="J416">
        <v>6.2</v>
      </c>
      <c r="K416">
        <v>8</v>
      </c>
      <c r="L416" t="s">
        <v>26</v>
      </c>
      <c r="M416">
        <v>5</v>
      </c>
      <c r="N416" t="s">
        <v>27</v>
      </c>
      <c r="O416" t="s">
        <v>28</v>
      </c>
      <c r="P416" t="s">
        <v>29</v>
      </c>
      <c r="Q416" t="s">
        <v>30</v>
      </c>
      <c r="R416" t="str">
        <f>IF(Table1[[#This Row],[Resolution_Time_Hrs]]&gt;Table1[[#This Row],[SLA_Target_Hrs]],"No", "Yes")</f>
        <v>Yes</v>
      </c>
      <c r="S416" t="str">
        <f>IF(Table1[[#This Row],[Calculated_SLA]]=Table1[[#This Row],[SLA_Met]],"Match","Mismatch")</f>
        <v>Match</v>
      </c>
      <c r="T416">
        <f>IF(Table1[[#This Row],[Calculated_SLA]]="Yes",1,0)</f>
        <v>1</v>
      </c>
      <c r="U416" t="str">
        <f>IF(COUNTIFS(Reference_data!A:A,Table1[[#This Row],[Category]],Reference_data!B:B,Table1[[#This Row],[Sub_Category]])&gt;0,"Valid","Invalid")</f>
        <v>Valid</v>
      </c>
      <c r="V416" t="str">
        <f>_xlfn.XLOOKUP([1]!Table1[[#This Row],[Sub_Category]],[1]Reference_data!B:B,[1]Reference_data!A:A)</f>
        <v>Supplies &amp; Logistics</v>
      </c>
      <c r="W416" t="str">
        <f>IF([1]!Table1[[#This Row],[Category]]=[1]!Table1[[#This Row],[Expected_Category ]],"Valid", "invalid")</f>
        <v>Valid</v>
      </c>
    </row>
    <row r="417" spans="1:23">
      <c r="A417" t="s">
        <v>1311</v>
      </c>
      <c r="B417" t="s">
        <v>60</v>
      </c>
      <c r="C417" s="31" t="s">
        <v>1312</v>
      </c>
      <c r="D417" s="32" t="s">
        <v>1313</v>
      </c>
      <c r="E417" t="s">
        <v>21</v>
      </c>
      <c r="F417" t="s">
        <v>63</v>
      </c>
      <c r="G417" t="s">
        <v>46</v>
      </c>
      <c r="H417" t="s">
        <v>138</v>
      </c>
      <c r="I417" t="s">
        <v>25</v>
      </c>
      <c r="J417">
        <v>12.2</v>
      </c>
      <c r="K417">
        <v>8</v>
      </c>
      <c r="L417" t="s">
        <v>27</v>
      </c>
      <c r="M417">
        <v>2</v>
      </c>
      <c r="N417" t="s">
        <v>26</v>
      </c>
      <c r="O417" t="s">
        <v>28</v>
      </c>
      <c r="P417" t="s">
        <v>57</v>
      </c>
      <c r="Q417" t="s">
        <v>39</v>
      </c>
      <c r="R417" t="str">
        <f>IF(Table1[[#This Row],[Resolution_Time_Hrs]]&gt;Table1[[#This Row],[SLA_Target_Hrs]],"No", "Yes")</f>
        <v>No</v>
      </c>
      <c r="S417" t="str">
        <f>IF(Table1[[#This Row],[Calculated_SLA]]=Table1[[#This Row],[SLA_Met]],"Match","Mismatch")</f>
        <v>Match</v>
      </c>
      <c r="T417">
        <f>IF(Table1[[#This Row],[Calculated_SLA]]="Yes",1,0)</f>
        <v>0</v>
      </c>
      <c r="U417" t="str">
        <f>IF(COUNTIFS(Reference_data!A:A,Table1[[#This Row],[Category]],Reference_data!B:B,Table1[[#This Row],[Sub_Category]])&gt;0,"Valid","Invalid")</f>
        <v>Valid</v>
      </c>
      <c r="V417" t="str">
        <f>_xlfn.XLOOKUP([1]!Table1[[#This Row],[Sub_Category]],[1]Reference_data!B:B,[1]Reference_data!A:A)</f>
        <v>Connectivity &amp; Software</v>
      </c>
      <c r="W417" t="str">
        <f>IF([1]!Table1[[#This Row],[Category]]=[1]!Table1[[#This Row],[Expected_Category ]],"Valid", "invalid")</f>
        <v>Valid</v>
      </c>
    </row>
    <row r="418" spans="1:23">
      <c r="A418" t="s">
        <v>1314</v>
      </c>
      <c r="B418" t="s">
        <v>75</v>
      </c>
      <c r="C418" s="31" t="s">
        <v>1315</v>
      </c>
      <c r="D418" s="32" t="s">
        <v>1316</v>
      </c>
      <c r="E418" t="s">
        <v>21</v>
      </c>
      <c r="F418" t="s">
        <v>63</v>
      </c>
      <c r="G418" t="s">
        <v>46</v>
      </c>
      <c r="H418" t="s">
        <v>234</v>
      </c>
      <c r="I418" t="s">
        <v>25</v>
      </c>
      <c r="J418">
        <v>9.4</v>
      </c>
      <c r="K418">
        <v>8</v>
      </c>
      <c r="L418" t="s">
        <v>27</v>
      </c>
      <c r="M418">
        <v>2</v>
      </c>
      <c r="N418" t="s">
        <v>26</v>
      </c>
      <c r="O418" t="s">
        <v>28</v>
      </c>
      <c r="P418" t="s">
        <v>1670</v>
      </c>
      <c r="Q418" t="s">
        <v>30</v>
      </c>
      <c r="R418" t="str">
        <f>IF(Table1[[#This Row],[Resolution_Time_Hrs]]&gt;Table1[[#This Row],[SLA_Target_Hrs]],"No", "Yes")</f>
        <v>No</v>
      </c>
      <c r="S418" t="str">
        <f>IF(Table1[[#This Row],[Calculated_SLA]]=Table1[[#This Row],[SLA_Met]],"Match","Mismatch")</f>
        <v>Match</v>
      </c>
      <c r="T418">
        <f>IF(Table1[[#This Row],[Calculated_SLA]]="Yes",1,0)</f>
        <v>0</v>
      </c>
      <c r="U418" t="str">
        <f>IF(COUNTIFS(Reference_data!A:A,Table1[[#This Row],[Category]],Reference_data!B:B,Table1[[#This Row],[Sub_Category]])&gt;0,"Valid","Invalid")</f>
        <v>Valid</v>
      </c>
      <c r="V418" t="str">
        <f>_xlfn.XLOOKUP([1]!Table1[[#This Row],[Sub_Category]],[1]Reference_data!B:B,[1]Reference_data!A:A)</f>
        <v>Connectivity &amp; Software</v>
      </c>
      <c r="W418" t="str">
        <f>IF([1]!Table1[[#This Row],[Category]]=[1]!Table1[[#This Row],[Expected_Category ]],"Valid", "invalid")</f>
        <v>Valid</v>
      </c>
    </row>
    <row r="419" spans="1:23">
      <c r="A419" t="s">
        <v>1317</v>
      </c>
      <c r="B419" t="s">
        <v>66</v>
      </c>
      <c r="C419" s="31" t="s">
        <v>1318</v>
      </c>
      <c r="D419" s="32" t="s">
        <v>1319</v>
      </c>
      <c r="E419" t="s">
        <v>35</v>
      </c>
      <c r="F419" t="s">
        <v>53</v>
      </c>
      <c r="G419" t="s">
        <v>46</v>
      </c>
      <c r="H419" t="s">
        <v>47</v>
      </c>
      <c r="I419" t="s">
        <v>56</v>
      </c>
      <c r="J419">
        <v>5.5</v>
      </c>
      <c r="K419">
        <v>8</v>
      </c>
      <c r="L419" t="s">
        <v>26</v>
      </c>
      <c r="M419">
        <v>5</v>
      </c>
      <c r="N419" t="s">
        <v>27</v>
      </c>
      <c r="O419" t="s">
        <v>28</v>
      </c>
      <c r="P419" t="s">
        <v>29</v>
      </c>
      <c r="Q419" t="s">
        <v>101</v>
      </c>
      <c r="R419" t="str">
        <f>IF(Table1[[#This Row],[Resolution_Time_Hrs]]&gt;Table1[[#This Row],[SLA_Target_Hrs]],"No", "Yes")</f>
        <v>Yes</v>
      </c>
      <c r="S419" t="str">
        <f>IF(Table1[[#This Row],[Calculated_SLA]]=Table1[[#This Row],[SLA_Met]],"Match","Mismatch")</f>
        <v>Match</v>
      </c>
      <c r="T419">
        <f>IF(Table1[[#This Row],[Calculated_SLA]]="Yes",1,0)</f>
        <v>1</v>
      </c>
      <c r="U419" t="str">
        <f>IF(COUNTIFS(Reference_data!A:A,Table1[[#This Row],[Category]],Reference_data!B:B,Table1[[#This Row],[Sub_Category]])&gt;0,"Valid","Invalid")</f>
        <v>Valid</v>
      </c>
      <c r="V419" t="str">
        <f>_xlfn.XLOOKUP([1]!Table1[[#This Row],[Sub_Category]],[1]Reference_data!B:B,[1]Reference_data!A:A)</f>
        <v>Print Quality</v>
      </c>
      <c r="W419" t="str">
        <f>IF([1]!Table1[[#This Row],[Category]]=[1]!Table1[[#This Row],[Expected_Category ]],"Valid", "invalid")</f>
        <v>Valid</v>
      </c>
    </row>
    <row r="420" spans="1:23">
      <c r="A420" t="s">
        <v>1320</v>
      </c>
      <c r="B420" t="s">
        <v>75</v>
      </c>
      <c r="C420" s="31" t="s">
        <v>1321</v>
      </c>
      <c r="D420" s="32" t="s">
        <v>1322</v>
      </c>
      <c r="E420" t="s">
        <v>21</v>
      </c>
      <c r="F420" t="s">
        <v>63</v>
      </c>
      <c r="G420" t="s">
        <v>23</v>
      </c>
      <c r="H420" t="s">
        <v>47</v>
      </c>
      <c r="I420" t="s">
        <v>25</v>
      </c>
      <c r="J420">
        <v>7.4</v>
      </c>
      <c r="K420">
        <v>24</v>
      </c>
      <c r="L420" t="s">
        <v>26</v>
      </c>
      <c r="M420">
        <v>4</v>
      </c>
      <c r="N420" t="s">
        <v>27</v>
      </c>
      <c r="O420" t="s">
        <v>28</v>
      </c>
      <c r="P420" t="s">
        <v>29</v>
      </c>
      <c r="Q420" t="s">
        <v>101</v>
      </c>
      <c r="R420" t="str">
        <f>IF(Table1[[#This Row],[Resolution_Time_Hrs]]&gt;Table1[[#This Row],[SLA_Target_Hrs]],"No", "Yes")</f>
        <v>Yes</v>
      </c>
      <c r="S420" t="str">
        <f>IF(Table1[[#This Row],[Calculated_SLA]]=Table1[[#This Row],[SLA_Met]],"Match","Mismatch")</f>
        <v>Match</v>
      </c>
      <c r="T420">
        <f>IF(Table1[[#This Row],[Calculated_SLA]]="Yes",1,0)</f>
        <v>1</v>
      </c>
      <c r="U420" t="str">
        <f>IF(COUNTIFS(Reference_data!A:A,Table1[[#This Row],[Category]],Reference_data!B:B,Table1[[#This Row],[Sub_Category]])&gt;0,"Valid","Invalid")</f>
        <v>Valid</v>
      </c>
      <c r="V420" t="str">
        <f>_xlfn.XLOOKUP([1]!Table1[[#This Row],[Sub_Category]],[1]Reference_data!B:B,[1]Reference_data!A:A)</f>
        <v>Connectivity &amp; Software</v>
      </c>
      <c r="W420" t="str">
        <f>IF([1]!Table1[[#This Row],[Category]]=[1]!Table1[[#This Row],[Expected_Category ]],"Valid", "invalid")</f>
        <v>Valid</v>
      </c>
    </row>
    <row r="421" spans="1:23">
      <c r="A421" t="s">
        <v>1323</v>
      </c>
      <c r="B421" t="s">
        <v>32</v>
      </c>
      <c r="C421" s="31" t="s">
        <v>1324</v>
      </c>
      <c r="D421" s="32" t="s">
        <v>1325</v>
      </c>
      <c r="E421" t="s">
        <v>78</v>
      </c>
      <c r="F421" t="s">
        <v>191</v>
      </c>
      <c r="G421" t="s">
        <v>46</v>
      </c>
      <c r="H421" t="s">
        <v>64</v>
      </c>
      <c r="I421" t="s">
        <v>38</v>
      </c>
      <c r="J421">
        <v>12.1</v>
      </c>
      <c r="K421">
        <v>8</v>
      </c>
      <c r="L421" t="s">
        <v>27</v>
      </c>
      <c r="M421">
        <v>3</v>
      </c>
      <c r="N421" t="s">
        <v>27</v>
      </c>
      <c r="O421" t="s">
        <v>28</v>
      </c>
      <c r="P421" t="s">
        <v>1670</v>
      </c>
      <c r="Q421" t="s">
        <v>30</v>
      </c>
      <c r="R421" t="str">
        <f>IF(Table1[[#This Row],[Resolution_Time_Hrs]]&gt;Table1[[#This Row],[SLA_Target_Hrs]],"No", "Yes")</f>
        <v>No</v>
      </c>
      <c r="S421" t="str">
        <f>IF(Table1[[#This Row],[Calculated_SLA]]=Table1[[#This Row],[SLA_Met]],"Match","Mismatch")</f>
        <v>Match</v>
      </c>
      <c r="T421">
        <f>IF(Table1[[#This Row],[Calculated_SLA]]="Yes",1,0)</f>
        <v>0</v>
      </c>
      <c r="U421" t="str">
        <f>IF(COUNTIFS(Reference_data!A:A,Table1[[#This Row],[Category]],Reference_data!B:B,Table1[[#This Row],[Sub_Category]])&gt;0,"Valid","Invalid")</f>
        <v>Valid</v>
      </c>
      <c r="V421" t="str">
        <f>_xlfn.XLOOKUP([1]!Table1[[#This Row],[Sub_Category]],[1]Reference_data!B:B,[1]Reference_data!A:A)</f>
        <v>Hardware &amp; Mechanical</v>
      </c>
      <c r="W421" t="str">
        <f>IF([1]!Table1[[#This Row],[Category]]=[1]!Table1[[#This Row],[Expected_Category ]],"Valid", "invalid")</f>
        <v>Valid</v>
      </c>
    </row>
    <row r="422" spans="1:23">
      <c r="A422" t="s">
        <v>1326</v>
      </c>
      <c r="B422" t="s">
        <v>50</v>
      </c>
      <c r="C422" s="31" t="s">
        <v>1327</v>
      </c>
      <c r="D422" s="32" t="s">
        <v>1328</v>
      </c>
      <c r="E422" t="s">
        <v>84</v>
      </c>
      <c r="F422" t="s">
        <v>116</v>
      </c>
      <c r="G422" t="s">
        <v>46</v>
      </c>
      <c r="H422" t="s">
        <v>234</v>
      </c>
      <c r="I422" t="s">
        <v>87</v>
      </c>
      <c r="J422">
        <v>9.3000000000000007</v>
      </c>
      <c r="K422">
        <v>8</v>
      </c>
      <c r="L422" t="s">
        <v>27</v>
      </c>
      <c r="M422">
        <v>2</v>
      </c>
      <c r="N422" t="s">
        <v>27</v>
      </c>
      <c r="O422" t="s">
        <v>28</v>
      </c>
      <c r="P422" t="s">
        <v>57</v>
      </c>
      <c r="Q422" t="s">
        <v>39</v>
      </c>
      <c r="R422" t="str">
        <f>IF(Table1[[#This Row],[Resolution_Time_Hrs]]&gt;Table1[[#This Row],[SLA_Target_Hrs]],"No", "Yes")</f>
        <v>No</v>
      </c>
      <c r="S422" t="str">
        <f>IF(Table1[[#This Row],[Calculated_SLA]]=Table1[[#This Row],[SLA_Met]],"Match","Mismatch")</f>
        <v>Match</v>
      </c>
      <c r="T422">
        <f>IF(Table1[[#This Row],[Calculated_SLA]]="Yes",1,0)</f>
        <v>0</v>
      </c>
      <c r="U422" t="str">
        <f>IF(COUNTIFS(Reference_data!A:A,Table1[[#This Row],[Category]],Reference_data!B:B,Table1[[#This Row],[Sub_Category]])&gt;0,"Valid","Invalid")</f>
        <v>Valid</v>
      </c>
      <c r="V422" t="str">
        <f>_xlfn.XLOOKUP([1]!Table1[[#This Row],[Sub_Category]],[1]Reference_data!B:B,[1]Reference_data!A:A)</f>
        <v>Supplies &amp; Logistics</v>
      </c>
      <c r="W422" t="str">
        <f>IF([1]!Table1[[#This Row],[Category]]=[1]!Table1[[#This Row],[Expected_Category ]],"Valid", "invalid")</f>
        <v>Valid</v>
      </c>
    </row>
    <row r="423" spans="1:23">
      <c r="A423" t="s">
        <v>1329</v>
      </c>
      <c r="B423" t="s">
        <v>32</v>
      </c>
      <c r="C423" s="31" t="s">
        <v>1330</v>
      </c>
      <c r="D423" s="32" t="s">
        <v>1331</v>
      </c>
      <c r="E423" t="s">
        <v>21</v>
      </c>
      <c r="F423" t="s">
        <v>69</v>
      </c>
      <c r="G423" t="s">
        <v>54</v>
      </c>
      <c r="H423" t="s">
        <v>55</v>
      </c>
      <c r="I423" t="s">
        <v>25</v>
      </c>
      <c r="J423">
        <v>9.8000000000000007</v>
      </c>
      <c r="K423">
        <v>4</v>
      </c>
      <c r="L423" t="s">
        <v>27</v>
      </c>
      <c r="M423">
        <v>1</v>
      </c>
      <c r="N423" t="s">
        <v>26</v>
      </c>
      <c r="O423" t="s">
        <v>28</v>
      </c>
      <c r="P423" t="s">
        <v>57</v>
      </c>
      <c r="Q423" t="s">
        <v>101</v>
      </c>
      <c r="R423" t="str">
        <f>IF(Table1[[#This Row],[Resolution_Time_Hrs]]&gt;Table1[[#This Row],[SLA_Target_Hrs]],"No", "Yes")</f>
        <v>No</v>
      </c>
      <c r="S423" t="str">
        <f>IF(Table1[[#This Row],[Calculated_SLA]]=Table1[[#This Row],[SLA_Met]],"Match","Mismatch")</f>
        <v>Match</v>
      </c>
      <c r="T423">
        <f>IF(Table1[[#This Row],[Calculated_SLA]]="Yes",1,0)</f>
        <v>0</v>
      </c>
      <c r="U423" t="str">
        <f>IF(COUNTIFS(Reference_data!A:A,Table1[[#This Row],[Category]],Reference_data!B:B,Table1[[#This Row],[Sub_Category]])&gt;0,"Valid","Invalid")</f>
        <v>Valid</v>
      </c>
      <c r="V423" t="str">
        <f>_xlfn.XLOOKUP([1]!Table1[[#This Row],[Sub_Category]],[1]Reference_data!B:B,[1]Reference_data!A:A)</f>
        <v>Connectivity &amp; Software</v>
      </c>
      <c r="W423" t="str">
        <f>IF([1]!Table1[[#This Row],[Category]]=[1]!Table1[[#This Row],[Expected_Category ]],"Valid", "invalid")</f>
        <v>Valid</v>
      </c>
    </row>
    <row r="424" spans="1:23">
      <c r="A424" t="s">
        <v>1332</v>
      </c>
      <c r="B424" t="s">
        <v>32</v>
      </c>
      <c r="C424" s="31" t="s">
        <v>1333</v>
      </c>
      <c r="D424" s="32" t="s">
        <v>1334</v>
      </c>
      <c r="E424" t="s">
        <v>44</v>
      </c>
      <c r="F424" t="s">
        <v>109</v>
      </c>
      <c r="G424" t="s">
        <v>46</v>
      </c>
      <c r="H424" t="s">
        <v>24</v>
      </c>
      <c r="I424" t="s">
        <v>48</v>
      </c>
      <c r="J424">
        <v>2.6</v>
      </c>
      <c r="K424">
        <v>8</v>
      </c>
      <c r="L424" t="s">
        <v>26</v>
      </c>
      <c r="M424">
        <v>4</v>
      </c>
      <c r="N424" t="s">
        <v>27</v>
      </c>
      <c r="O424" t="s">
        <v>28</v>
      </c>
      <c r="P424" t="s">
        <v>29</v>
      </c>
      <c r="Q424" t="s">
        <v>58</v>
      </c>
      <c r="R424" t="str">
        <f>IF(Table1[[#This Row],[Resolution_Time_Hrs]]&gt;Table1[[#This Row],[SLA_Target_Hrs]],"No", "Yes")</f>
        <v>Yes</v>
      </c>
      <c r="S424" t="str">
        <f>IF(Table1[[#This Row],[Calculated_SLA]]=Table1[[#This Row],[SLA_Met]],"Match","Mismatch")</f>
        <v>Match</v>
      </c>
      <c r="T424">
        <f>IF(Table1[[#This Row],[Calculated_SLA]]="Yes",1,0)</f>
        <v>1</v>
      </c>
      <c r="U424" t="str">
        <f>IF(COUNTIFS(Reference_data!A:A,Table1[[#This Row],[Category]],Reference_data!B:B,Table1[[#This Row],[Sub_Category]])&gt;0,"Valid","Invalid")</f>
        <v>Valid</v>
      </c>
      <c r="V424" t="str">
        <f>_xlfn.XLOOKUP([1]!Table1[[#This Row],[Sub_Category]],[1]Reference_data!B:B,[1]Reference_data!A:A)</f>
        <v>Contract &amp; Billing</v>
      </c>
      <c r="W424" t="str">
        <f>IF([1]!Table1[[#This Row],[Category]]=[1]!Table1[[#This Row],[Expected_Category ]],"Valid", "invalid")</f>
        <v>Valid</v>
      </c>
    </row>
    <row r="425" spans="1:23">
      <c r="A425" t="s">
        <v>1335</v>
      </c>
      <c r="B425" t="s">
        <v>50</v>
      </c>
      <c r="C425" s="31" t="s">
        <v>1336</v>
      </c>
      <c r="D425" s="32" t="s">
        <v>1337</v>
      </c>
      <c r="E425" t="s">
        <v>21</v>
      </c>
      <c r="F425" t="s">
        <v>63</v>
      </c>
      <c r="G425" t="s">
        <v>46</v>
      </c>
      <c r="H425" t="s">
        <v>138</v>
      </c>
      <c r="I425" t="s">
        <v>25</v>
      </c>
      <c r="J425">
        <v>8.5</v>
      </c>
      <c r="K425">
        <v>8</v>
      </c>
      <c r="L425" t="s">
        <v>27</v>
      </c>
      <c r="M425">
        <v>2</v>
      </c>
      <c r="N425" t="s">
        <v>26</v>
      </c>
      <c r="O425" t="s">
        <v>28</v>
      </c>
      <c r="P425" t="s">
        <v>57</v>
      </c>
      <c r="Q425" t="s">
        <v>101</v>
      </c>
      <c r="R425" t="str">
        <f>IF(Table1[[#This Row],[Resolution_Time_Hrs]]&gt;Table1[[#This Row],[SLA_Target_Hrs]],"No", "Yes")</f>
        <v>No</v>
      </c>
      <c r="S425" t="str">
        <f>IF(Table1[[#This Row],[Calculated_SLA]]=Table1[[#This Row],[SLA_Met]],"Match","Mismatch")</f>
        <v>Match</v>
      </c>
      <c r="T425">
        <f>IF(Table1[[#This Row],[Calculated_SLA]]="Yes",1,0)</f>
        <v>0</v>
      </c>
      <c r="U425" t="str">
        <f>IF(COUNTIFS(Reference_data!A:A,Table1[[#This Row],[Category]],Reference_data!B:B,Table1[[#This Row],[Sub_Category]])&gt;0,"Valid","Invalid")</f>
        <v>Valid</v>
      </c>
      <c r="V425" t="str">
        <f>_xlfn.XLOOKUP([1]!Table1[[#This Row],[Sub_Category]],[1]Reference_data!B:B,[1]Reference_data!A:A)</f>
        <v>Connectivity &amp; Software</v>
      </c>
      <c r="W425" t="str">
        <f>IF([1]!Table1[[#This Row],[Category]]=[1]!Table1[[#This Row],[Expected_Category ]],"Valid", "invalid")</f>
        <v>Valid</v>
      </c>
    </row>
    <row r="426" spans="1:23">
      <c r="A426" t="s">
        <v>1338</v>
      </c>
      <c r="B426" t="s">
        <v>66</v>
      </c>
      <c r="C426" s="31" t="s">
        <v>1339</v>
      </c>
      <c r="D426" s="32" t="s">
        <v>1340</v>
      </c>
      <c r="E426" t="s">
        <v>21</v>
      </c>
      <c r="F426" t="s">
        <v>63</v>
      </c>
      <c r="G426" t="s">
        <v>46</v>
      </c>
      <c r="H426" t="s">
        <v>86</v>
      </c>
      <c r="I426" t="s">
        <v>25</v>
      </c>
      <c r="J426">
        <v>10.4</v>
      </c>
      <c r="K426">
        <v>8</v>
      </c>
      <c r="L426" t="s">
        <v>27</v>
      </c>
      <c r="M426">
        <v>3</v>
      </c>
      <c r="N426" t="s">
        <v>27</v>
      </c>
      <c r="O426" t="s">
        <v>28</v>
      </c>
      <c r="P426" t="s">
        <v>1670</v>
      </c>
      <c r="Q426" t="s">
        <v>39</v>
      </c>
      <c r="R426" t="str">
        <f>IF(Table1[[#This Row],[Resolution_Time_Hrs]]&gt;Table1[[#This Row],[SLA_Target_Hrs]],"No", "Yes")</f>
        <v>No</v>
      </c>
      <c r="S426" t="str">
        <f>IF(Table1[[#This Row],[Calculated_SLA]]=Table1[[#This Row],[SLA_Met]],"Match","Mismatch")</f>
        <v>Match</v>
      </c>
      <c r="T426">
        <f>IF(Table1[[#This Row],[Calculated_SLA]]="Yes",1,0)</f>
        <v>0</v>
      </c>
      <c r="U426" t="str">
        <f>IF(COUNTIFS(Reference_data!A:A,Table1[[#This Row],[Category]],Reference_data!B:B,Table1[[#This Row],[Sub_Category]])&gt;0,"Valid","Invalid")</f>
        <v>Valid</v>
      </c>
      <c r="V426" t="str">
        <f>_xlfn.XLOOKUP([1]!Table1[[#This Row],[Sub_Category]],[1]Reference_data!B:B,[1]Reference_data!A:A)</f>
        <v>Connectivity &amp; Software</v>
      </c>
      <c r="W426" t="str">
        <f>IF([1]!Table1[[#This Row],[Category]]=[1]!Table1[[#This Row],[Expected_Category ]],"Valid", "invalid")</f>
        <v>Valid</v>
      </c>
    </row>
    <row r="427" spans="1:23">
      <c r="A427" t="s">
        <v>1341</v>
      </c>
      <c r="B427" t="s">
        <v>18</v>
      </c>
      <c r="C427" s="31" t="s">
        <v>1342</v>
      </c>
      <c r="D427" s="32" t="s">
        <v>1322</v>
      </c>
      <c r="E427" t="s">
        <v>35</v>
      </c>
      <c r="F427" t="s">
        <v>36</v>
      </c>
      <c r="G427" t="s">
        <v>46</v>
      </c>
      <c r="H427" t="s">
        <v>138</v>
      </c>
      <c r="I427" t="s">
        <v>38</v>
      </c>
      <c r="J427">
        <v>10.5</v>
      </c>
      <c r="K427">
        <v>8</v>
      </c>
      <c r="L427" t="s">
        <v>27</v>
      </c>
      <c r="M427">
        <v>3</v>
      </c>
      <c r="N427" t="s">
        <v>26</v>
      </c>
      <c r="O427" t="s">
        <v>28</v>
      </c>
      <c r="P427" t="s">
        <v>1670</v>
      </c>
      <c r="Q427" t="s">
        <v>58</v>
      </c>
      <c r="R427" t="str">
        <f>IF(Table1[[#This Row],[Resolution_Time_Hrs]]&gt;Table1[[#This Row],[SLA_Target_Hrs]],"No", "Yes")</f>
        <v>No</v>
      </c>
      <c r="S427" t="str">
        <f>IF(Table1[[#This Row],[Calculated_SLA]]=Table1[[#This Row],[SLA_Met]],"Match","Mismatch")</f>
        <v>Match</v>
      </c>
      <c r="T427">
        <f>IF(Table1[[#This Row],[Calculated_SLA]]="Yes",1,0)</f>
        <v>0</v>
      </c>
      <c r="U427" t="str">
        <f>IF(COUNTIFS(Reference_data!A:A,Table1[[#This Row],[Category]],Reference_data!B:B,Table1[[#This Row],[Sub_Category]])&gt;0,"Valid","Invalid")</f>
        <v>Valid</v>
      </c>
      <c r="V427" t="str">
        <f>_xlfn.XLOOKUP([1]!Table1[[#This Row],[Sub_Category]],[1]Reference_data!B:B,[1]Reference_data!A:A)</f>
        <v>Print Quality</v>
      </c>
      <c r="W427" t="str">
        <f>IF([1]!Table1[[#This Row],[Category]]=[1]!Table1[[#This Row],[Expected_Category ]],"Valid", "invalid")</f>
        <v>Valid</v>
      </c>
    </row>
    <row r="428" spans="1:23">
      <c r="A428" t="s">
        <v>1343</v>
      </c>
      <c r="B428" t="s">
        <v>41</v>
      </c>
      <c r="C428" s="31" t="s">
        <v>1344</v>
      </c>
      <c r="D428" s="32" t="s">
        <v>1345</v>
      </c>
      <c r="E428" t="s">
        <v>35</v>
      </c>
      <c r="F428" t="s">
        <v>53</v>
      </c>
      <c r="G428" t="s">
        <v>54</v>
      </c>
      <c r="H428" t="s">
        <v>37</v>
      </c>
      <c r="I428" t="s">
        <v>56</v>
      </c>
      <c r="J428">
        <v>4.9000000000000004</v>
      </c>
      <c r="K428">
        <v>4</v>
      </c>
      <c r="L428" t="s">
        <v>27</v>
      </c>
      <c r="M428">
        <v>1</v>
      </c>
      <c r="N428" t="s">
        <v>26</v>
      </c>
      <c r="O428" t="s">
        <v>28</v>
      </c>
      <c r="P428" t="s">
        <v>57</v>
      </c>
      <c r="Q428" t="s">
        <v>30</v>
      </c>
      <c r="R428" t="str">
        <f>IF(Table1[[#This Row],[Resolution_Time_Hrs]]&gt;Table1[[#This Row],[SLA_Target_Hrs]],"No", "Yes")</f>
        <v>No</v>
      </c>
      <c r="S428" t="str">
        <f>IF(Table1[[#This Row],[Calculated_SLA]]=Table1[[#This Row],[SLA_Met]],"Match","Mismatch")</f>
        <v>Match</v>
      </c>
      <c r="T428">
        <f>IF(Table1[[#This Row],[Calculated_SLA]]="Yes",1,0)</f>
        <v>0</v>
      </c>
      <c r="U428" t="str">
        <f>IF(COUNTIFS(Reference_data!A:A,Table1[[#This Row],[Category]],Reference_data!B:B,Table1[[#This Row],[Sub_Category]])&gt;0,"Valid","Invalid")</f>
        <v>Valid</v>
      </c>
      <c r="V428" t="str">
        <f>_xlfn.XLOOKUP([1]!Table1[[#This Row],[Sub_Category]],[1]Reference_data!B:B,[1]Reference_data!A:A)</f>
        <v>Print Quality</v>
      </c>
      <c r="W428" t="str">
        <f>IF([1]!Table1[[#This Row],[Category]]=[1]!Table1[[#This Row],[Expected_Category ]],"Valid", "invalid")</f>
        <v>Valid</v>
      </c>
    </row>
    <row r="429" spans="1:23">
      <c r="A429" t="s">
        <v>1346</v>
      </c>
      <c r="B429" t="s">
        <v>66</v>
      </c>
      <c r="C429" s="31" t="s">
        <v>1347</v>
      </c>
      <c r="D429" s="32" t="s">
        <v>1348</v>
      </c>
      <c r="E429" t="s">
        <v>84</v>
      </c>
      <c r="F429" t="s">
        <v>116</v>
      </c>
      <c r="G429" t="s">
        <v>46</v>
      </c>
      <c r="H429" t="s">
        <v>234</v>
      </c>
      <c r="I429" t="s">
        <v>87</v>
      </c>
      <c r="J429">
        <v>5.0999999999999996</v>
      </c>
      <c r="K429">
        <v>8</v>
      </c>
      <c r="L429" t="s">
        <v>26</v>
      </c>
      <c r="M429">
        <v>5</v>
      </c>
      <c r="N429" t="s">
        <v>27</v>
      </c>
      <c r="O429" t="s">
        <v>28</v>
      </c>
      <c r="P429" t="s">
        <v>29</v>
      </c>
      <c r="Q429" t="s">
        <v>30</v>
      </c>
      <c r="R429" t="str">
        <f>IF(Table1[[#This Row],[Resolution_Time_Hrs]]&gt;Table1[[#This Row],[SLA_Target_Hrs]],"No", "Yes")</f>
        <v>Yes</v>
      </c>
      <c r="S429" t="str">
        <f>IF(Table1[[#This Row],[Calculated_SLA]]=Table1[[#This Row],[SLA_Met]],"Match","Mismatch")</f>
        <v>Match</v>
      </c>
      <c r="T429">
        <f>IF(Table1[[#This Row],[Calculated_SLA]]="Yes",1,0)</f>
        <v>1</v>
      </c>
      <c r="U429" t="str">
        <f>IF(COUNTIFS(Reference_data!A:A,Table1[[#This Row],[Category]],Reference_data!B:B,Table1[[#This Row],[Sub_Category]])&gt;0,"Valid","Invalid")</f>
        <v>Valid</v>
      </c>
      <c r="V429" t="str">
        <f>_xlfn.XLOOKUP([1]!Table1[[#This Row],[Sub_Category]],[1]Reference_data!B:B,[1]Reference_data!A:A)</f>
        <v>Supplies &amp; Logistics</v>
      </c>
      <c r="W429" t="str">
        <f>IF([1]!Table1[[#This Row],[Category]]=[1]!Table1[[#This Row],[Expected_Category ]],"Valid", "invalid")</f>
        <v>Valid</v>
      </c>
    </row>
    <row r="430" spans="1:23">
      <c r="A430" t="s">
        <v>1349</v>
      </c>
      <c r="B430" t="s">
        <v>60</v>
      </c>
      <c r="C430" s="31" t="s">
        <v>1350</v>
      </c>
      <c r="D430" s="32" t="s">
        <v>1351</v>
      </c>
      <c r="E430" t="s">
        <v>21</v>
      </c>
      <c r="F430" t="s">
        <v>22</v>
      </c>
      <c r="G430" t="s">
        <v>46</v>
      </c>
      <c r="H430" t="s">
        <v>138</v>
      </c>
      <c r="I430" t="s">
        <v>25</v>
      </c>
      <c r="J430">
        <v>15.8</v>
      </c>
      <c r="K430">
        <v>8</v>
      </c>
      <c r="L430" t="s">
        <v>27</v>
      </c>
      <c r="M430">
        <v>3</v>
      </c>
      <c r="N430" t="s">
        <v>27</v>
      </c>
      <c r="O430" t="s">
        <v>28</v>
      </c>
      <c r="P430" t="s">
        <v>57</v>
      </c>
      <c r="Q430" t="s">
        <v>58</v>
      </c>
      <c r="R430" t="str">
        <f>IF(Table1[[#This Row],[Resolution_Time_Hrs]]&gt;Table1[[#This Row],[SLA_Target_Hrs]],"No", "Yes")</f>
        <v>No</v>
      </c>
      <c r="S430" t="str">
        <f>IF(Table1[[#This Row],[Calculated_SLA]]=Table1[[#This Row],[SLA_Met]],"Match","Mismatch")</f>
        <v>Match</v>
      </c>
      <c r="T430">
        <f>IF(Table1[[#This Row],[Calculated_SLA]]="Yes",1,0)</f>
        <v>0</v>
      </c>
      <c r="U430" t="str">
        <f>IF(COUNTIFS(Reference_data!A:A,Table1[[#This Row],[Category]],Reference_data!B:B,Table1[[#This Row],[Sub_Category]])&gt;0,"Valid","Invalid")</f>
        <v>Valid</v>
      </c>
      <c r="V430" t="str">
        <f>_xlfn.XLOOKUP([1]!Table1[[#This Row],[Sub_Category]],[1]Reference_data!B:B,[1]Reference_data!A:A)</f>
        <v>Connectivity &amp; Software</v>
      </c>
      <c r="W430" t="str">
        <f>IF([1]!Table1[[#This Row],[Category]]=[1]!Table1[[#This Row],[Expected_Category ]],"Valid", "invalid")</f>
        <v>Valid</v>
      </c>
    </row>
    <row r="431" spans="1:23">
      <c r="A431" t="s">
        <v>1352</v>
      </c>
      <c r="B431" t="s">
        <v>50</v>
      </c>
      <c r="C431" s="31" t="s">
        <v>1353</v>
      </c>
      <c r="D431" s="32" t="s">
        <v>1354</v>
      </c>
      <c r="E431" t="s">
        <v>21</v>
      </c>
      <c r="F431" t="s">
        <v>63</v>
      </c>
      <c r="G431" t="s">
        <v>54</v>
      </c>
      <c r="H431" t="s">
        <v>55</v>
      </c>
      <c r="I431" t="s">
        <v>25</v>
      </c>
      <c r="J431">
        <v>13.9</v>
      </c>
      <c r="K431">
        <v>4</v>
      </c>
      <c r="L431" t="s">
        <v>27</v>
      </c>
      <c r="M431">
        <v>2</v>
      </c>
      <c r="N431" t="s">
        <v>26</v>
      </c>
      <c r="O431" t="s">
        <v>28</v>
      </c>
      <c r="P431" t="s">
        <v>1670</v>
      </c>
      <c r="Q431" t="s">
        <v>30</v>
      </c>
      <c r="R431" t="str">
        <f>IF(Table1[[#This Row],[Resolution_Time_Hrs]]&gt;Table1[[#This Row],[SLA_Target_Hrs]],"No", "Yes")</f>
        <v>No</v>
      </c>
      <c r="S431" t="str">
        <f>IF(Table1[[#This Row],[Calculated_SLA]]=Table1[[#This Row],[SLA_Met]],"Match","Mismatch")</f>
        <v>Match</v>
      </c>
      <c r="T431">
        <f>IF(Table1[[#This Row],[Calculated_SLA]]="Yes",1,0)</f>
        <v>0</v>
      </c>
      <c r="U431" t="str">
        <f>IF(COUNTIFS(Reference_data!A:A,Table1[[#This Row],[Category]],Reference_data!B:B,Table1[[#This Row],[Sub_Category]])&gt;0,"Valid","Invalid")</f>
        <v>Valid</v>
      </c>
      <c r="V431" t="str">
        <f>_xlfn.XLOOKUP([1]!Table1[[#This Row],[Sub_Category]],[1]Reference_data!B:B,[1]Reference_data!A:A)</f>
        <v>Connectivity &amp; Software</v>
      </c>
      <c r="W431" t="str">
        <f>IF([1]!Table1[[#This Row],[Category]]=[1]!Table1[[#This Row],[Expected_Category ]],"Valid", "invalid")</f>
        <v>Valid</v>
      </c>
    </row>
    <row r="432" spans="1:23">
      <c r="A432" t="s">
        <v>1355</v>
      </c>
      <c r="B432" t="s">
        <v>75</v>
      </c>
      <c r="C432" s="31" t="s">
        <v>1356</v>
      </c>
      <c r="D432" s="32" t="s">
        <v>1357</v>
      </c>
      <c r="E432" t="s">
        <v>78</v>
      </c>
      <c r="F432" t="s">
        <v>166</v>
      </c>
      <c r="G432" t="s">
        <v>46</v>
      </c>
      <c r="H432" t="s">
        <v>91</v>
      </c>
      <c r="I432" t="s">
        <v>80</v>
      </c>
      <c r="J432">
        <v>18.3</v>
      </c>
      <c r="K432">
        <v>8</v>
      </c>
      <c r="L432" t="s">
        <v>27</v>
      </c>
      <c r="M432">
        <v>2</v>
      </c>
      <c r="N432" t="s">
        <v>26</v>
      </c>
      <c r="O432" t="s">
        <v>28</v>
      </c>
      <c r="P432" t="s">
        <v>1670</v>
      </c>
      <c r="Q432" t="s">
        <v>58</v>
      </c>
      <c r="R432" t="str">
        <f>IF(Table1[[#This Row],[Resolution_Time_Hrs]]&gt;Table1[[#This Row],[SLA_Target_Hrs]],"No", "Yes")</f>
        <v>No</v>
      </c>
      <c r="S432" t="str">
        <f>IF(Table1[[#This Row],[Calculated_SLA]]=Table1[[#This Row],[SLA_Met]],"Match","Mismatch")</f>
        <v>Match</v>
      </c>
      <c r="T432">
        <f>IF(Table1[[#This Row],[Calculated_SLA]]="Yes",1,0)</f>
        <v>0</v>
      </c>
      <c r="U432" t="str">
        <f>IF(COUNTIFS(Reference_data!A:A,Table1[[#This Row],[Category]],Reference_data!B:B,Table1[[#This Row],[Sub_Category]])&gt;0,"Valid","Invalid")</f>
        <v>Valid</v>
      </c>
      <c r="V432" t="str">
        <f>_xlfn.XLOOKUP([1]!Table1[[#This Row],[Sub_Category]],[1]Reference_data!B:B,[1]Reference_data!A:A)</f>
        <v>Hardware &amp; Mechanical</v>
      </c>
      <c r="W432" t="str">
        <f>IF([1]!Table1[[#This Row],[Category]]=[1]!Table1[[#This Row],[Expected_Category ]],"Valid", "invalid")</f>
        <v>Valid</v>
      </c>
    </row>
    <row r="433" spans="1:23">
      <c r="A433" t="s">
        <v>1358</v>
      </c>
      <c r="B433" t="s">
        <v>75</v>
      </c>
      <c r="C433" s="31" t="s">
        <v>1359</v>
      </c>
      <c r="D433" s="32" t="s">
        <v>1360</v>
      </c>
      <c r="E433" t="s">
        <v>21</v>
      </c>
      <c r="F433" t="s">
        <v>69</v>
      </c>
      <c r="G433" t="s">
        <v>46</v>
      </c>
      <c r="H433" t="s">
        <v>138</v>
      </c>
      <c r="I433" t="s">
        <v>25</v>
      </c>
      <c r="J433">
        <v>10.199999999999999</v>
      </c>
      <c r="K433">
        <v>8</v>
      </c>
      <c r="L433" t="s">
        <v>27</v>
      </c>
      <c r="M433">
        <v>3</v>
      </c>
      <c r="N433" t="s">
        <v>27</v>
      </c>
      <c r="O433" t="s">
        <v>28</v>
      </c>
      <c r="P433" t="s">
        <v>57</v>
      </c>
      <c r="Q433" t="s">
        <v>58</v>
      </c>
      <c r="R433" t="str">
        <f>IF(Table1[[#This Row],[Resolution_Time_Hrs]]&gt;Table1[[#This Row],[SLA_Target_Hrs]],"No", "Yes")</f>
        <v>No</v>
      </c>
      <c r="S433" t="str">
        <f>IF(Table1[[#This Row],[Calculated_SLA]]=Table1[[#This Row],[SLA_Met]],"Match","Mismatch")</f>
        <v>Match</v>
      </c>
      <c r="T433">
        <f>IF(Table1[[#This Row],[Calculated_SLA]]="Yes",1,0)</f>
        <v>0</v>
      </c>
      <c r="U433" t="str">
        <f>IF(COUNTIFS(Reference_data!A:A,Table1[[#This Row],[Category]],Reference_data!B:B,Table1[[#This Row],[Sub_Category]])&gt;0,"Valid","Invalid")</f>
        <v>Valid</v>
      </c>
      <c r="V433" t="str">
        <f>_xlfn.XLOOKUP([1]!Table1[[#This Row],[Sub_Category]],[1]Reference_data!B:B,[1]Reference_data!A:A)</f>
        <v>Connectivity &amp; Software</v>
      </c>
      <c r="W433" t="str">
        <f>IF([1]!Table1[[#This Row],[Category]]=[1]!Table1[[#This Row],[Expected_Category ]],"Valid", "invalid")</f>
        <v>Valid</v>
      </c>
    </row>
    <row r="434" spans="1:23">
      <c r="A434" t="s">
        <v>1361</v>
      </c>
      <c r="B434" t="s">
        <v>106</v>
      </c>
      <c r="C434" s="31" t="s">
        <v>1362</v>
      </c>
      <c r="D434" s="32" t="s">
        <v>1363</v>
      </c>
      <c r="E434" t="s">
        <v>78</v>
      </c>
      <c r="F434" t="s">
        <v>191</v>
      </c>
      <c r="G434" t="s">
        <v>46</v>
      </c>
      <c r="H434" t="s">
        <v>55</v>
      </c>
      <c r="I434" t="s">
        <v>38</v>
      </c>
      <c r="J434">
        <v>11.2</v>
      </c>
      <c r="K434">
        <v>8</v>
      </c>
      <c r="L434" t="s">
        <v>27</v>
      </c>
      <c r="M434">
        <v>1</v>
      </c>
      <c r="N434" t="s">
        <v>27</v>
      </c>
      <c r="O434" t="s">
        <v>28</v>
      </c>
      <c r="P434" t="s">
        <v>57</v>
      </c>
      <c r="Q434" t="s">
        <v>58</v>
      </c>
      <c r="R434" t="str">
        <f>IF(Table1[[#This Row],[Resolution_Time_Hrs]]&gt;Table1[[#This Row],[SLA_Target_Hrs]],"No", "Yes")</f>
        <v>No</v>
      </c>
      <c r="S434" t="str">
        <f>IF(Table1[[#This Row],[Calculated_SLA]]=Table1[[#This Row],[SLA_Met]],"Match","Mismatch")</f>
        <v>Match</v>
      </c>
      <c r="T434">
        <f>IF(Table1[[#This Row],[Calculated_SLA]]="Yes",1,0)</f>
        <v>0</v>
      </c>
      <c r="U434" t="str">
        <f>IF(COUNTIFS(Reference_data!A:A,Table1[[#This Row],[Category]],Reference_data!B:B,Table1[[#This Row],[Sub_Category]])&gt;0,"Valid","Invalid")</f>
        <v>Valid</v>
      </c>
      <c r="V434" t="str">
        <f>_xlfn.XLOOKUP([1]!Table1[[#This Row],[Sub_Category]],[1]Reference_data!B:B,[1]Reference_data!A:A)</f>
        <v>Hardware &amp; Mechanical</v>
      </c>
      <c r="W434" t="str">
        <f>IF([1]!Table1[[#This Row],[Category]]=[1]!Table1[[#This Row],[Expected_Category ]],"Valid", "invalid")</f>
        <v>Valid</v>
      </c>
    </row>
    <row r="435" spans="1:23">
      <c r="A435" t="s">
        <v>1364</v>
      </c>
      <c r="B435" t="s">
        <v>106</v>
      </c>
      <c r="C435" s="31" t="s">
        <v>1365</v>
      </c>
      <c r="D435" s="32" t="s">
        <v>1366</v>
      </c>
      <c r="E435" t="s">
        <v>78</v>
      </c>
      <c r="F435" t="s">
        <v>191</v>
      </c>
      <c r="G435" t="s">
        <v>46</v>
      </c>
      <c r="H435" t="s">
        <v>86</v>
      </c>
      <c r="I435" t="s">
        <v>38</v>
      </c>
      <c r="J435">
        <v>21.6</v>
      </c>
      <c r="K435">
        <v>8</v>
      </c>
      <c r="L435" t="s">
        <v>27</v>
      </c>
      <c r="M435">
        <v>2</v>
      </c>
      <c r="N435" t="s">
        <v>26</v>
      </c>
      <c r="O435" t="s">
        <v>28</v>
      </c>
      <c r="P435" t="s">
        <v>1670</v>
      </c>
      <c r="Q435" t="s">
        <v>101</v>
      </c>
      <c r="R435" t="str">
        <f>IF(Table1[[#This Row],[Resolution_Time_Hrs]]&gt;Table1[[#This Row],[SLA_Target_Hrs]],"No", "Yes")</f>
        <v>No</v>
      </c>
      <c r="S435" t="str">
        <f>IF(Table1[[#This Row],[Calculated_SLA]]=Table1[[#This Row],[SLA_Met]],"Match","Mismatch")</f>
        <v>Match</v>
      </c>
      <c r="T435">
        <f>IF(Table1[[#This Row],[Calculated_SLA]]="Yes",1,0)</f>
        <v>0</v>
      </c>
      <c r="U435" t="str">
        <f>IF(COUNTIFS(Reference_data!A:A,Table1[[#This Row],[Category]],Reference_data!B:B,Table1[[#This Row],[Sub_Category]])&gt;0,"Valid","Invalid")</f>
        <v>Valid</v>
      </c>
      <c r="V435" t="str">
        <f>_xlfn.XLOOKUP([1]!Table1[[#This Row],[Sub_Category]],[1]Reference_data!B:B,[1]Reference_data!A:A)</f>
        <v>Hardware &amp; Mechanical</v>
      </c>
      <c r="W435" t="str">
        <f>IF([1]!Table1[[#This Row],[Category]]=[1]!Table1[[#This Row],[Expected_Category ]],"Valid", "invalid")</f>
        <v>Valid</v>
      </c>
    </row>
    <row r="436" spans="1:23">
      <c r="A436" t="s">
        <v>1367</v>
      </c>
      <c r="B436" t="s">
        <v>135</v>
      </c>
      <c r="C436" s="31" t="s">
        <v>1368</v>
      </c>
      <c r="D436" s="32" t="s">
        <v>1369</v>
      </c>
      <c r="E436" t="s">
        <v>21</v>
      </c>
      <c r="F436" t="s">
        <v>69</v>
      </c>
      <c r="G436" t="s">
        <v>46</v>
      </c>
      <c r="H436" t="s">
        <v>64</v>
      </c>
      <c r="I436" t="s">
        <v>25</v>
      </c>
      <c r="J436">
        <v>8.5</v>
      </c>
      <c r="K436">
        <v>8</v>
      </c>
      <c r="L436" t="s">
        <v>27</v>
      </c>
      <c r="M436">
        <v>3</v>
      </c>
      <c r="N436" t="s">
        <v>27</v>
      </c>
      <c r="O436" t="s">
        <v>28</v>
      </c>
      <c r="P436" t="s">
        <v>57</v>
      </c>
      <c r="Q436" t="s">
        <v>30</v>
      </c>
      <c r="R436" t="str">
        <f>IF(Table1[[#This Row],[Resolution_Time_Hrs]]&gt;Table1[[#This Row],[SLA_Target_Hrs]],"No", "Yes")</f>
        <v>No</v>
      </c>
      <c r="S436" t="str">
        <f>IF(Table1[[#This Row],[Calculated_SLA]]=Table1[[#This Row],[SLA_Met]],"Match","Mismatch")</f>
        <v>Match</v>
      </c>
      <c r="T436">
        <f>IF(Table1[[#This Row],[Calculated_SLA]]="Yes",1,0)</f>
        <v>0</v>
      </c>
      <c r="U436" t="str">
        <f>IF(COUNTIFS(Reference_data!A:A,Table1[[#This Row],[Category]],Reference_data!B:B,Table1[[#This Row],[Sub_Category]])&gt;0,"Valid","Invalid")</f>
        <v>Valid</v>
      </c>
      <c r="V436" t="str">
        <f>_xlfn.XLOOKUP([1]!Table1[[#This Row],[Sub_Category]],[1]Reference_data!B:B,[1]Reference_data!A:A)</f>
        <v>Connectivity &amp; Software</v>
      </c>
      <c r="W436" t="str">
        <f>IF([1]!Table1[[#This Row],[Category]]=[1]!Table1[[#This Row],[Expected_Category ]],"Valid", "invalid")</f>
        <v>Valid</v>
      </c>
    </row>
    <row r="437" spans="1:23">
      <c r="A437" t="s">
        <v>1370</v>
      </c>
      <c r="B437" t="s">
        <v>50</v>
      </c>
      <c r="C437" s="31" t="s">
        <v>1371</v>
      </c>
      <c r="D437" s="32" t="s">
        <v>1372</v>
      </c>
      <c r="E437" t="s">
        <v>78</v>
      </c>
      <c r="F437" t="s">
        <v>191</v>
      </c>
      <c r="G437" t="s">
        <v>23</v>
      </c>
      <c r="H437" t="s">
        <v>70</v>
      </c>
      <c r="I437" t="s">
        <v>38</v>
      </c>
      <c r="J437">
        <v>11.8</v>
      </c>
      <c r="K437">
        <v>24</v>
      </c>
      <c r="L437" t="s">
        <v>26</v>
      </c>
      <c r="M437">
        <v>4</v>
      </c>
      <c r="N437" t="s">
        <v>27</v>
      </c>
      <c r="O437" t="s">
        <v>28</v>
      </c>
      <c r="P437" t="s">
        <v>29</v>
      </c>
      <c r="Q437" t="s">
        <v>58</v>
      </c>
      <c r="R437" t="str">
        <f>IF(Table1[[#This Row],[Resolution_Time_Hrs]]&gt;Table1[[#This Row],[SLA_Target_Hrs]],"No", "Yes")</f>
        <v>Yes</v>
      </c>
      <c r="S437" t="str">
        <f>IF(Table1[[#This Row],[Calculated_SLA]]=Table1[[#This Row],[SLA_Met]],"Match","Mismatch")</f>
        <v>Match</v>
      </c>
      <c r="T437">
        <f>IF(Table1[[#This Row],[Calculated_SLA]]="Yes",1,0)</f>
        <v>1</v>
      </c>
      <c r="U437" t="str">
        <f>IF(COUNTIFS(Reference_data!A:A,Table1[[#This Row],[Category]],Reference_data!B:B,Table1[[#This Row],[Sub_Category]])&gt;0,"Valid","Invalid")</f>
        <v>Valid</v>
      </c>
      <c r="V437" t="str">
        <f>_xlfn.XLOOKUP([1]!Table1[[#This Row],[Sub_Category]],[1]Reference_data!B:B,[1]Reference_data!A:A)</f>
        <v>Hardware &amp; Mechanical</v>
      </c>
      <c r="W437" t="str">
        <f>IF([1]!Table1[[#This Row],[Category]]=[1]!Table1[[#This Row],[Expected_Category ]],"Valid", "invalid")</f>
        <v>Valid</v>
      </c>
    </row>
    <row r="438" spans="1:23">
      <c r="A438" t="s">
        <v>1373</v>
      </c>
      <c r="B438" t="s">
        <v>75</v>
      </c>
      <c r="C438" s="31" t="s">
        <v>1374</v>
      </c>
      <c r="D438" s="32" t="s">
        <v>1375</v>
      </c>
      <c r="E438" t="s">
        <v>78</v>
      </c>
      <c r="F438" t="s">
        <v>79</v>
      </c>
      <c r="G438" t="s">
        <v>23</v>
      </c>
      <c r="H438" t="s">
        <v>37</v>
      </c>
      <c r="I438" t="s">
        <v>80</v>
      </c>
      <c r="J438">
        <v>10.3</v>
      </c>
      <c r="K438">
        <v>24</v>
      </c>
      <c r="L438" t="s">
        <v>26</v>
      </c>
      <c r="M438">
        <v>5</v>
      </c>
      <c r="N438" t="s">
        <v>27</v>
      </c>
      <c r="O438" t="s">
        <v>28</v>
      </c>
      <c r="P438" t="s">
        <v>29</v>
      </c>
      <c r="Q438" t="s">
        <v>101</v>
      </c>
      <c r="R438" t="str">
        <f>IF(Table1[[#This Row],[Resolution_Time_Hrs]]&gt;Table1[[#This Row],[SLA_Target_Hrs]],"No", "Yes")</f>
        <v>Yes</v>
      </c>
      <c r="S438" t="str">
        <f>IF(Table1[[#This Row],[Calculated_SLA]]=Table1[[#This Row],[SLA_Met]],"Match","Mismatch")</f>
        <v>Match</v>
      </c>
      <c r="T438">
        <f>IF(Table1[[#This Row],[Calculated_SLA]]="Yes",1,0)</f>
        <v>1</v>
      </c>
      <c r="U438" t="str">
        <f>IF(COUNTIFS(Reference_data!A:A,Table1[[#This Row],[Category]],Reference_data!B:B,Table1[[#This Row],[Sub_Category]])&gt;0,"Valid","Invalid")</f>
        <v>Valid</v>
      </c>
      <c r="V438" t="str">
        <f>_xlfn.XLOOKUP([1]!Table1[[#This Row],[Sub_Category]],[1]Reference_data!B:B,[1]Reference_data!A:A)</f>
        <v>Hardware &amp; Mechanical</v>
      </c>
      <c r="W438" t="str">
        <f>IF([1]!Table1[[#This Row],[Category]]=[1]!Table1[[#This Row],[Expected_Category ]],"Valid", "invalid")</f>
        <v>Valid</v>
      </c>
    </row>
    <row r="439" spans="1:23">
      <c r="A439" t="s">
        <v>1376</v>
      </c>
      <c r="B439" t="s">
        <v>50</v>
      </c>
      <c r="C439" s="31" t="s">
        <v>1377</v>
      </c>
      <c r="D439" s="32" t="s">
        <v>1378</v>
      </c>
      <c r="E439" t="s">
        <v>35</v>
      </c>
      <c r="F439" t="s">
        <v>36</v>
      </c>
      <c r="G439" t="s">
        <v>46</v>
      </c>
      <c r="H439" t="s">
        <v>91</v>
      </c>
      <c r="I439" t="s">
        <v>38</v>
      </c>
      <c r="J439">
        <v>6.8</v>
      </c>
      <c r="K439">
        <v>8</v>
      </c>
      <c r="L439" t="s">
        <v>26</v>
      </c>
      <c r="M439">
        <v>4</v>
      </c>
      <c r="N439" t="s">
        <v>27</v>
      </c>
      <c r="O439" t="s">
        <v>28</v>
      </c>
      <c r="P439" t="s">
        <v>29</v>
      </c>
      <c r="Q439" t="s">
        <v>39</v>
      </c>
      <c r="R439" t="str">
        <f>IF(Table1[[#This Row],[Resolution_Time_Hrs]]&gt;Table1[[#This Row],[SLA_Target_Hrs]],"No", "Yes")</f>
        <v>Yes</v>
      </c>
      <c r="S439" t="str">
        <f>IF(Table1[[#This Row],[Calculated_SLA]]=Table1[[#This Row],[SLA_Met]],"Match","Mismatch")</f>
        <v>Match</v>
      </c>
      <c r="T439">
        <f>IF(Table1[[#This Row],[Calculated_SLA]]="Yes",1,0)</f>
        <v>1</v>
      </c>
      <c r="U439" t="str">
        <f>IF(COUNTIFS(Reference_data!A:A,Table1[[#This Row],[Category]],Reference_data!B:B,Table1[[#This Row],[Sub_Category]])&gt;0,"Valid","Invalid")</f>
        <v>Valid</v>
      </c>
      <c r="V439" t="str">
        <f>_xlfn.XLOOKUP([1]!Table1[[#This Row],[Sub_Category]],[1]Reference_data!B:B,[1]Reference_data!A:A)</f>
        <v>Print Quality</v>
      </c>
      <c r="W439" t="str">
        <f>IF([1]!Table1[[#This Row],[Category]]=[1]!Table1[[#This Row],[Expected_Category ]],"Valid", "invalid")</f>
        <v>Valid</v>
      </c>
    </row>
    <row r="440" spans="1:23">
      <c r="A440" t="s">
        <v>1379</v>
      </c>
      <c r="B440" t="s">
        <v>32</v>
      </c>
      <c r="C440" s="31" t="s">
        <v>1380</v>
      </c>
      <c r="D440" s="32" t="s">
        <v>1381</v>
      </c>
      <c r="E440" t="s">
        <v>21</v>
      </c>
      <c r="F440" t="s">
        <v>69</v>
      </c>
      <c r="G440" t="s">
        <v>23</v>
      </c>
      <c r="H440" t="s">
        <v>138</v>
      </c>
      <c r="I440" t="s">
        <v>25</v>
      </c>
      <c r="J440">
        <v>6.8</v>
      </c>
      <c r="K440">
        <v>24</v>
      </c>
      <c r="L440" t="s">
        <v>26</v>
      </c>
      <c r="M440">
        <v>4</v>
      </c>
      <c r="N440" t="s">
        <v>27</v>
      </c>
      <c r="O440" t="s">
        <v>28</v>
      </c>
      <c r="P440" t="s">
        <v>29</v>
      </c>
      <c r="Q440" t="s">
        <v>58</v>
      </c>
      <c r="R440" t="str">
        <f>IF(Table1[[#This Row],[Resolution_Time_Hrs]]&gt;Table1[[#This Row],[SLA_Target_Hrs]],"No", "Yes")</f>
        <v>Yes</v>
      </c>
      <c r="S440" t="str">
        <f>IF(Table1[[#This Row],[Calculated_SLA]]=Table1[[#This Row],[SLA_Met]],"Match","Mismatch")</f>
        <v>Match</v>
      </c>
      <c r="T440">
        <f>IF(Table1[[#This Row],[Calculated_SLA]]="Yes",1,0)</f>
        <v>1</v>
      </c>
      <c r="U440" t="str">
        <f>IF(COUNTIFS(Reference_data!A:A,Table1[[#This Row],[Category]],Reference_data!B:B,Table1[[#This Row],[Sub_Category]])&gt;0,"Valid","Invalid")</f>
        <v>Valid</v>
      </c>
      <c r="V440" t="str">
        <f>_xlfn.XLOOKUP([1]!Table1[[#This Row],[Sub_Category]],[1]Reference_data!B:B,[1]Reference_data!A:A)</f>
        <v>Connectivity &amp; Software</v>
      </c>
      <c r="W440" t="str">
        <f>IF([1]!Table1[[#This Row],[Category]]=[1]!Table1[[#This Row],[Expected_Category ]],"Valid", "invalid")</f>
        <v>Valid</v>
      </c>
    </row>
    <row r="441" spans="1:23">
      <c r="A441" t="s">
        <v>1382</v>
      </c>
      <c r="B441" t="s">
        <v>32</v>
      </c>
      <c r="C441" s="31" t="s">
        <v>1383</v>
      </c>
      <c r="D441" s="32" t="s">
        <v>1384</v>
      </c>
      <c r="E441" t="s">
        <v>21</v>
      </c>
      <c r="F441" t="s">
        <v>63</v>
      </c>
      <c r="G441" t="s">
        <v>46</v>
      </c>
      <c r="H441" t="s">
        <v>55</v>
      </c>
      <c r="I441" t="s">
        <v>25</v>
      </c>
      <c r="J441">
        <v>11.2</v>
      </c>
      <c r="K441">
        <v>8</v>
      </c>
      <c r="L441" t="s">
        <v>27</v>
      </c>
      <c r="M441">
        <v>2</v>
      </c>
      <c r="N441" t="s">
        <v>26</v>
      </c>
      <c r="O441" t="s">
        <v>28</v>
      </c>
      <c r="P441" t="s">
        <v>57</v>
      </c>
      <c r="Q441" t="s">
        <v>101</v>
      </c>
      <c r="R441" t="str">
        <f>IF(Table1[[#This Row],[Resolution_Time_Hrs]]&gt;Table1[[#This Row],[SLA_Target_Hrs]],"No", "Yes")</f>
        <v>No</v>
      </c>
      <c r="S441" t="str">
        <f>IF(Table1[[#This Row],[Calculated_SLA]]=Table1[[#This Row],[SLA_Met]],"Match","Mismatch")</f>
        <v>Match</v>
      </c>
      <c r="T441">
        <f>IF(Table1[[#This Row],[Calculated_SLA]]="Yes",1,0)</f>
        <v>0</v>
      </c>
      <c r="U441" t="str">
        <f>IF(COUNTIFS(Reference_data!A:A,Table1[[#This Row],[Category]],Reference_data!B:B,Table1[[#This Row],[Sub_Category]])&gt;0,"Valid","Invalid")</f>
        <v>Valid</v>
      </c>
      <c r="V441" t="str">
        <f>_xlfn.XLOOKUP([1]!Table1[[#This Row],[Sub_Category]],[1]Reference_data!B:B,[1]Reference_data!A:A)</f>
        <v>Connectivity &amp; Software</v>
      </c>
      <c r="W441" t="str">
        <f>IF([1]!Table1[[#This Row],[Category]]=[1]!Table1[[#This Row],[Expected_Category ]],"Valid", "invalid")</f>
        <v>Valid</v>
      </c>
    </row>
    <row r="442" spans="1:23">
      <c r="A442" t="s">
        <v>1385</v>
      </c>
      <c r="B442" t="s">
        <v>50</v>
      </c>
      <c r="C442" s="31" t="s">
        <v>1386</v>
      </c>
      <c r="D442" s="32" t="s">
        <v>1387</v>
      </c>
      <c r="E442" t="s">
        <v>84</v>
      </c>
      <c r="F442" t="s">
        <v>85</v>
      </c>
      <c r="G442" t="s">
        <v>54</v>
      </c>
      <c r="H442" t="s">
        <v>37</v>
      </c>
      <c r="I442" t="s">
        <v>87</v>
      </c>
      <c r="J442">
        <v>6.6</v>
      </c>
      <c r="K442">
        <v>4</v>
      </c>
      <c r="L442" t="s">
        <v>27</v>
      </c>
      <c r="M442">
        <v>1</v>
      </c>
      <c r="N442" t="s">
        <v>26</v>
      </c>
      <c r="O442" t="s">
        <v>28</v>
      </c>
      <c r="P442" t="s">
        <v>57</v>
      </c>
      <c r="Q442" t="s">
        <v>39</v>
      </c>
      <c r="R442" t="str">
        <f>IF(Table1[[#This Row],[Resolution_Time_Hrs]]&gt;Table1[[#This Row],[SLA_Target_Hrs]],"No", "Yes")</f>
        <v>No</v>
      </c>
      <c r="S442" t="str">
        <f>IF(Table1[[#This Row],[Calculated_SLA]]=Table1[[#This Row],[SLA_Met]],"Match","Mismatch")</f>
        <v>Match</v>
      </c>
      <c r="T442">
        <f>IF(Table1[[#This Row],[Calculated_SLA]]="Yes",1,0)</f>
        <v>0</v>
      </c>
      <c r="U442" t="str">
        <f>IF(COUNTIFS(Reference_data!A:A,Table1[[#This Row],[Category]],Reference_data!B:B,Table1[[#This Row],[Sub_Category]])&gt;0,"Valid","Invalid")</f>
        <v>Valid</v>
      </c>
      <c r="V442" t="str">
        <f>_xlfn.XLOOKUP([1]!Table1[[#This Row],[Sub_Category]],[1]Reference_data!B:B,[1]Reference_data!A:A)</f>
        <v>Supplies &amp; Logistics</v>
      </c>
      <c r="W442" t="str">
        <f>IF([1]!Table1[[#This Row],[Category]]=[1]!Table1[[#This Row],[Expected_Category ]],"Valid", "invalid")</f>
        <v>Valid</v>
      </c>
    </row>
    <row r="443" spans="1:23">
      <c r="A443" t="s">
        <v>1388</v>
      </c>
      <c r="B443" t="s">
        <v>32</v>
      </c>
      <c r="C443" s="31" t="s">
        <v>1389</v>
      </c>
      <c r="D443" s="32" t="s">
        <v>1390</v>
      </c>
      <c r="E443" t="s">
        <v>44</v>
      </c>
      <c r="F443" t="s">
        <v>109</v>
      </c>
      <c r="G443" t="s">
        <v>54</v>
      </c>
      <c r="H443" t="s">
        <v>70</v>
      </c>
      <c r="I443" t="s">
        <v>48</v>
      </c>
      <c r="J443">
        <v>4.7</v>
      </c>
      <c r="K443">
        <v>4</v>
      </c>
      <c r="L443" t="s">
        <v>27</v>
      </c>
      <c r="M443">
        <v>3</v>
      </c>
      <c r="N443" t="s">
        <v>26</v>
      </c>
      <c r="O443" t="s">
        <v>28</v>
      </c>
      <c r="P443" t="s">
        <v>57</v>
      </c>
      <c r="Q443" t="s">
        <v>39</v>
      </c>
      <c r="R443" t="str">
        <f>IF(Table1[[#This Row],[Resolution_Time_Hrs]]&gt;Table1[[#This Row],[SLA_Target_Hrs]],"No", "Yes")</f>
        <v>No</v>
      </c>
      <c r="S443" t="str">
        <f>IF(Table1[[#This Row],[Calculated_SLA]]=Table1[[#This Row],[SLA_Met]],"Match","Mismatch")</f>
        <v>Match</v>
      </c>
      <c r="T443">
        <f>IF(Table1[[#This Row],[Calculated_SLA]]="Yes",1,0)</f>
        <v>0</v>
      </c>
      <c r="U443" t="str">
        <f>IF(COUNTIFS(Reference_data!A:A,Table1[[#This Row],[Category]],Reference_data!B:B,Table1[[#This Row],[Sub_Category]])&gt;0,"Valid","Invalid")</f>
        <v>Valid</v>
      </c>
      <c r="V443" t="str">
        <f>_xlfn.XLOOKUP([1]!Table1[[#This Row],[Sub_Category]],[1]Reference_data!B:B,[1]Reference_data!A:A)</f>
        <v>Contract &amp; Billing</v>
      </c>
      <c r="W443" t="str">
        <f>IF([1]!Table1[[#This Row],[Category]]=[1]!Table1[[#This Row],[Expected_Category ]],"Valid", "invalid")</f>
        <v>Valid</v>
      </c>
    </row>
    <row r="444" spans="1:23">
      <c r="A444" t="s">
        <v>1391</v>
      </c>
      <c r="B444" t="s">
        <v>32</v>
      </c>
      <c r="C444" s="31" t="s">
        <v>1392</v>
      </c>
      <c r="D444" s="32" t="s">
        <v>1393</v>
      </c>
      <c r="E444" t="s">
        <v>21</v>
      </c>
      <c r="F444" t="s">
        <v>63</v>
      </c>
      <c r="G444" t="s">
        <v>46</v>
      </c>
      <c r="H444" t="s">
        <v>91</v>
      </c>
      <c r="I444" t="s">
        <v>25</v>
      </c>
      <c r="J444">
        <v>11.1</v>
      </c>
      <c r="K444">
        <v>8</v>
      </c>
      <c r="L444" t="s">
        <v>27</v>
      </c>
      <c r="M444">
        <v>2</v>
      </c>
      <c r="N444" t="s">
        <v>27</v>
      </c>
      <c r="O444" t="s">
        <v>28</v>
      </c>
      <c r="P444" t="s">
        <v>57</v>
      </c>
      <c r="Q444" t="s">
        <v>39</v>
      </c>
      <c r="R444" t="str">
        <f>IF(Table1[[#This Row],[Resolution_Time_Hrs]]&gt;Table1[[#This Row],[SLA_Target_Hrs]],"No", "Yes")</f>
        <v>No</v>
      </c>
      <c r="S444" t="str">
        <f>IF(Table1[[#This Row],[Calculated_SLA]]=Table1[[#This Row],[SLA_Met]],"Match","Mismatch")</f>
        <v>Match</v>
      </c>
      <c r="T444">
        <f>IF(Table1[[#This Row],[Calculated_SLA]]="Yes",1,0)</f>
        <v>0</v>
      </c>
      <c r="U444" t="str">
        <f>IF(COUNTIFS(Reference_data!A:A,Table1[[#This Row],[Category]],Reference_data!B:B,Table1[[#This Row],[Sub_Category]])&gt;0,"Valid","Invalid")</f>
        <v>Valid</v>
      </c>
      <c r="V444" t="str">
        <f>_xlfn.XLOOKUP([1]!Table1[[#This Row],[Sub_Category]],[1]Reference_data!B:B,[1]Reference_data!A:A)</f>
        <v>Connectivity &amp; Software</v>
      </c>
      <c r="W444" t="str">
        <f>IF([1]!Table1[[#This Row],[Category]]=[1]!Table1[[#This Row],[Expected_Category ]],"Valid", "invalid")</f>
        <v>Valid</v>
      </c>
    </row>
    <row r="445" spans="1:23">
      <c r="A445" t="s">
        <v>1394</v>
      </c>
      <c r="B445" t="s">
        <v>60</v>
      </c>
      <c r="C445" s="31" t="s">
        <v>1395</v>
      </c>
      <c r="D445" s="32" t="s">
        <v>1396</v>
      </c>
      <c r="E445" t="s">
        <v>78</v>
      </c>
      <c r="F445" t="s">
        <v>166</v>
      </c>
      <c r="G445" t="s">
        <v>46</v>
      </c>
      <c r="H445" t="s">
        <v>86</v>
      </c>
      <c r="I445" t="s">
        <v>80</v>
      </c>
      <c r="J445">
        <v>22.3</v>
      </c>
      <c r="K445">
        <v>8</v>
      </c>
      <c r="L445" t="s">
        <v>27</v>
      </c>
      <c r="M445">
        <v>1</v>
      </c>
      <c r="N445" t="s">
        <v>26</v>
      </c>
      <c r="O445" t="s">
        <v>28</v>
      </c>
      <c r="P445" t="s">
        <v>57</v>
      </c>
      <c r="Q445" t="s">
        <v>58</v>
      </c>
      <c r="R445" t="str">
        <f>IF(Table1[[#This Row],[Resolution_Time_Hrs]]&gt;Table1[[#This Row],[SLA_Target_Hrs]],"No", "Yes")</f>
        <v>No</v>
      </c>
      <c r="S445" t="str">
        <f>IF(Table1[[#This Row],[Calculated_SLA]]=Table1[[#This Row],[SLA_Met]],"Match","Mismatch")</f>
        <v>Match</v>
      </c>
      <c r="T445">
        <f>IF(Table1[[#This Row],[Calculated_SLA]]="Yes",1,0)</f>
        <v>0</v>
      </c>
      <c r="U445" t="str">
        <f>IF(COUNTIFS(Reference_data!A:A,Table1[[#This Row],[Category]],Reference_data!B:B,Table1[[#This Row],[Sub_Category]])&gt;0,"Valid","Invalid")</f>
        <v>Valid</v>
      </c>
      <c r="V445" t="str">
        <f>_xlfn.XLOOKUP([1]!Table1[[#This Row],[Sub_Category]],[1]Reference_data!B:B,[1]Reference_data!A:A)</f>
        <v>Hardware &amp; Mechanical</v>
      </c>
      <c r="W445" t="str">
        <f>IF([1]!Table1[[#This Row],[Category]]=[1]!Table1[[#This Row],[Expected_Category ]],"Valid", "invalid")</f>
        <v>Valid</v>
      </c>
    </row>
    <row r="446" spans="1:23">
      <c r="A446" t="s">
        <v>1397</v>
      </c>
      <c r="B446" t="s">
        <v>135</v>
      </c>
      <c r="C446" s="31" t="s">
        <v>1398</v>
      </c>
      <c r="D446" s="32" t="s">
        <v>1399</v>
      </c>
      <c r="E446" t="s">
        <v>78</v>
      </c>
      <c r="F446" t="s">
        <v>191</v>
      </c>
      <c r="G446" t="s">
        <v>46</v>
      </c>
      <c r="H446" t="s">
        <v>234</v>
      </c>
      <c r="I446" t="s">
        <v>38</v>
      </c>
      <c r="J446">
        <v>9.3000000000000007</v>
      </c>
      <c r="K446">
        <v>8</v>
      </c>
      <c r="L446" t="s">
        <v>27</v>
      </c>
      <c r="M446">
        <v>1</v>
      </c>
      <c r="N446" t="s">
        <v>27</v>
      </c>
      <c r="O446" t="s">
        <v>28</v>
      </c>
      <c r="P446" t="s">
        <v>57</v>
      </c>
      <c r="Q446" t="s">
        <v>39</v>
      </c>
      <c r="R446" t="str">
        <f>IF(Table1[[#This Row],[Resolution_Time_Hrs]]&gt;Table1[[#This Row],[SLA_Target_Hrs]],"No", "Yes")</f>
        <v>No</v>
      </c>
      <c r="S446" t="str">
        <f>IF(Table1[[#This Row],[Calculated_SLA]]=Table1[[#This Row],[SLA_Met]],"Match","Mismatch")</f>
        <v>Match</v>
      </c>
      <c r="T446">
        <f>IF(Table1[[#This Row],[Calculated_SLA]]="Yes",1,0)</f>
        <v>0</v>
      </c>
      <c r="U446" t="str">
        <f>IF(COUNTIFS(Reference_data!A:A,Table1[[#This Row],[Category]],Reference_data!B:B,Table1[[#This Row],[Sub_Category]])&gt;0,"Valid","Invalid")</f>
        <v>Valid</v>
      </c>
      <c r="V446" t="str">
        <f>_xlfn.XLOOKUP([1]!Table1[[#This Row],[Sub_Category]],[1]Reference_data!B:B,[1]Reference_data!A:A)</f>
        <v>Hardware &amp; Mechanical</v>
      </c>
      <c r="W446" t="str">
        <f>IF([1]!Table1[[#This Row],[Category]]=[1]!Table1[[#This Row],[Expected_Category ]],"Valid", "invalid")</f>
        <v>Valid</v>
      </c>
    </row>
    <row r="447" spans="1:23">
      <c r="A447" t="s">
        <v>1400</v>
      </c>
      <c r="B447" t="s">
        <v>32</v>
      </c>
      <c r="C447" s="31" t="s">
        <v>1401</v>
      </c>
      <c r="D447" s="32" t="s">
        <v>1402</v>
      </c>
      <c r="E447" t="s">
        <v>35</v>
      </c>
      <c r="F447" t="s">
        <v>127</v>
      </c>
      <c r="G447" t="s">
        <v>46</v>
      </c>
      <c r="H447" t="s">
        <v>24</v>
      </c>
      <c r="I447" t="s">
        <v>56</v>
      </c>
      <c r="J447">
        <v>12.3</v>
      </c>
      <c r="K447">
        <v>8</v>
      </c>
      <c r="L447" t="s">
        <v>27</v>
      </c>
      <c r="M447">
        <v>3</v>
      </c>
      <c r="N447" t="s">
        <v>27</v>
      </c>
      <c r="O447" t="s">
        <v>28</v>
      </c>
      <c r="P447" t="s">
        <v>57</v>
      </c>
      <c r="Q447" t="s">
        <v>58</v>
      </c>
      <c r="R447" t="str">
        <f>IF(Table1[[#This Row],[Resolution_Time_Hrs]]&gt;Table1[[#This Row],[SLA_Target_Hrs]],"No", "Yes")</f>
        <v>No</v>
      </c>
      <c r="S447" t="str">
        <f>IF(Table1[[#This Row],[Calculated_SLA]]=Table1[[#This Row],[SLA_Met]],"Match","Mismatch")</f>
        <v>Match</v>
      </c>
      <c r="T447">
        <f>IF(Table1[[#This Row],[Calculated_SLA]]="Yes",1,0)</f>
        <v>0</v>
      </c>
      <c r="U447" t="str">
        <f>IF(COUNTIFS(Reference_data!A:A,Table1[[#This Row],[Category]],Reference_data!B:B,Table1[[#This Row],[Sub_Category]])&gt;0,"Valid","Invalid")</f>
        <v>Valid</v>
      </c>
      <c r="V447" t="str">
        <f>_xlfn.XLOOKUP([1]!Table1[[#This Row],[Sub_Category]],[1]Reference_data!B:B,[1]Reference_data!A:A)</f>
        <v>Print Quality</v>
      </c>
      <c r="W447" t="str">
        <f>IF([1]!Table1[[#This Row],[Category]]=[1]!Table1[[#This Row],[Expected_Category ]],"Valid", "invalid")</f>
        <v>Valid</v>
      </c>
    </row>
    <row r="448" spans="1:23">
      <c r="A448" t="s">
        <v>1403</v>
      </c>
      <c r="B448" t="s">
        <v>75</v>
      </c>
      <c r="C448" s="31" t="s">
        <v>1404</v>
      </c>
      <c r="D448" s="32" t="s">
        <v>1405</v>
      </c>
      <c r="E448" t="s">
        <v>78</v>
      </c>
      <c r="F448" t="s">
        <v>166</v>
      </c>
      <c r="G448" t="s">
        <v>54</v>
      </c>
      <c r="H448" t="s">
        <v>64</v>
      </c>
      <c r="I448" t="s">
        <v>80</v>
      </c>
      <c r="J448">
        <v>12.7</v>
      </c>
      <c r="K448">
        <v>4</v>
      </c>
      <c r="L448" t="s">
        <v>27</v>
      </c>
      <c r="M448">
        <v>2</v>
      </c>
      <c r="N448" t="s">
        <v>27</v>
      </c>
      <c r="O448" t="s">
        <v>28</v>
      </c>
      <c r="P448" t="s">
        <v>1670</v>
      </c>
      <c r="Q448" t="s">
        <v>101</v>
      </c>
      <c r="R448" t="str">
        <f>IF(Table1[[#This Row],[Resolution_Time_Hrs]]&gt;Table1[[#This Row],[SLA_Target_Hrs]],"No", "Yes")</f>
        <v>No</v>
      </c>
      <c r="S448" t="str">
        <f>IF(Table1[[#This Row],[Calculated_SLA]]=Table1[[#This Row],[SLA_Met]],"Match","Mismatch")</f>
        <v>Match</v>
      </c>
      <c r="T448">
        <f>IF(Table1[[#This Row],[Calculated_SLA]]="Yes",1,0)</f>
        <v>0</v>
      </c>
      <c r="U448" t="str">
        <f>IF(COUNTIFS(Reference_data!A:A,Table1[[#This Row],[Category]],Reference_data!B:B,Table1[[#This Row],[Sub_Category]])&gt;0,"Valid","Invalid")</f>
        <v>Valid</v>
      </c>
      <c r="V448" t="str">
        <f>_xlfn.XLOOKUP([1]!Table1[[#This Row],[Sub_Category]],[1]Reference_data!B:B,[1]Reference_data!A:A)</f>
        <v>Hardware &amp; Mechanical</v>
      </c>
      <c r="W448" t="str">
        <f>IF([1]!Table1[[#This Row],[Category]]=[1]!Table1[[#This Row],[Expected_Category ]],"Valid", "invalid")</f>
        <v>Valid</v>
      </c>
    </row>
    <row r="449" spans="1:23">
      <c r="A449" t="s">
        <v>1406</v>
      </c>
      <c r="B449" t="s">
        <v>75</v>
      </c>
      <c r="C449" s="31" t="s">
        <v>1407</v>
      </c>
      <c r="D449" s="32" t="s">
        <v>1408</v>
      </c>
      <c r="E449" t="s">
        <v>78</v>
      </c>
      <c r="F449" t="s">
        <v>79</v>
      </c>
      <c r="G449" t="s">
        <v>54</v>
      </c>
      <c r="H449" t="s">
        <v>91</v>
      </c>
      <c r="I449" t="s">
        <v>80</v>
      </c>
      <c r="J449">
        <v>20.399999999999999</v>
      </c>
      <c r="K449">
        <v>4</v>
      </c>
      <c r="L449" t="s">
        <v>27</v>
      </c>
      <c r="M449">
        <v>1</v>
      </c>
      <c r="N449" t="s">
        <v>26</v>
      </c>
      <c r="O449" t="s">
        <v>28</v>
      </c>
      <c r="P449" t="s">
        <v>57</v>
      </c>
      <c r="Q449" t="s">
        <v>39</v>
      </c>
      <c r="R449" t="str">
        <f>IF(Table1[[#This Row],[Resolution_Time_Hrs]]&gt;Table1[[#This Row],[SLA_Target_Hrs]],"No", "Yes")</f>
        <v>No</v>
      </c>
      <c r="S449" t="str">
        <f>IF(Table1[[#This Row],[Calculated_SLA]]=Table1[[#This Row],[SLA_Met]],"Match","Mismatch")</f>
        <v>Match</v>
      </c>
      <c r="T449">
        <f>IF(Table1[[#This Row],[Calculated_SLA]]="Yes",1,0)</f>
        <v>0</v>
      </c>
      <c r="U449" t="str">
        <f>IF(COUNTIFS(Reference_data!A:A,Table1[[#This Row],[Category]],Reference_data!B:B,Table1[[#This Row],[Sub_Category]])&gt;0,"Valid","Invalid")</f>
        <v>Valid</v>
      </c>
      <c r="V449" t="str">
        <f>_xlfn.XLOOKUP([1]!Table1[[#This Row],[Sub_Category]],[1]Reference_data!B:B,[1]Reference_data!A:A)</f>
        <v>Hardware &amp; Mechanical</v>
      </c>
      <c r="W449" t="str">
        <f>IF([1]!Table1[[#This Row],[Category]]=[1]!Table1[[#This Row],[Expected_Category ]],"Valid", "invalid")</f>
        <v>Valid</v>
      </c>
    </row>
    <row r="450" spans="1:23">
      <c r="A450" t="s">
        <v>1409</v>
      </c>
      <c r="B450" t="s">
        <v>66</v>
      </c>
      <c r="C450" s="31" t="s">
        <v>1410</v>
      </c>
      <c r="D450" s="32" t="s">
        <v>1411</v>
      </c>
      <c r="E450" t="s">
        <v>35</v>
      </c>
      <c r="F450" t="s">
        <v>53</v>
      </c>
      <c r="G450" t="s">
        <v>46</v>
      </c>
      <c r="H450" t="s">
        <v>70</v>
      </c>
      <c r="I450" t="s">
        <v>56</v>
      </c>
      <c r="J450">
        <v>8.6</v>
      </c>
      <c r="K450">
        <v>8</v>
      </c>
      <c r="L450" t="s">
        <v>27</v>
      </c>
      <c r="M450">
        <v>1</v>
      </c>
      <c r="N450" t="s">
        <v>27</v>
      </c>
      <c r="O450" t="s">
        <v>28</v>
      </c>
      <c r="P450" t="s">
        <v>57</v>
      </c>
      <c r="Q450" t="s">
        <v>30</v>
      </c>
      <c r="R450" t="str">
        <f>IF(Table1[[#This Row],[Resolution_Time_Hrs]]&gt;Table1[[#This Row],[SLA_Target_Hrs]],"No", "Yes")</f>
        <v>No</v>
      </c>
      <c r="S450" t="str">
        <f>IF(Table1[[#This Row],[Calculated_SLA]]=Table1[[#This Row],[SLA_Met]],"Match","Mismatch")</f>
        <v>Match</v>
      </c>
      <c r="T450">
        <f>IF(Table1[[#This Row],[Calculated_SLA]]="Yes",1,0)</f>
        <v>0</v>
      </c>
      <c r="U450" t="str">
        <f>IF(COUNTIFS(Reference_data!A:A,Table1[[#This Row],[Category]],Reference_data!B:B,Table1[[#This Row],[Sub_Category]])&gt;0,"Valid","Invalid")</f>
        <v>Valid</v>
      </c>
      <c r="V450" t="str">
        <f>_xlfn.XLOOKUP([1]!Table1[[#This Row],[Sub_Category]],[1]Reference_data!B:B,[1]Reference_data!A:A)</f>
        <v>Print Quality</v>
      </c>
      <c r="W450" t="str">
        <f>IF([1]!Table1[[#This Row],[Category]]=[1]!Table1[[#This Row],[Expected_Category ]],"Valid", "invalid")</f>
        <v>Valid</v>
      </c>
    </row>
    <row r="451" spans="1:23">
      <c r="A451" t="s">
        <v>1412</v>
      </c>
      <c r="B451" t="s">
        <v>121</v>
      </c>
      <c r="C451" s="31" t="s">
        <v>1413</v>
      </c>
      <c r="D451" s="32" t="s">
        <v>1019</v>
      </c>
      <c r="E451" t="s">
        <v>21</v>
      </c>
      <c r="F451" t="s">
        <v>69</v>
      </c>
      <c r="G451" t="s">
        <v>46</v>
      </c>
      <c r="H451" t="s">
        <v>47</v>
      </c>
      <c r="I451" t="s">
        <v>25</v>
      </c>
      <c r="J451">
        <v>8.1999999999999993</v>
      </c>
      <c r="K451">
        <v>8</v>
      </c>
      <c r="L451" t="s">
        <v>27</v>
      </c>
      <c r="M451">
        <v>1</v>
      </c>
      <c r="N451" t="s">
        <v>27</v>
      </c>
      <c r="O451" t="s">
        <v>28</v>
      </c>
      <c r="P451" t="s">
        <v>57</v>
      </c>
      <c r="Q451" t="s">
        <v>101</v>
      </c>
      <c r="R451" t="str">
        <f>IF(Table1[[#This Row],[Resolution_Time_Hrs]]&gt;Table1[[#This Row],[SLA_Target_Hrs]],"No", "Yes")</f>
        <v>No</v>
      </c>
      <c r="S451" t="str">
        <f>IF(Table1[[#This Row],[Calculated_SLA]]=Table1[[#This Row],[SLA_Met]],"Match","Mismatch")</f>
        <v>Match</v>
      </c>
      <c r="T451">
        <f>IF(Table1[[#This Row],[Calculated_SLA]]="Yes",1,0)</f>
        <v>0</v>
      </c>
      <c r="U451" t="str">
        <f>IF(COUNTIFS(Reference_data!A:A,Table1[[#This Row],[Category]],Reference_data!B:B,Table1[[#This Row],[Sub_Category]])&gt;0,"Valid","Invalid")</f>
        <v>Valid</v>
      </c>
      <c r="V451" t="str">
        <f>_xlfn.XLOOKUP([1]!Table1[[#This Row],[Sub_Category]],[1]Reference_data!B:B,[1]Reference_data!A:A)</f>
        <v>Connectivity &amp; Software</v>
      </c>
      <c r="W451" t="str">
        <f>IF([1]!Table1[[#This Row],[Category]]=[1]!Table1[[#This Row],[Expected_Category ]],"Valid", "invalid")</f>
        <v>Valid</v>
      </c>
    </row>
    <row r="452" spans="1:23">
      <c r="A452" t="s">
        <v>1414</v>
      </c>
      <c r="B452" t="s">
        <v>50</v>
      </c>
      <c r="C452" s="31" t="s">
        <v>1415</v>
      </c>
      <c r="D452" s="32" t="s">
        <v>1416</v>
      </c>
      <c r="E452" t="s">
        <v>35</v>
      </c>
      <c r="F452" t="s">
        <v>127</v>
      </c>
      <c r="G452" t="s">
        <v>23</v>
      </c>
      <c r="H452" t="s">
        <v>37</v>
      </c>
      <c r="I452" t="s">
        <v>56</v>
      </c>
      <c r="J452">
        <v>6.3</v>
      </c>
      <c r="K452">
        <v>24</v>
      </c>
      <c r="L452" t="s">
        <v>26</v>
      </c>
      <c r="M452">
        <v>5</v>
      </c>
      <c r="N452" t="s">
        <v>27</v>
      </c>
      <c r="O452" t="s">
        <v>28</v>
      </c>
      <c r="P452" t="s">
        <v>29</v>
      </c>
      <c r="Q452" t="s">
        <v>30</v>
      </c>
      <c r="R452" t="str">
        <f>IF(Table1[[#This Row],[Resolution_Time_Hrs]]&gt;Table1[[#This Row],[SLA_Target_Hrs]],"No", "Yes")</f>
        <v>Yes</v>
      </c>
      <c r="S452" t="str">
        <f>IF(Table1[[#This Row],[Calculated_SLA]]=Table1[[#This Row],[SLA_Met]],"Match","Mismatch")</f>
        <v>Match</v>
      </c>
      <c r="T452">
        <f>IF(Table1[[#This Row],[Calculated_SLA]]="Yes",1,0)</f>
        <v>1</v>
      </c>
      <c r="U452" t="str">
        <f>IF(COUNTIFS(Reference_data!A:A,Table1[[#This Row],[Category]],Reference_data!B:B,Table1[[#This Row],[Sub_Category]])&gt;0,"Valid","Invalid")</f>
        <v>Valid</v>
      </c>
      <c r="V452" t="str">
        <f>_xlfn.XLOOKUP([1]!Table1[[#This Row],[Sub_Category]],[1]Reference_data!B:B,[1]Reference_data!A:A)</f>
        <v>Print Quality</v>
      </c>
      <c r="W452" t="str">
        <f>IF([1]!Table1[[#This Row],[Category]]=[1]!Table1[[#This Row],[Expected_Category ]],"Valid", "invalid")</f>
        <v>Valid</v>
      </c>
    </row>
    <row r="453" spans="1:23">
      <c r="A453" t="s">
        <v>1417</v>
      </c>
      <c r="B453" t="s">
        <v>50</v>
      </c>
      <c r="C453" s="31" t="s">
        <v>1418</v>
      </c>
      <c r="D453" s="32" t="s">
        <v>1419</v>
      </c>
      <c r="E453" t="s">
        <v>78</v>
      </c>
      <c r="F453" t="s">
        <v>191</v>
      </c>
      <c r="G453" t="s">
        <v>46</v>
      </c>
      <c r="H453" t="s">
        <v>24</v>
      </c>
      <c r="I453" t="s">
        <v>38</v>
      </c>
      <c r="J453">
        <v>20.100000000000001</v>
      </c>
      <c r="K453">
        <v>8</v>
      </c>
      <c r="L453" t="s">
        <v>27</v>
      </c>
      <c r="M453">
        <v>3</v>
      </c>
      <c r="N453" t="s">
        <v>27</v>
      </c>
      <c r="O453" t="s">
        <v>28</v>
      </c>
      <c r="P453" t="s">
        <v>1670</v>
      </c>
      <c r="Q453" t="s">
        <v>101</v>
      </c>
      <c r="R453" t="str">
        <f>IF(Table1[[#This Row],[Resolution_Time_Hrs]]&gt;Table1[[#This Row],[SLA_Target_Hrs]],"No", "Yes")</f>
        <v>No</v>
      </c>
      <c r="S453" t="str">
        <f>IF(Table1[[#This Row],[Calculated_SLA]]=Table1[[#This Row],[SLA_Met]],"Match","Mismatch")</f>
        <v>Match</v>
      </c>
      <c r="T453">
        <f>IF(Table1[[#This Row],[Calculated_SLA]]="Yes",1,0)</f>
        <v>0</v>
      </c>
      <c r="U453" t="str">
        <f>IF(COUNTIFS(Reference_data!A:A,Table1[[#This Row],[Category]],Reference_data!B:B,Table1[[#This Row],[Sub_Category]])&gt;0,"Valid","Invalid")</f>
        <v>Valid</v>
      </c>
      <c r="V453" t="str">
        <f>_xlfn.XLOOKUP([1]!Table1[[#This Row],[Sub_Category]],[1]Reference_data!B:B,[1]Reference_data!A:A)</f>
        <v>Hardware &amp; Mechanical</v>
      </c>
      <c r="W453" t="str">
        <f>IF([1]!Table1[[#This Row],[Category]]=[1]!Table1[[#This Row],[Expected_Category ]],"Valid", "invalid")</f>
        <v>Valid</v>
      </c>
    </row>
    <row r="454" spans="1:23">
      <c r="A454" t="s">
        <v>1420</v>
      </c>
      <c r="B454" t="s">
        <v>50</v>
      </c>
      <c r="C454" s="31" t="s">
        <v>1421</v>
      </c>
      <c r="D454" s="32" t="s">
        <v>1422</v>
      </c>
      <c r="E454" t="s">
        <v>78</v>
      </c>
      <c r="F454" t="s">
        <v>79</v>
      </c>
      <c r="G454" t="s">
        <v>46</v>
      </c>
      <c r="H454" t="s">
        <v>64</v>
      </c>
      <c r="I454" t="s">
        <v>80</v>
      </c>
      <c r="J454">
        <v>7.1</v>
      </c>
      <c r="K454">
        <v>8</v>
      </c>
      <c r="L454" t="s">
        <v>26</v>
      </c>
      <c r="M454">
        <v>5</v>
      </c>
      <c r="N454" t="s">
        <v>27</v>
      </c>
      <c r="O454" t="s">
        <v>28</v>
      </c>
      <c r="P454" t="s">
        <v>29</v>
      </c>
      <c r="Q454" t="s">
        <v>101</v>
      </c>
      <c r="R454" t="str">
        <f>IF(Table1[[#This Row],[Resolution_Time_Hrs]]&gt;Table1[[#This Row],[SLA_Target_Hrs]],"No", "Yes")</f>
        <v>Yes</v>
      </c>
      <c r="S454" t="str">
        <f>IF(Table1[[#This Row],[Calculated_SLA]]=Table1[[#This Row],[SLA_Met]],"Match","Mismatch")</f>
        <v>Match</v>
      </c>
      <c r="T454">
        <f>IF(Table1[[#This Row],[Calculated_SLA]]="Yes",1,0)</f>
        <v>1</v>
      </c>
      <c r="U454" t="str">
        <f>IF(COUNTIFS(Reference_data!A:A,Table1[[#This Row],[Category]],Reference_data!B:B,Table1[[#This Row],[Sub_Category]])&gt;0,"Valid","Invalid")</f>
        <v>Valid</v>
      </c>
      <c r="V454" t="str">
        <f>_xlfn.XLOOKUP([1]!Table1[[#This Row],[Sub_Category]],[1]Reference_data!B:B,[1]Reference_data!A:A)</f>
        <v>Hardware &amp; Mechanical</v>
      </c>
      <c r="W454" t="str">
        <f>IF([1]!Table1[[#This Row],[Category]]=[1]!Table1[[#This Row],[Expected_Category ]],"Valid", "invalid")</f>
        <v>Valid</v>
      </c>
    </row>
    <row r="455" spans="1:23">
      <c r="A455" t="s">
        <v>1423</v>
      </c>
      <c r="B455" t="s">
        <v>32</v>
      </c>
      <c r="C455" s="31" t="s">
        <v>1424</v>
      </c>
      <c r="D455" s="32" t="s">
        <v>1425</v>
      </c>
      <c r="E455" t="s">
        <v>78</v>
      </c>
      <c r="F455" t="s">
        <v>191</v>
      </c>
      <c r="G455" t="s">
        <v>46</v>
      </c>
      <c r="H455" t="s">
        <v>55</v>
      </c>
      <c r="I455" t="s">
        <v>38</v>
      </c>
      <c r="J455">
        <v>12.6</v>
      </c>
      <c r="K455">
        <v>8</v>
      </c>
      <c r="L455" t="s">
        <v>27</v>
      </c>
      <c r="M455">
        <v>1</v>
      </c>
      <c r="N455" t="s">
        <v>27</v>
      </c>
      <c r="O455" t="s">
        <v>28</v>
      </c>
      <c r="P455" t="s">
        <v>1670</v>
      </c>
      <c r="Q455" t="s">
        <v>101</v>
      </c>
      <c r="R455" t="str">
        <f>IF(Table1[[#This Row],[Resolution_Time_Hrs]]&gt;Table1[[#This Row],[SLA_Target_Hrs]],"No", "Yes")</f>
        <v>No</v>
      </c>
      <c r="S455" t="str">
        <f>IF(Table1[[#This Row],[Calculated_SLA]]=Table1[[#This Row],[SLA_Met]],"Match","Mismatch")</f>
        <v>Match</v>
      </c>
      <c r="T455">
        <f>IF(Table1[[#This Row],[Calculated_SLA]]="Yes",1,0)</f>
        <v>0</v>
      </c>
      <c r="U455" t="str">
        <f>IF(COUNTIFS(Reference_data!A:A,Table1[[#This Row],[Category]],Reference_data!B:B,Table1[[#This Row],[Sub_Category]])&gt;0,"Valid","Invalid")</f>
        <v>Valid</v>
      </c>
      <c r="V455" t="str">
        <f>_xlfn.XLOOKUP([1]!Table1[[#This Row],[Sub_Category]],[1]Reference_data!B:B,[1]Reference_data!A:A)</f>
        <v>Hardware &amp; Mechanical</v>
      </c>
      <c r="W455" t="str">
        <f>IF([1]!Table1[[#This Row],[Category]]=[1]!Table1[[#This Row],[Expected_Category ]],"Valid", "invalid")</f>
        <v>Valid</v>
      </c>
    </row>
    <row r="456" spans="1:23">
      <c r="A456" t="s">
        <v>1426</v>
      </c>
      <c r="B456" t="s">
        <v>135</v>
      </c>
      <c r="C456" s="31" t="s">
        <v>1427</v>
      </c>
      <c r="D456" s="32" t="s">
        <v>1428</v>
      </c>
      <c r="E456" t="s">
        <v>21</v>
      </c>
      <c r="F456" t="s">
        <v>69</v>
      </c>
      <c r="G456" t="s">
        <v>46</v>
      </c>
      <c r="H456" t="s">
        <v>91</v>
      </c>
      <c r="I456" t="s">
        <v>25</v>
      </c>
      <c r="J456">
        <v>14.1</v>
      </c>
      <c r="K456">
        <v>8</v>
      </c>
      <c r="L456" t="s">
        <v>27</v>
      </c>
      <c r="M456">
        <v>1</v>
      </c>
      <c r="N456" t="s">
        <v>27</v>
      </c>
      <c r="O456" t="s">
        <v>28</v>
      </c>
      <c r="P456" t="s">
        <v>1670</v>
      </c>
      <c r="Q456" t="s">
        <v>30</v>
      </c>
      <c r="R456" t="str">
        <f>IF(Table1[[#This Row],[Resolution_Time_Hrs]]&gt;Table1[[#This Row],[SLA_Target_Hrs]],"No", "Yes")</f>
        <v>No</v>
      </c>
      <c r="S456" t="str">
        <f>IF(Table1[[#This Row],[Calculated_SLA]]=Table1[[#This Row],[SLA_Met]],"Match","Mismatch")</f>
        <v>Match</v>
      </c>
      <c r="T456">
        <f>IF(Table1[[#This Row],[Calculated_SLA]]="Yes",1,0)</f>
        <v>0</v>
      </c>
      <c r="U456" t="str">
        <f>IF(COUNTIFS(Reference_data!A:A,Table1[[#This Row],[Category]],Reference_data!B:B,Table1[[#This Row],[Sub_Category]])&gt;0,"Valid","Invalid")</f>
        <v>Valid</v>
      </c>
      <c r="V456" t="str">
        <f>_xlfn.XLOOKUP([1]!Table1[[#This Row],[Sub_Category]],[1]Reference_data!B:B,[1]Reference_data!A:A)</f>
        <v>Connectivity &amp; Software</v>
      </c>
      <c r="W456" t="str">
        <f>IF([1]!Table1[[#This Row],[Category]]=[1]!Table1[[#This Row],[Expected_Category ]],"Valid", "invalid")</f>
        <v>Valid</v>
      </c>
    </row>
    <row r="457" spans="1:23">
      <c r="A457" t="s">
        <v>1429</v>
      </c>
      <c r="B457" t="s">
        <v>135</v>
      </c>
      <c r="C457" s="31" t="s">
        <v>1430</v>
      </c>
      <c r="D457" s="32" t="s">
        <v>1431</v>
      </c>
      <c r="E457" t="s">
        <v>35</v>
      </c>
      <c r="F457" t="s">
        <v>53</v>
      </c>
      <c r="G457" t="s">
        <v>23</v>
      </c>
      <c r="H457" t="s">
        <v>47</v>
      </c>
      <c r="I457" t="s">
        <v>56</v>
      </c>
      <c r="J457">
        <v>7.3</v>
      </c>
      <c r="K457">
        <v>24</v>
      </c>
      <c r="L457" t="s">
        <v>26</v>
      </c>
      <c r="M457">
        <v>4</v>
      </c>
      <c r="N457" t="s">
        <v>27</v>
      </c>
      <c r="O457" t="s">
        <v>28</v>
      </c>
      <c r="P457" t="s">
        <v>29</v>
      </c>
      <c r="Q457" t="s">
        <v>58</v>
      </c>
      <c r="R457" t="str">
        <f>IF(Table1[[#This Row],[Resolution_Time_Hrs]]&gt;Table1[[#This Row],[SLA_Target_Hrs]],"No", "Yes")</f>
        <v>Yes</v>
      </c>
      <c r="S457" t="str">
        <f>IF(Table1[[#This Row],[Calculated_SLA]]=Table1[[#This Row],[SLA_Met]],"Match","Mismatch")</f>
        <v>Match</v>
      </c>
      <c r="T457">
        <f>IF(Table1[[#This Row],[Calculated_SLA]]="Yes",1,0)</f>
        <v>1</v>
      </c>
      <c r="U457" t="str">
        <f>IF(COUNTIFS(Reference_data!A:A,Table1[[#This Row],[Category]],Reference_data!B:B,Table1[[#This Row],[Sub_Category]])&gt;0,"Valid","Invalid")</f>
        <v>Valid</v>
      </c>
      <c r="V457" t="str">
        <f>_xlfn.XLOOKUP([1]!Table1[[#This Row],[Sub_Category]],[1]Reference_data!B:B,[1]Reference_data!A:A)</f>
        <v>Print Quality</v>
      </c>
      <c r="W457" t="str">
        <f>IF([1]!Table1[[#This Row],[Category]]=[1]!Table1[[#This Row],[Expected_Category ]],"Valid", "invalid")</f>
        <v>Valid</v>
      </c>
    </row>
    <row r="458" spans="1:23">
      <c r="A458" t="s">
        <v>1432</v>
      </c>
      <c r="B458" t="s">
        <v>60</v>
      </c>
      <c r="C458" s="31" t="s">
        <v>1433</v>
      </c>
      <c r="D458" s="32" t="s">
        <v>1434</v>
      </c>
      <c r="E458" t="s">
        <v>78</v>
      </c>
      <c r="F458" t="s">
        <v>191</v>
      </c>
      <c r="G458" t="s">
        <v>54</v>
      </c>
      <c r="H458" t="s">
        <v>138</v>
      </c>
      <c r="I458" t="s">
        <v>38</v>
      </c>
      <c r="J458">
        <v>19.3</v>
      </c>
      <c r="K458">
        <v>4</v>
      </c>
      <c r="L458" t="s">
        <v>27</v>
      </c>
      <c r="M458">
        <v>3</v>
      </c>
      <c r="N458" t="s">
        <v>27</v>
      </c>
      <c r="O458" t="s">
        <v>28</v>
      </c>
      <c r="P458" t="s">
        <v>57</v>
      </c>
      <c r="Q458" t="s">
        <v>39</v>
      </c>
      <c r="R458" t="str">
        <f>IF(Table1[[#This Row],[Resolution_Time_Hrs]]&gt;Table1[[#This Row],[SLA_Target_Hrs]],"No", "Yes")</f>
        <v>No</v>
      </c>
      <c r="S458" t="str">
        <f>IF(Table1[[#This Row],[Calculated_SLA]]=Table1[[#This Row],[SLA_Met]],"Match","Mismatch")</f>
        <v>Match</v>
      </c>
      <c r="T458">
        <f>IF(Table1[[#This Row],[Calculated_SLA]]="Yes",1,0)</f>
        <v>0</v>
      </c>
      <c r="U458" t="str">
        <f>IF(COUNTIFS(Reference_data!A:A,Table1[[#This Row],[Category]],Reference_data!B:B,Table1[[#This Row],[Sub_Category]])&gt;0,"Valid","Invalid")</f>
        <v>Valid</v>
      </c>
      <c r="V458" t="str">
        <f>_xlfn.XLOOKUP([1]!Table1[[#This Row],[Sub_Category]],[1]Reference_data!B:B,[1]Reference_data!A:A)</f>
        <v>Hardware &amp; Mechanical</v>
      </c>
      <c r="W458" t="str">
        <f>IF([1]!Table1[[#This Row],[Category]]=[1]!Table1[[#This Row],[Expected_Category ]],"Valid", "invalid")</f>
        <v>Valid</v>
      </c>
    </row>
    <row r="459" spans="1:23">
      <c r="A459" t="s">
        <v>1435</v>
      </c>
      <c r="B459" t="s">
        <v>60</v>
      </c>
      <c r="C459" s="31" t="s">
        <v>1436</v>
      </c>
      <c r="D459" s="32" t="s">
        <v>1437</v>
      </c>
      <c r="E459" t="s">
        <v>21</v>
      </c>
      <c r="F459" t="s">
        <v>63</v>
      </c>
      <c r="G459" t="s">
        <v>23</v>
      </c>
      <c r="H459" t="s">
        <v>47</v>
      </c>
      <c r="I459" t="s">
        <v>25</v>
      </c>
      <c r="J459">
        <v>9.9</v>
      </c>
      <c r="K459">
        <v>24</v>
      </c>
      <c r="L459" t="s">
        <v>27</v>
      </c>
      <c r="M459">
        <v>3</v>
      </c>
      <c r="N459" t="s">
        <v>26</v>
      </c>
      <c r="O459" t="s">
        <v>28</v>
      </c>
      <c r="P459" t="s">
        <v>1670</v>
      </c>
      <c r="Q459" t="s">
        <v>39</v>
      </c>
      <c r="R459" t="str">
        <f>IF(Table1[[#This Row],[Resolution_Time_Hrs]]&gt;Table1[[#This Row],[SLA_Target_Hrs]],"No", "Yes")</f>
        <v>Yes</v>
      </c>
      <c r="S459" t="str">
        <f>IF(Table1[[#This Row],[Calculated_SLA]]=Table1[[#This Row],[SLA_Met]],"Match","Mismatch")</f>
        <v>Mismatch</v>
      </c>
      <c r="T459">
        <f>IF(Table1[[#This Row],[Calculated_SLA]]="Yes",1,0)</f>
        <v>1</v>
      </c>
      <c r="U459" t="str">
        <f>IF(COUNTIFS(Reference_data!A:A,Table1[[#This Row],[Category]],Reference_data!B:B,Table1[[#This Row],[Sub_Category]])&gt;0,"Valid","Invalid")</f>
        <v>Valid</v>
      </c>
      <c r="V459" t="str">
        <f>_xlfn.XLOOKUP([1]!Table1[[#This Row],[Sub_Category]],[1]Reference_data!B:B,[1]Reference_data!A:A)</f>
        <v>Connectivity &amp; Software</v>
      </c>
      <c r="W459" t="str">
        <f>IF([1]!Table1[[#This Row],[Category]]=[1]!Table1[[#This Row],[Expected_Category ]],"Valid", "invalid")</f>
        <v>Valid</v>
      </c>
    </row>
    <row r="460" spans="1:23">
      <c r="A460" t="s">
        <v>1438</v>
      </c>
      <c r="B460" t="s">
        <v>50</v>
      </c>
      <c r="C460" s="31" t="s">
        <v>1439</v>
      </c>
      <c r="D460" s="32" t="s">
        <v>1440</v>
      </c>
      <c r="E460" t="s">
        <v>21</v>
      </c>
      <c r="F460" t="s">
        <v>22</v>
      </c>
      <c r="G460" t="s">
        <v>54</v>
      </c>
      <c r="H460" t="s">
        <v>55</v>
      </c>
      <c r="I460" t="s">
        <v>25</v>
      </c>
      <c r="J460">
        <v>9.5</v>
      </c>
      <c r="K460">
        <v>4</v>
      </c>
      <c r="L460" t="s">
        <v>27</v>
      </c>
      <c r="M460">
        <v>2</v>
      </c>
      <c r="N460" t="s">
        <v>26</v>
      </c>
      <c r="O460" t="s">
        <v>28</v>
      </c>
      <c r="P460" t="s">
        <v>1670</v>
      </c>
      <c r="Q460" t="s">
        <v>39</v>
      </c>
      <c r="R460" t="str">
        <f>IF(Table1[[#This Row],[Resolution_Time_Hrs]]&gt;Table1[[#This Row],[SLA_Target_Hrs]],"No", "Yes")</f>
        <v>No</v>
      </c>
      <c r="S460" t="str">
        <f>IF(Table1[[#This Row],[Calculated_SLA]]=Table1[[#This Row],[SLA_Met]],"Match","Mismatch")</f>
        <v>Match</v>
      </c>
      <c r="T460">
        <f>IF(Table1[[#This Row],[Calculated_SLA]]="Yes",1,0)</f>
        <v>0</v>
      </c>
      <c r="U460" t="str">
        <f>IF(COUNTIFS(Reference_data!A:A,Table1[[#This Row],[Category]],Reference_data!B:B,Table1[[#This Row],[Sub_Category]])&gt;0,"Valid","Invalid")</f>
        <v>Valid</v>
      </c>
      <c r="V460" t="str">
        <f>_xlfn.XLOOKUP([1]!Table1[[#This Row],[Sub_Category]],[1]Reference_data!B:B,[1]Reference_data!A:A)</f>
        <v>Connectivity &amp; Software</v>
      </c>
      <c r="W460" t="str">
        <f>IF([1]!Table1[[#This Row],[Category]]=[1]!Table1[[#This Row],[Expected_Category ]],"Valid", "invalid")</f>
        <v>Valid</v>
      </c>
    </row>
    <row r="461" spans="1:23">
      <c r="A461" t="s">
        <v>1441</v>
      </c>
      <c r="B461" t="s">
        <v>135</v>
      </c>
      <c r="C461" s="31" t="s">
        <v>1442</v>
      </c>
      <c r="D461" s="32" t="s">
        <v>1443</v>
      </c>
      <c r="E461" t="s">
        <v>35</v>
      </c>
      <c r="F461" t="s">
        <v>127</v>
      </c>
      <c r="G461" t="s">
        <v>54</v>
      </c>
      <c r="H461" t="s">
        <v>70</v>
      </c>
      <c r="I461" t="s">
        <v>56</v>
      </c>
      <c r="J461">
        <v>4.9000000000000004</v>
      </c>
      <c r="K461">
        <v>4</v>
      </c>
      <c r="L461" t="s">
        <v>27</v>
      </c>
      <c r="M461">
        <v>2</v>
      </c>
      <c r="N461" t="s">
        <v>26</v>
      </c>
      <c r="O461" t="s">
        <v>28</v>
      </c>
      <c r="P461" t="s">
        <v>57</v>
      </c>
      <c r="Q461" t="s">
        <v>58</v>
      </c>
      <c r="R461" t="str">
        <f>IF(Table1[[#This Row],[Resolution_Time_Hrs]]&gt;Table1[[#This Row],[SLA_Target_Hrs]],"No", "Yes")</f>
        <v>No</v>
      </c>
      <c r="S461" t="str">
        <f>IF(Table1[[#This Row],[Calculated_SLA]]=Table1[[#This Row],[SLA_Met]],"Match","Mismatch")</f>
        <v>Match</v>
      </c>
      <c r="T461">
        <f>IF(Table1[[#This Row],[Calculated_SLA]]="Yes",1,0)</f>
        <v>0</v>
      </c>
      <c r="U461" t="str">
        <f>IF(COUNTIFS(Reference_data!A:A,Table1[[#This Row],[Category]],Reference_data!B:B,Table1[[#This Row],[Sub_Category]])&gt;0,"Valid","Invalid")</f>
        <v>Valid</v>
      </c>
      <c r="V461" t="str">
        <f>_xlfn.XLOOKUP([1]!Table1[[#This Row],[Sub_Category]],[1]Reference_data!B:B,[1]Reference_data!A:A)</f>
        <v>Print Quality</v>
      </c>
      <c r="W461" t="str">
        <f>IF([1]!Table1[[#This Row],[Category]]=[1]!Table1[[#This Row],[Expected_Category ]],"Valid", "invalid")</f>
        <v>Valid</v>
      </c>
    </row>
    <row r="462" spans="1:23">
      <c r="A462" t="s">
        <v>1444</v>
      </c>
      <c r="B462" t="s">
        <v>135</v>
      </c>
      <c r="C462" s="31" t="s">
        <v>1445</v>
      </c>
      <c r="D462" s="32" t="s">
        <v>1446</v>
      </c>
      <c r="E462" t="s">
        <v>21</v>
      </c>
      <c r="F462" t="s">
        <v>63</v>
      </c>
      <c r="G462" t="s">
        <v>23</v>
      </c>
      <c r="H462" t="s">
        <v>234</v>
      </c>
      <c r="I462" t="s">
        <v>25</v>
      </c>
      <c r="J462">
        <v>15</v>
      </c>
      <c r="K462">
        <v>24</v>
      </c>
      <c r="L462" t="s">
        <v>26</v>
      </c>
      <c r="M462">
        <v>4</v>
      </c>
      <c r="N462" t="s">
        <v>27</v>
      </c>
      <c r="O462" t="s">
        <v>28</v>
      </c>
      <c r="P462" t="s">
        <v>29</v>
      </c>
      <c r="Q462" t="s">
        <v>58</v>
      </c>
      <c r="R462" t="str">
        <f>IF(Table1[[#This Row],[Resolution_Time_Hrs]]&gt;Table1[[#This Row],[SLA_Target_Hrs]],"No", "Yes")</f>
        <v>Yes</v>
      </c>
      <c r="S462" t="str">
        <f>IF(Table1[[#This Row],[Calculated_SLA]]=Table1[[#This Row],[SLA_Met]],"Match","Mismatch")</f>
        <v>Match</v>
      </c>
      <c r="T462">
        <f>IF(Table1[[#This Row],[Calculated_SLA]]="Yes",1,0)</f>
        <v>1</v>
      </c>
      <c r="U462" t="str">
        <f>IF(COUNTIFS(Reference_data!A:A,Table1[[#This Row],[Category]],Reference_data!B:B,Table1[[#This Row],[Sub_Category]])&gt;0,"Valid","Invalid")</f>
        <v>Valid</v>
      </c>
      <c r="V462" t="str">
        <f>_xlfn.XLOOKUP([1]!Table1[[#This Row],[Sub_Category]],[1]Reference_data!B:B,[1]Reference_data!A:A)</f>
        <v>Connectivity &amp; Software</v>
      </c>
      <c r="W462" t="str">
        <f>IF([1]!Table1[[#This Row],[Category]]=[1]!Table1[[#This Row],[Expected_Category ]],"Valid", "invalid")</f>
        <v>Valid</v>
      </c>
    </row>
    <row r="463" spans="1:23">
      <c r="A463" t="s">
        <v>1447</v>
      </c>
      <c r="B463" t="s">
        <v>75</v>
      </c>
      <c r="C463" s="31" t="s">
        <v>1448</v>
      </c>
      <c r="D463" s="32" t="s">
        <v>1449</v>
      </c>
      <c r="E463" t="s">
        <v>21</v>
      </c>
      <c r="F463" t="s">
        <v>63</v>
      </c>
      <c r="G463" t="s">
        <v>46</v>
      </c>
      <c r="H463" t="s">
        <v>37</v>
      </c>
      <c r="I463" t="s">
        <v>25</v>
      </c>
      <c r="J463">
        <v>7.4</v>
      </c>
      <c r="K463">
        <v>8</v>
      </c>
      <c r="L463" t="s">
        <v>26</v>
      </c>
      <c r="M463">
        <v>4</v>
      </c>
      <c r="N463" t="s">
        <v>27</v>
      </c>
      <c r="O463" t="s">
        <v>28</v>
      </c>
      <c r="P463" t="s">
        <v>29</v>
      </c>
      <c r="Q463" t="s">
        <v>101</v>
      </c>
      <c r="R463" t="str">
        <f>IF(Table1[[#This Row],[Resolution_Time_Hrs]]&gt;Table1[[#This Row],[SLA_Target_Hrs]],"No", "Yes")</f>
        <v>Yes</v>
      </c>
      <c r="S463" t="str">
        <f>IF(Table1[[#This Row],[Calculated_SLA]]=Table1[[#This Row],[SLA_Met]],"Match","Mismatch")</f>
        <v>Match</v>
      </c>
      <c r="T463">
        <f>IF(Table1[[#This Row],[Calculated_SLA]]="Yes",1,0)</f>
        <v>1</v>
      </c>
      <c r="U463" t="str">
        <f>IF(COUNTIFS(Reference_data!A:A,Table1[[#This Row],[Category]],Reference_data!B:B,Table1[[#This Row],[Sub_Category]])&gt;0,"Valid","Invalid")</f>
        <v>Valid</v>
      </c>
      <c r="V463" t="str">
        <f>_xlfn.XLOOKUP([1]!Table1[[#This Row],[Sub_Category]],[1]Reference_data!B:B,[1]Reference_data!A:A)</f>
        <v>Connectivity &amp; Software</v>
      </c>
      <c r="W463" t="str">
        <f>IF([1]!Table1[[#This Row],[Category]]=[1]!Table1[[#This Row],[Expected_Category ]],"Valid", "invalid")</f>
        <v>Valid</v>
      </c>
    </row>
    <row r="464" spans="1:23">
      <c r="A464" t="s">
        <v>1450</v>
      </c>
      <c r="B464" t="s">
        <v>41</v>
      </c>
      <c r="C464" s="31" t="s">
        <v>1451</v>
      </c>
      <c r="D464" s="32" t="s">
        <v>1452</v>
      </c>
      <c r="E464" t="s">
        <v>35</v>
      </c>
      <c r="F464" t="s">
        <v>53</v>
      </c>
      <c r="G464" t="s">
        <v>46</v>
      </c>
      <c r="H464" t="s">
        <v>55</v>
      </c>
      <c r="I464" t="s">
        <v>56</v>
      </c>
      <c r="J464">
        <v>11.7</v>
      </c>
      <c r="K464">
        <v>8</v>
      </c>
      <c r="L464" t="s">
        <v>27</v>
      </c>
      <c r="M464">
        <v>3</v>
      </c>
      <c r="N464" t="s">
        <v>26</v>
      </c>
      <c r="O464" t="s">
        <v>28</v>
      </c>
      <c r="P464" t="s">
        <v>1670</v>
      </c>
      <c r="Q464" t="s">
        <v>101</v>
      </c>
      <c r="R464" t="str">
        <f>IF(Table1[[#This Row],[Resolution_Time_Hrs]]&gt;Table1[[#This Row],[SLA_Target_Hrs]],"No", "Yes")</f>
        <v>No</v>
      </c>
      <c r="S464" t="str">
        <f>IF(Table1[[#This Row],[Calculated_SLA]]=Table1[[#This Row],[SLA_Met]],"Match","Mismatch")</f>
        <v>Match</v>
      </c>
      <c r="T464">
        <f>IF(Table1[[#This Row],[Calculated_SLA]]="Yes",1,0)</f>
        <v>0</v>
      </c>
      <c r="U464" t="str">
        <f>IF(COUNTIFS(Reference_data!A:A,Table1[[#This Row],[Category]],Reference_data!B:B,Table1[[#This Row],[Sub_Category]])&gt;0,"Valid","Invalid")</f>
        <v>Valid</v>
      </c>
      <c r="V464" t="str">
        <f>_xlfn.XLOOKUP([1]!Table1[[#This Row],[Sub_Category]],[1]Reference_data!B:B,[1]Reference_data!A:A)</f>
        <v>Print Quality</v>
      </c>
      <c r="W464" t="str">
        <f>IF([1]!Table1[[#This Row],[Category]]=[1]!Table1[[#This Row],[Expected_Category ]],"Valid", "invalid")</f>
        <v>Valid</v>
      </c>
    </row>
    <row r="465" spans="1:23">
      <c r="A465" t="s">
        <v>1453</v>
      </c>
      <c r="B465" t="s">
        <v>32</v>
      </c>
      <c r="C465" s="31" t="s">
        <v>1454</v>
      </c>
      <c r="D465" s="32" t="s">
        <v>1455</v>
      </c>
      <c r="E465" t="s">
        <v>44</v>
      </c>
      <c r="F465" t="s">
        <v>45</v>
      </c>
      <c r="G465" t="s">
        <v>23</v>
      </c>
      <c r="H465" t="s">
        <v>37</v>
      </c>
      <c r="I465" t="s">
        <v>48</v>
      </c>
      <c r="J465">
        <v>2</v>
      </c>
      <c r="K465">
        <v>24</v>
      </c>
      <c r="L465" t="s">
        <v>26</v>
      </c>
      <c r="M465">
        <v>5</v>
      </c>
      <c r="N465" t="s">
        <v>27</v>
      </c>
      <c r="O465" t="s">
        <v>28</v>
      </c>
      <c r="P465" t="s">
        <v>29</v>
      </c>
      <c r="Q465" t="s">
        <v>101</v>
      </c>
      <c r="R465" t="str">
        <f>IF(Table1[[#This Row],[Resolution_Time_Hrs]]&gt;Table1[[#This Row],[SLA_Target_Hrs]],"No", "Yes")</f>
        <v>Yes</v>
      </c>
      <c r="S465" t="str">
        <f>IF(Table1[[#This Row],[Calculated_SLA]]=Table1[[#This Row],[SLA_Met]],"Match","Mismatch")</f>
        <v>Match</v>
      </c>
      <c r="T465">
        <f>IF(Table1[[#This Row],[Calculated_SLA]]="Yes",1,0)</f>
        <v>1</v>
      </c>
      <c r="U465" t="str">
        <f>IF(COUNTIFS(Reference_data!A:A,Table1[[#This Row],[Category]],Reference_data!B:B,Table1[[#This Row],[Sub_Category]])&gt;0,"Valid","Invalid")</f>
        <v>Valid</v>
      </c>
      <c r="V465" t="str">
        <f>_xlfn.XLOOKUP([1]!Table1[[#This Row],[Sub_Category]],[1]Reference_data!B:B,[1]Reference_data!A:A)</f>
        <v>Contract &amp; Billing</v>
      </c>
      <c r="W465" t="str">
        <f>IF([1]!Table1[[#This Row],[Category]]=[1]!Table1[[#This Row],[Expected_Category ]],"Valid", "invalid")</f>
        <v>Valid</v>
      </c>
    </row>
    <row r="466" spans="1:23">
      <c r="A466" t="s">
        <v>1456</v>
      </c>
      <c r="B466" t="s">
        <v>32</v>
      </c>
      <c r="C466" s="31" t="s">
        <v>1457</v>
      </c>
      <c r="D466" s="32" t="s">
        <v>1458</v>
      </c>
      <c r="E466" t="s">
        <v>84</v>
      </c>
      <c r="F466" t="s">
        <v>116</v>
      </c>
      <c r="G466" t="s">
        <v>46</v>
      </c>
      <c r="H466" t="s">
        <v>138</v>
      </c>
      <c r="I466" t="s">
        <v>87</v>
      </c>
      <c r="J466">
        <v>8.6999999999999993</v>
      </c>
      <c r="K466">
        <v>8</v>
      </c>
      <c r="L466" t="s">
        <v>27</v>
      </c>
      <c r="M466">
        <v>2</v>
      </c>
      <c r="N466" t="s">
        <v>26</v>
      </c>
      <c r="O466" t="s">
        <v>28</v>
      </c>
      <c r="P466" t="s">
        <v>57</v>
      </c>
      <c r="Q466" t="s">
        <v>58</v>
      </c>
      <c r="R466" t="str">
        <f>IF(Table1[[#This Row],[Resolution_Time_Hrs]]&gt;Table1[[#This Row],[SLA_Target_Hrs]],"No", "Yes")</f>
        <v>No</v>
      </c>
      <c r="S466" t="str">
        <f>IF(Table1[[#This Row],[Calculated_SLA]]=Table1[[#This Row],[SLA_Met]],"Match","Mismatch")</f>
        <v>Match</v>
      </c>
      <c r="T466">
        <f>IF(Table1[[#This Row],[Calculated_SLA]]="Yes",1,0)</f>
        <v>0</v>
      </c>
      <c r="U466" t="str">
        <f>IF(COUNTIFS(Reference_data!A:A,Table1[[#This Row],[Category]],Reference_data!B:B,Table1[[#This Row],[Sub_Category]])&gt;0,"Valid","Invalid")</f>
        <v>Valid</v>
      </c>
      <c r="V466" t="str">
        <f>_xlfn.XLOOKUP([1]!Table1[[#This Row],[Sub_Category]],[1]Reference_data!B:B,[1]Reference_data!A:A)</f>
        <v>Supplies &amp; Logistics</v>
      </c>
      <c r="W466" t="str">
        <f>IF([1]!Table1[[#This Row],[Category]]=[1]!Table1[[#This Row],[Expected_Category ]],"Valid", "invalid")</f>
        <v>Valid</v>
      </c>
    </row>
    <row r="467" spans="1:23">
      <c r="A467" t="s">
        <v>1459</v>
      </c>
      <c r="B467" t="s">
        <v>75</v>
      </c>
      <c r="C467" s="31" t="s">
        <v>1460</v>
      </c>
      <c r="D467" s="32" t="s">
        <v>1461</v>
      </c>
      <c r="E467" t="s">
        <v>35</v>
      </c>
      <c r="F467" t="s">
        <v>127</v>
      </c>
      <c r="G467" t="s">
        <v>23</v>
      </c>
      <c r="H467" t="s">
        <v>24</v>
      </c>
      <c r="I467" t="s">
        <v>56</v>
      </c>
      <c r="J467">
        <v>15.6</v>
      </c>
      <c r="K467">
        <v>24</v>
      </c>
      <c r="L467" t="s">
        <v>27</v>
      </c>
      <c r="M467">
        <v>2</v>
      </c>
      <c r="N467" t="s">
        <v>27</v>
      </c>
      <c r="O467" t="s">
        <v>28</v>
      </c>
      <c r="P467" t="s">
        <v>57</v>
      </c>
      <c r="Q467" t="s">
        <v>39</v>
      </c>
      <c r="R467" t="str">
        <f>IF(Table1[[#This Row],[Resolution_Time_Hrs]]&gt;Table1[[#This Row],[SLA_Target_Hrs]],"No", "Yes")</f>
        <v>Yes</v>
      </c>
      <c r="S467" t="str">
        <f>IF(Table1[[#This Row],[Calculated_SLA]]=Table1[[#This Row],[SLA_Met]],"Match","Mismatch")</f>
        <v>Mismatch</v>
      </c>
      <c r="T467">
        <f>IF(Table1[[#This Row],[Calculated_SLA]]="Yes",1,0)</f>
        <v>1</v>
      </c>
      <c r="U467" t="str">
        <f>IF(COUNTIFS(Reference_data!A:A,Table1[[#This Row],[Category]],Reference_data!B:B,Table1[[#This Row],[Sub_Category]])&gt;0,"Valid","Invalid")</f>
        <v>Valid</v>
      </c>
      <c r="V467" t="str">
        <f>_xlfn.XLOOKUP([1]!Table1[[#This Row],[Sub_Category]],[1]Reference_data!B:B,[1]Reference_data!A:A)</f>
        <v>Print Quality</v>
      </c>
      <c r="W467" t="str">
        <f>IF([1]!Table1[[#This Row],[Category]]=[1]!Table1[[#This Row],[Expected_Category ]],"Valid", "invalid")</f>
        <v>Valid</v>
      </c>
    </row>
    <row r="468" spans="1:23">
      <c r="A468" t="s">
        <v>1462</v>
      </c>
      <c r="B468" t="s">
        <v>135</v>
      </c>
      <c r="C468" s="31" t="s">
        <v>1463</v>
      </c>
      <c r="D468" s="32" t="s">
        <v>1464</v>
      </c>
      <c r="E468" t="s">
        <v>21</v>
      </c>
      <c r="F468" t="s">
        <v>63</v>
      </c>
      <c r="G468" t="s">
        <v>23</v>
      </c>
      <c r="H468" t="s">
        <v>70</v>
      </c>
      <c r="I468" t="s">
        <v>25</v>
      </c>
      <c r="J468">
        <v>11.2</v>
      </c>
      <c r="K468">
        <v>24</v>
      </c>
      <c r="L468" t="s">
        <v>26</v>
      </c>
      <c r="M468">
        <v>5</v>
      </c>
      <c r="N468" t="s">
        <v>27</v>
      </c>
      <c r="O468" t="s">
        <v>28</v>
      </c>
      <c r="P468" t="s">
        <v>29</v>
      </c>
      <c r="Q468" t="s">
        <v>58</v>
      </c>
      <c r="R468" t="str">
        <f>IF(Table1[[#This Row],[Resolution_Time_Hrs]]&gt;Table1[[#This Row],[SLA_Target_Hrs]],"No", "Yes")</f>
        <v>Yes</v>
      </c>
      <c r="S468" t="str">
        <f>IF(Table1[[#This Row],[Calculated_SLA]]=Table1[[#This Row],[SLA_Met]],"Match","Mismatch")</f>
        <v>Match</v>
      </c>
      <c r="T468">
        <f>IF(Table1[[#This Row],[Calculated_SLA]]="Yes",1,0)</f>
        <v>1</v>
      </c>
      <c r="U468" t="str">
        <f>IF(COUNTIFS(Reference_data!A:A,Table1[[#This Row],[Category]],Reference_data!B:B,Table1[[#This Row],[Sub_Category]])&gt;0,"Valid","Invalid")</f>
        <v>Valid</v>
      </c>
      <c r="V468" t="str">
        <f>_xlfn.XLOOKUP([1]!Table1[[#This Row],[Sub_Category]],[1]Reference_data!B:B,[1]Reference_data!A:A)</f>
        <v>Connectivity &amp; Software</v>
      </c>
      <c r="W468" t="str">
        <f>IF([1]!Table1[[#This Row],[Category]]=[1]!Table1[[#This Row],[Expected_Category ]],"Valid", "invalid")</f>
        <v>Valid</v>
      </c>
    </row>
    <row r="469" spans="1:23">
      <c r="A469" t="s">
        <v>1465</v>
      </c>
      <c r="B469" t="s">
        <v>32</v>
      </c>
      <c r="C469" s="31" t="s">
        <v>1466</v>
      </c>
      <c r="D469" s="32" t="s">
        <v>1467</v>
      </c>
      <c r="E469" t="s">
        <v>21</v>
      </c>
      <c r="F469" t="s">
        <v>69</v>
      </c>
      <c r="G469" t="s">
        <v>23</v>
      </c>
      <c r="H469" t="s">
        <v>91</v>
      </c>
      <c r="I469" t="s">
        <v>25</v>
      </c>
      <c r="J469">
        <v>8.1999999999999993</v>
      </c>
      <c r="K469">
        <v>24</v>
      </c>
      <c r="L469" t="s">
        <v>26</v>
      </c>
      <c r="M469">
        <v>5</v>
      </c>
      <c r="N469" t="s">
        <v>27</v>
      </c>
      <c r="O469" t="s">
        <v>28</v>
      </c>
      <c r="P469" t="s">
        <v>29</v>
      </c>
      <c r="Q469" t="s">
        <v>101</v>
      </c>
      <c r="R469" t="str">
        <f>IF(Table1[[#This Row],[Resolution_Time_Hrs]]&gt;Table1[[#This Row],[SLA_Target_Hrs]],"No", "Yes")</f>
        <v>Yes</v>
      </c>
      <c r="S469" t="str">
        <f>IF(Table1[[#This Row],[Calculated_SLA]]=Table1[[#This Row],[SLA_Met]],"Match","Mismatch")</f>
        <v>Match</v>
      </c>
      <c r="T469">
        <f>IF(Table1[[#This Row],[Calculated_SLA]]="Yes",1,0)</f>
        <v>1</v>
      </c>
      <c r="U469" t="str">
        <f>IF(COUNTIFS(Reference_data!A:A,Table1[[#This Row],[Category]],Reference_data!B:B,Table1[[#This Row],[Sub_Category]])&gt;0,"Valid","Invalid")</f>
        <v>Valid</v>
      </c>
      <c r="V469" t="str">
        <f>_xlfn.XLOOKUP([1]!Table1[[#This Row],[Sub_Category]],[1]Reference_data!B:B,[1]Reference_data!A:A)</f>
        <v>Connectivity &amp; Software</v>
      </c>
      <c r="W469" t="str">
        <f>IF([1]!Table1[[#This Row],[Category]]=[1]!Table1[[#This Row],[Expected_Category ]],"Valid", "invalid")</f>
        <v>Valid</v>
      </c>
    </row>
    <row r="470" spans="1:23">
      <c r="A470" t="s">
        <v>1468</v>
      </c>
      <c r="B470" t="s">
        <v>75</v>
      </c>
      <c r="C470" s="31" t="s">
        <v>1469</v>
      </c>
      <c r="D470" s="32" t="s">
        <v>1470</v>
      </c>
      <c r="E470" t="s">
        <v>21</v>
      </c>
      <c r="F470" t="s">
        <v>22</v>
      </c>
      <c r="G470" t="s">
        <v>46</v>
      </c>
      <c r="H470" t="s">
        <v>86</v>
      </c>
      <c r="I470" t="s">
        <v>25</v>
      </c>
      <c r="J470">
        <v>12.1</v>
      </c>
      <c r="K470">
        <v>8</v>
      </c>
      <c r="L470" t="s">
        <v>27</v>
      </c>
      <c r="M470">
        <v>3</v>
      </c>
      <c r="N470" t="s">
        <v>27</v>
      </c>
      <c r="O470" t="s">
        <v>28</v>
      </c>
      <c r="P470" t="s">
        <v>1670</v>
      </c>
      <c r="Q470" t="s">
        <v>58</v>
      </c>
      <c r="R470" t="str">
        <f>IF(Table1[[#This Row],[Resolution_Time_Hrs]]&gt;Table1[[#This Row],[SLA_Target_Hrs]],"No", "Yes")</f>
        <v>No</v>
      </c>
      <c r="S470" t="str">
        <f>IF(Table1[[#This Row],[Calculated_SLA]]=Table1[[#This Row],[SLA_Met]],"Match","Mismatch")</f>
        <v>Match</v>
      </c>
      <c r="T470">
        <f>IF(Table1[[#This Row],[Calculated_SLA]]="Yes",1,0)</f>
        <v>0</v>
      </c>
      <c r="U470" t="str">
        <f>IF(COUNTIFS(Reference_data!A:A,Table1[[#This Row],[Category]],Reference_data!B:B,Table1[[#This Row],[Sub_Category]])&gt;0,"Valid","Invalid")</f>
        <v>Valid</v>
      </c>
      <c r="V470" t="str">
        <f>_xlfn.XLOOKUP([1]!Table1[[#This Row],[Sub_Category]],[1]Reference_data!B:B,[1]Reference_data!A:A)</f>
        <v>Connectivity &amp; Software</v>
      </c>
      <c r="W470" t="str">
        <f>IF([1]!Table1[[#This Row],[Category]]=[1]!Table1[[#This Row],[Expected_Category ]],"Valid", "invalid")</f>
        <v>Valid</v>
      </c>
    </row>
    <row r="471" spans="1:23">
      <c r="A471" t="s">
        <v>1471</v>
      </c>
      <c r="B471" t="s">
        <v>121</v>
      </c>
      <c r="C471" s="31" t="s">
        <v>1472</v>
      </c>
      <c r="D471" s="32" t="s">
        <v>1473</v>
      </c>
      <c r="E471" t="s">
        <v>78</v>
      </c>
      <c r="F471" t="s">
        <v>166</v>
      </c>
      <c r="G471" t="s">
        <v>23</v>
      </c>
      <c r="H471" t="s">
        <v>47</v>
      </c>
      <c r="I471" t="s">
        <v>80</v>
      </c>
      <c r="J471">
        <v>14.8</v>
      </c>
      <c r="K471">
        <v>24</v>
      </c>
      <c r="L471" t="s">
        <v>26</v>
      </c>
      <c r="M471">
        <v>4</v>
      </c>
      <c r="N471" t="s">
        <v>27</v>
      </c>
      <c r="O471" t="s">
        <v>28</v>
      </c>
      <c r="P471" t="s">
        <v>29</v>
      </c>
      <c r="Q471" t="s">
        <v>101</v>
      </c>
      <c r="R471" t="str">
        <f>IF(Table1[[#This Row],[Resolution_Time_Hrs]]&gt;Table1[[#This Row],[SLA_Target_Hrs]],"No", "Yes")</f>
        <v>Yes</v>
      </c>
      <c r="S471" t="str">
        <f>IF(Table1[[#This Row],[Calculated_SLA]]=Table1[[#This Row],[SLA_Met]],"Match","Mismatch")</f>
        <v>Match</v>
      </c>
      <c r="T471">
        <f>IF(Table1[[#This Row],[Calculated_SLA]]="Yes",1,0)</f>
        <v>1</v>
      </c>
      <c r="U471" t="str">
        <f>IF(COUNTIFS(Reference_data!A:A,Table1[[#This Row],[Category]],Reference_data!B:B,Table1[[#This Row],[Sub_Category]])&gt;0,"Valid","Invalid")</f>
        <v>Valid</v>
      </c>
      <c r="V471" t="str">
        <f>_xlfn.XLOOKUP([1]!Table1[[#This Row],[Sub_Category]],[1]Reference_data!B:B,[1]Reference_data!A:A)</f>
        <v>Hardware &amp; Mechanical</v>
      </c>
      <c r="W471" t="str">
        <f>IF([1]!Table1[[#This Row],[Category]]=[1]!Table1[[#This Row],[Expected_Category ]],"Valid", "invalid")</f>
        <v>Valid</v>
      </c>
    </row>
    <row r="472" spans="1:23">
      <c r="A472" t="s">
        <v>1474</v>
      </c>
      <c r="B472" t="s">
        <v>32</v>
      </c>
      <c r="C472" s="31" t="s">
        <v>1475</v>
      </c>
      <c r="D472" s="32" t="s">
        <v>1476</v>
      </c>
      <c r="E472" t="s">
        <v>84</v>
      </c>
      <c r="F472" t="s">
        <v>116</v>
      </c>
      <c r="G472" t="s">
        <v>23</v>
      </c>
      <c r="H472" t="s">
        <v>55</v>
      </c>
      <c r="I472" t="s">
        <v>87</v>
      </c>
      <c r="J472">
        <v>7.3</v>
      </c>
      <c r="K472">
        <v>24</v>
      </c>
      <c r="L472" t="s">
        <v>26</v>
      </c>
      <c r="M472">
        <v>4</v>
      </c>
      <c r="N472" t="s">
        <v>27</v>
      </c>
      <c r="O472" t="s">
        <v>28</v>
      </c>
      <c r="P472" t="s">
        <v>29</v>
      </c>
      <c r="Q472" t="s">
        <v>30</v>
      </c>
      <c r="R472" t="str">
        <f>IF(Table1[[#This Row],[Resolution_Time_Hrs]]&gt;Table1[[#This Row],[SLA_Target_Hrs]],"No", "Yes")</f>
        <v>Yes</v>
      </c>
      <c r="S472" t="str">
        <f>IF(Table1[[#This Row],[Calculated_SLA]]=Table1[[#This Row],[SLA_Met]],"Match","Mismatch")</f>
        <v>Match</v>
      </c>
      <c r="T472">
        <f>IF(Table1[[#This Row],[Calculated_SLA]]="Yes",1,0)</f>
        <v>1</v>
      </c>
      <c r="U472" t="str">
        <f>IF(COUNTIFS(Reference_data!A:A,Table1[[#This Row],[Category]],Reference_data!B:B,Table1[[#This Row],[Sub_Category]])&gt;0,"Valid","Invalid")</f>
        <v>Valid</v>
      </c>
      <c r="V472" t="str">
        <f>_xlfn.XLOOKUP([1]!Table1[[#This Row],[Sub_Category]],[1]Reference_data!B:B,[1]Reference_data!A:A)</f>
        <v>Supplies &amp; Logistics</v>
      </c>
      <c r="W472" t="str">
        <f>IF([1]!Table1[[#This Row],[Category]]=[1]!Table1[[#This Row],[Expected_Category ]],"Valid", "invalid")</f>
        <v>Valid</v>
      </c>
    </row>
    <row r="473" spans="1:23">
      <c r="A473" t="s">
        <v>1477</v>
      </c>
      <c r="B473" t="s">
        <v>75</v>
      </c>
      <c r="C473" s="31" t="s">
        <v>1478</v>
      </c>
      <c r="D473" s="32" t="s">
        <v>1479</v>
      </c>
      <c r="E473" t="s">
        <v>78</v>
      </c>
      <c r="F473" t="s">
        <v>166</v>
      </c>
      <c r="G473" t="s">
        <v>46</v>
      </c>
      <c r="H473" t="s">
        <v>234</v>
      </c>
      <c r="I473" t="s">
        <v>80</v>
      </c>
      <c r="J473">
        <v>14</v>
      </c>
      <c r="K473">
        <v>8</v>
      </c>
      <c r="L473" t="s">
        <v>27</v>
      </c>
      <c r="M473">
        <v>3</v>
      </c>
      <c r="N473" t="s">
        <v>27</v>
      </c>
      <c r="O473" t="s">
        <v>28</v>
      </c>
      <c r="P473" t="s">
        <v>57</v>
      </c>
      <c r="Q473" t="s">
        <v>39</v>
      </c>
      <c r="R473" t="str">
        <f>IF(Table1[[#This Row],[Resolution_Time_Hrs]]&gt;Table1[[#This Row],[SLA_Target_Hrs]],"No", "Yes")</f>
        <v>No</v>
      </c>
      <c r="S473" t="str">
        <f>IF(Table1[[#This Row],[Calculated_SLA]]=Table1[[#This Row],[SLA_Met]],"Match","Mismatch")</f>
        <v>Match</v>
      </c>
      <c r="T473">
        <f>IF(Table1[[#This Row],[Calculated_SLA]]="Yes",1,0)</f>
        <v>0</v>
      </c>
      <c r="U473" t="str">
        <f>IF(COUNTIFS(Reference_data!A:A,Table1[[#This Row],[Category]],Reference_data!B:B,Table1[[#This Row],[Sub_Category]])&gt;0,"Valid","Invalid")</f>
        <v>Valid</v>
      </c>
      <c r="V473" t="str">
        <f>_xlfn.XLOOKUP([1]!Table1[[#This Row],[Sub_Category]],[1]Reference_data!B:B,[1]Reference_data!A:A)</f>
        <v>Hardware &amp; Mechanical</v>
      </c>
      <c r="W473" t="str">
        <f>IF([1]!Table1[[#This Row],[Category]]=[1]!Table1[[#This Row],[Expected_Category ]],"Valid", "invalid")</f>
        <v>Valid</v>
      </c>
    </row>
    <row r="474" spans="1:23">
      <c r="A474" t="s">
        <v>1480</v>
      </c>
      <c r="B474" t="s">
        <v>121</v>
      </c>
      <c r="C474" s="31" t="s">
        <v>1481</v>
      </c>
      <c r="D474" s="32" t="s">
        <v>1482</v>
      </c>
      <c r="E474" t="s">
        <v>35</v>
      </c>
      <c r="F474" t="s">
        <v>127</v>
      </c>
      <c r="G474" t="s">
        <v>46</v>
      </c>
      <c r="H474" t="s">
        <v>91</v>
      </c>
      <c r="I474" t="s">
        <v>56</v>
      </c>
      <c r="J474">
        <v>9.6</v>
      </c>
      <c r="K474">
        <v>8</v>
      </c>
      <c r="L474" t="s">
        <v>27</v>
      </c>
      <c r="M474">
        <v>1</v>
      </c>
      <c r="N474" t="s">
        <v>27</v>
      </c>
      <c r="O474" t="s">
        <v>28</v>
      </c>
      <c r="P474" t="s">
        <v>1670</v>
      </c>
      <c r="Q474" t="s">
        <v>39</v>
      </c>
      <c r="R474" t="str">
        <f>IF(Table1[[#This Row],[Resolution_Time_Hrs]]&gt;Table1[[#This Row],[SLA_Target_Hrs]],"No", "Yes")</f>
        <v>No</v>
      </c>
      <c r="S474" t="str">
        <f>IF(Table1[[#This Row],[Calculated_SLA]]=Table1[[#This Row],[SLA_Met]],"Match","Mismatch")</f>
        <v>Match</v>
      </c>
      <c r="T474">
        <f>IF(Table1[[#This Row],[Calculated_SLA]]="Yes",1,0)</f>
        <v>0</v>
      </c>
      <c r="U474" t="str">
        <f>IF(COUNTIFS(Reference_data!A:A,Table1[[#This Row],[Category]],Reference_data!B:B,Table1[[#This Row],[Sub_Category]])&gt;0,"Valid","Invalid")</f>
        <v>Valid</v>
      </c>
      <c r="V474" t="str">
        <f>_xlfn.XLOOKUP([1]!Table1[[#This Row],[Sub_Category]],[1]Reference_data!B:B,[1]Reference_data!A:A)</f>
        <v>Print Quality</v>
      </c>
      <c r="W474" t="str">
        <f>IF([1]!Table1[[#This Row],[Category]]=[1]!Table1[[#This Row],[Expected_Category ]],"Valid", "invalid")</f>
        <v>Valid</v>
      </c>
    </row>
    <row r="475" spans="1:23">
      <c r="A475" t="s">
        <v>1483</v>
      </c>
      <c r="B475" t="s">
        <v>18</v>
      </c>
      <c r="C475" s="31" t="s">
        <v>1484</v>
      </c>
      <c r="D475" s="32" t="s">
        <v>1485</v>
      </c>
      <c r="E475" t="s">
        <v>21</v>
      </c>
      <c r="F475" t="s">
        <v>69</v>
      </c>
      <c r="G475" t="s">
        <v>46</v>
      </c>
      <c r="H475" t="s">
        <v>24</v>
      </c>
      <c r="I475" t="s">
        <v>25</v>
      </c>
      <c r="J475">
        <v>20.8</v>
      </c>
      <c r="K475">
        <v>8</v>
      </c>
      <c r="L475" t="s">
        <v>27</v>
      </c>
      <c r="M475">
        <v>1</v>
      </c>
      <c r="N475" t="s">
        <v>26</v>
      </c>
      <c r="O475" t="s">
        <v>28</v>
      </c>
      <c r="P475" t="s">
        <v>1670</v>
      </c>
      <c r="Q475" t="s">
        <v>101</v>
      </c>
      <c r="R475" t="str">
        <f>IF(Table1[[#This Row],[Resolution_Time_Hrs]]&gt;Table1[[#This Row],[SLA_Target_Hrs]],"No", "Yes")</f>
        <v>No</v>
      </c>
      <c r="S475" t="str">
        <f>IF(Table1[[#This Row],[Calculated_SLA]]=Table1[[#This Row],[SLA_Met]],"Match","Mismatch")</f>
        <v>Match</v>
      </c>
      <c r="T475">
        <f>IF(Table1[[#This Row],[Calculated_SLA]]="Yes",1,0)</f>
        <v>0</v>
      </c>
      <c r="U475" t="str">
        <f>IF(COUNTIFS(Reference_data!A:A,Table1[[#This Row],[Category]],Reference_data!B:B,Table1[[#This Row],[Sub_Category]])&gt;0,"Valid","Invalid")</f>
        <v>Valid</v>
      </c>
      <c r="V475" t="str">
        <f>_xlfn.XLOOKUP([1]!Table1[[#This Row],[Sub_Category]],[1]Reference_data!B:B,[1]Reference_data!A:A)</f>
        <v>Connectivity &amp; Software</v>
      </c>
      <c r="W475" t="str">
        <f>IF([1]!Table1[[#This Row],[Category]]=[1]!Table1[[#This Row],[Expected_Category ]],"Valid", "invalid")</f>
        <v>Valid</v>
      </c>
    </row>
    <row r="476" spans="1:23">
      <c r="A476" t="s">
        <v>1486</v>
      </c>
      <c r="B476" t="s">
        <v>18</v>
      </c>
      <c r="C476" s="31" t="s">
        <v>1487</v>
      </c>
      <c r="D476" s="32" t="s">
        <v>1488</v>
      </c>
      <c r="E476" t="s">
        <v>78</v>
      </c>
      <c r="F476" t="s">
        <v>166</v>
      </c>
      <c r="G476" t="s">
        <v>54</v>
      </c>
      <c r="H476" t="s">
        <v>55</v>
      </c>
      <c r="I476" t="s">
        <v>80</v>
      </c>
      <c r="J476">
        <v>10.1</v>
      </c>
      <c r="K476">
        <v>4</v>
      </c>
      <c r="L476" t="s">
        <v>27</v>
      </c>
      <c r="M476">
        <v>3</v>
      </c>
      <c r="N476" t="s">
        <v>27</v>
      </c>
      <c r="O476" t="s">
        <v>28</v>
      </c>
      <c r="P476" t="s">
        <v>1670</v>
      </c>
      <c r="Q476" t="s">
        <v>101</v>
      </c>
      <c r="R476" t="str">
        <f>IF(Table1[[#This Row],[Resolution_Time_Hrs]]&gt;Table1[[#This Row],[SLA_Target_Hrs]],"No", "Yes")</f>
        <v>No</v>
      </c>
      <c r="S476" t="str">
        <f>IF(Table1[[#This Row],[Calculated_SLA]]=Table1[[#This Row],[SLA_Met]],"Match","Mismatch")</f>
        <v>Match</v>
      </c>
      <c r="T476">
        <f>IF(Table1[[#This Row],[Calculated_SLA]]="Yes",1,0)</f>
        <v>0</v>
      </c>
      <c r="U476" t="str">
        <f>IF(COUNTIFS(Reference_data!A:A,Table1[[#This Row],[Category]],Reference_data!B:B,Table1[[#This Row],[Sub_Category]])&gt;0,"Valid","Invalid")</f>
        <v>Valid</v>
      </c>
      <c r="V476" t="str">
        <f>_xlfn.XLOOKUP([1]!Table1[[#This Row],[Sub_Category]],[1]Reference_data!B:B,[1]Reference_data!A:A)</f>
        <v>Hardware &amp; Mechanical</v>
      </c>
      <c r="W476" t="str">
        <f>IF([1]!Table1[[#This Row],[Category]]=[1]!Table1[[#This Row],[Expected_Category ]],"Valid", "invalid")</f>
        <v>Valid</v>
      </c>
    </row>
    <row r="477" spans="1:23">
      <c r="A477" t="s">
        <v>1489</v>
      </c>
      <c r="B477" t="s">
        <v>32</v>
      </c>
      <c r="C477" s="31" t="s">
        <v>1490</v>
      </c>
      <c r="D477" s="32" t="s">
        <v>1491</v>
      </c>
      <c r="E477" t="s">
        <v>78</v>
      </c>
      <c r="F477" t="s">
        <v>79</v>
      </c>
      <c r="G477" t="s">
        <v>23</v>
      </c>
      <c r="H477" t="s">
        <v>70</v>
      </c>
      <c r="I477" t="s">
        <v>80</v>
      </c>
      <c r="J477">
        <v>13.8</v>
      </c>
      <c r="K477">
        <v>24</v>
      </c>
      <c r="L477" t="s">
        <v>26</v>
      </c>
      <c r="M477">
        <v>4</v>
      </c>
      <c r="N477" t="s">
        <v>27</v>
      </c>
      <c r="O477" t="s">
        <v>28</v>
      </c>
      <c r="P477" t="s">
        <v>29</v>
      </c>
      <c r="Q477" t="s">
        <v>58</v>
      </c>
      <c r="R477" t="str">
        <f>IF(Table1[[#This Row],[Resolution_Time_Hrs]]&gt;Table1[[#This Row],[SLA_Target_Hrs]],"No", "Yes")</f>
        <v>Yes</v>
      </c>
      <c r="S477" t="str">
        <f>IF(Table1[[#This Row],[Calculated_SLA]]=Table1[[#This Row],[SLA_Met]],"Match","Mismatch")</f>
        <v>Match</v>
      </c>
      <c r="T477">
        <f>IF(Table1[[#This Row],[Calculated_SLA]]="Yes",1,0)</f>
        <v>1</v>
      </c>
      <c r="U477" t="str">
        <f>IF(COUNTIFS(Reference_data!A:A,Table1[[#This Row],[Category]],Reference_data!B:B,Table1[[#This Row],[Sub_Category]])&gt;0,"Valid","Invalid")</f>
        <v>Valid</v>
      </c>
      <c r="V477" t="str">
        <f>_xlfn.XLOOKUP([1]!Table1[[#This Row],[Sub_Category]],[1]Reference_data!B:B,[1]Reference_data!A:A)</f>
        <v>Hardware &amp; Mechanical</v>
      </c>
      <c r="W477" t="str">
        <f>IF([1]!Table1[[#This Row],[Category]]=[1]!Table1[[#This Row],[Expected_Category ]],"Valid", "invalid")</f>
        <v>Valid</v>
      </c>
    </row>
    <row r="478" spans="1:23">
      <c r="A478" t="s">
        <v>1492</v>
      </c>
      <c r="B478" t="s">
        <v>121</v>
      </c>
      <c r="C478" s="31" t="s">
        <v>1493</v>
      </c>
      <c r="D478" s="32" t="s">
        <v>1494</v>
      </c>
      <c r="E478" t="s">
        <v>78</v>
      </c>
      <c r="F478" t="s">
        <v>166</v>
      </c>
      <c r="G478" t="s">
        <v>46</v>
      </c>
      <c r="H478" t="s">
        <v>91</v>
      </c>
      <c r="I478" t="s">
        <v>80</v>
      </c>
      <c r="J478">
        <v>22.2</v>
      </c>
      <c r="K478">
        <v>8</v>
      </c>
      <c r="L478" t="s">
        <v>27</v>
      </c>
      <c r="M478">
        <v>2</v>
      </c>
      <c r="N478" t="s">
        <v>27</v>
      </c>
      <c r="O478" t="s">
        <v>28</v>
      </c>
      <c r="P478" t="s">
        <v>1670</v>
      </c>
      <c r="Q478" t="s">
        <v>30</v>
      </c>
      <c r="R478" t="str">
        <f>IF(Table1[[#This Row],[Resolution_Time_Hrs]]&gt;Table1[[#This Row],[SLA_Target_Hrs]],"No", "Yes")</f>
        <v>No</v>
      </c>
      <c r="S478" t="str">
        <f>IF(Table1[[#This Row],[Calculated_SLA]]=Table1[[#This Row],[SLA_Met]],"Match","Mismatch")</f>
        <v>Match</v>
      </c>
      <c r="T478">
        <f>IF(Table1[[#This Row],[Calculated_SLA]]="Yes",1,0)</f>
        <v>0</v>
      </c>
      <c r="U478" t="str">
        <f>IF(COUNTIFS(Reference_data!A:A,Table1[[#This Row],[Category]],Reference_data!B:B,Table1[[#This Row],[Sub_Category]])&gt;0,"Valid","Invalid")</f>
        <v>Valid</v>
      </c>
      <c r="V478" t="str">
        <f>_xlfn.XLOOKUP([1]!Table1[[#This Row],[Sub_Category]],[1]Reference_data!B:B,[1]Reference_data!A:A)</f>
        <v>Hardware &amp; Mechanical</v>
      </c>
      <c r="W478" t="str">
        <f>IF([1]!Table1[[#This Row],[Category]]=[1]!Table1[[#This Row],[Expected_Category ]],"Valid", "invalid")</f>
        <v>Valid</v>
      </c>
    </row>
    <row r="479" spans="1:23">
      <c r="A479" t="s">
        <v>1495</v>
      </c>
      <c r="B479" t="s">
        <v>106</v>
      </c>
      <c r="C479" s="31" t="s">
        <v>1496</v>
      </c>
      <c r="D479" s="32" t="s">
        <v>1497</v>
      </c>
      <c r="E479" t="s">
        <v>35</v>
      </c>
      <c r="F479" t="s">
        <v>53</v>
      </c>
      <c r="G479" t="s">
        <v>46</v>
      </c>
      <c r="H479" t="s">
        <v>37</v>
      </c>
      <c r="I479" t="s">
        <v>56</v>
      </c>
      <c r="J479">
        <v>10.8</v>
      </c>
      <c r="K479">
        <v>8</v>
      </c>
      <c r="L479" t="s">
        <v>27</v>
      </c>
      <c r="M479">
        <v>3</v>
      </c>
      <c r="N479" t="s">
        <v>27</v>
      </c>
      <c r="O479" t="s">
        <v>28</v>
      </c>
      <c r="P479" t="s">
        <v>57</v>
      </c>
      <c r="Q479" t="s">
        <v>39</v>
      </c>
      <c r="R479" t="str">
        <f>IF(Table1[[#This Row],[Resolution_Time_Hrs]]&gt;Table1[[#This Row],[SLA_Target_Hrs]],"No", "Yes")</f>
        <v>No</v>
      </c>
      <c r="S479" t="str">
        <f>IF(Table1[[#This Row],[Calculated_SLA]]=Table1[[#This Row],[SLA_Met]],"Match","Mismatch")</f>
        <v>Match</v>
      </c>
      <c r="T479">
        <f>IF(Table1[[#This Row],[Calculated_SLA]]="Yes",1,0)</f>
        <v>0</v>
      </c>
      <c r="U479" t="str">
        <f>IF(COUNTIFS(Reference_data!A:A,Table1[[#This Row],[Category]],Reference_data!B:B,Table1[[#This Row],[Sub_Category]])&gt;0,"Valid","Invalid")</f>
        <v>Valid</v>
      </c>
      <c r="V479" t="str">
        <f>_xlfn.XLOOKUP([1]!Table1[[#This Row],[Sub_Category]],[1]Reference_data!B:B,[1]Reference_data!A:A)</f>
        <v>Print Quality</v>
      </c>
      <c r="W479" t="str">
        <f>IF([1]!Table1[[#This Row],[Category]]=[1]!Table1[[#This Row],[Expected_Category ]],"Valid", "invalid")</f>
        <v>Valid</v>
      </c>
    </row>
    <row r="480" spans="1:23">
      <c r="A480" t="s">
        <v>1498</v>
      </c>
      <c r="B480" t="s">
        <v>18</v>
      </c>
      <c r="C480" s="31" t="s">
        <v>1499</v>
      </c>
      <c r="D480" s="32" t="s">
        <v>489</v>
      </c>
      <c r="E480" t="s">
        <v>44</v>
      </c>
      <c r="F480" t="s">
        <v>45</v>
      </c>
      <c r="G480" t="s">
        <v>54</v>
      </c>
      <c r="H480" t="s">
        <v>91</v>
      </c>
      <c r="I480" t="s">
        <v>48</v>
      </c>
      <c r="J480">
        <v>3</v>
      </c>
      <c r="K480">
        <v>4</v>
      </c>
      <c r="L480" t="s">
        <v>26</v>
      </c>
      <c r="M480">
        <v>5</v>
      </c>
      <c r="N480" t="s">
        <v>27</v>
      </c>
      <c r="O480" t="s">
        <v>28</v>
      </c>
      <c r="P480" t="s">
        <v>29</v>
      </c>
      <c r="Q480" t="s">
        <v>101</v>
      </c>
      <c r="R480" t="str">
        <f>IF(Table1[[#This Row],[Resolution_Time_Hrs]]&gt;Table1[[#This Row],[SLA_Target_Hrs]],"No", "Yes")</f>
        <v>Yes</v>
      </c>
      <c r="S480" t="str">
        <f>IF(Table1[[#This Row],[Calculated_SLA]]=Table1[[#This Row],[SLA_Met]],"Match","Mismatch")</f>
        <v>Match</v>
      </c>
      <c r="T480">
        <f>IF(Table1[[#This Row],[Calculated_SLA]]="Yes",1,0)</f>
        <v>1</v>
      </c>
      <c r="U480" t="str">
        <f>IF(COUNTIFS(Reference_data!A:A,Table1[[#This Row],[Category]],Reference_data!B:B,Table1[[#This Row],[Sub_Category]])&gt;0,"Valid","Invalid")</f>
        <v>Valid</v>
      </c>
      <c r="V480" t="str">
        <f>_xlfn.XLOOKUP([1]!Table1[[#This Row],[Sub_Category]],[1]Reference_data!B:B,[1]Reference_data!A:A)</f>
        <v>Contract &amp; Billing</v>
      </c>
      <c r="W480" t="str">
        <f>IF([1]!Table1[[#This Row],[Category]]=[1]!Table1[[#This Row],[Expected_Category ]],"Valid", "invalid")</f>
        <v>Valid</v>
      </c>
    </row>
    <row r="481" spans="1:23">
      <c r="A481" t="s">
        <v>1500</v>
      </c>
      <c r="B481" t="s">
        <v>75</v>
      </c>
      <c r="C481" s="31" t="s">
        <v>1501</v>
      </c>
      <c r="D481" s="32" t="s">
        <v>1502</v>
      </c>
      <c r="E481" t="s">
        <v>78</v>
      </c>
      <c r="F481" t="s">
        <v>166</v>
      </c>
      <c r="G481" t="s">
        <v>23</v>
      </c>
      <c r="H481" t="s">
        <v>47</v>
      </c>
      <c r="I481" t="s">
        <v>80</v>
      </c>
      <c r="J481">
        <v>8.1</v>
      </c>
      <c r="K481">
        <v>24</v>
      </c>
      <c r="L481" t="s">
        <v>26</v>
      </c>
      <c r="M481">
        <v>4</v>
      </c>
      <c r="N481" t="s">
        <v>27</v>
      </c>
      <c r="O481" t="s">
        <v>28</v>
      </c>
      <c r="P481" t="s">
        <v>29</v>
      </c>
      <c r="Q481" t="s">
        <v>39</v>
      </c>
      <c r="R481" t="str">
        <f>IF(Table1[[#This Row],[Resolution_Time_Hrs]]&gt;Table1[[#This Row],[SLA_Target_Hrs]],"No", "Yes")</f>
        <v>Yes</v>
      </c>
      <c r="S481" t="str">
        <f>IF(Table1[[#This Row],[Calculated_SLA]]=Table1[[#This Row],[SLA_Met]],"Match","Mismatch")</f>
        <v>Match</v>
      </c>
      <c r="T481">
        <f>IF(Table1[[#This Row],[Calculated_SLA]]="Yes",1,0)</f>
        <v>1</v>
      </c>
      <c r="U481" t="str">
        <f>IF(COUNTIFS(Reference_data!A:A,Table1[[#This Row],[Category]],Reference_data!B:B,Table1[[#This Row],[Sub_Category]])&gt;0,"Valid","Invalid")</f>
        <v>Valid</v>
      </c>
      <c r="V481" t="str">
        <f>_xlfn.XLOOKUP([1]!Table1[[#This Row],[Sub_Category]],[1]Reference_data!B:B,[1]Reference_data!A:A)</f>
        <v>Hardware &amp; Mechanical</v>
      </c>
      <c r="W481" t="str">
        <f>IF([1]!Table1[[#This Row],[Category]]=[1]!Table1[[#This Row],[Expected_Category ]],"Valid", "invalid")</f>
        <v>Valid</v>
      </c>
    </row>
    <row r="482" spans="1:23">
      <c r="A482" t="s">
        <v>1503</v>
      </c>
      <c r="B482" t="s">
        <v>18</v>
      </c>
      <c r="C482" s="31" t="s">
        <v>1504</v>
      </c>
      <c r="D482" s="32" t="s">
        <v>1505</v>
      </c>
      <c r="E482" t="s">
        <v>21</v>
      </c>
      <c r="F482" t="s">
        <v>69</v>
      </c>
      <c r="G482" t="s">
        <v>46</v>
      </c>
      <c r="H482" t="s">
        <v>138</v>
      </c>
      <c r="I482" t="s">
        <v>25</v>
      </c>
      <c r="J482">
        <v>13.2</v>
      </c>
      <c r="K482">
        <v>8</v>
      </c>
      <c r="L482" t="s">
        <v>27</v>
      </c>
      <c r="M482">
        <v>3</v>
      </c>
      <c r="N482" t="s">
        <v>26</v>
      </c>
      <c r="O482" t="s">
        <v>28</v>
      </c>
      <c r="P482" t="s">
        <v>1670</v>
      </c>
      <c r="Q482" t="s">
        <v>39</v>
      </c>
      <c r="R482" t="str">
        <f>IF(Table1[[#This Row],[Resolution_Time_Hrs]]&gt;Table1[[#This Row],[SLA_Target_Hrs]],"No", "Yes")</f>
        <v>No</v>
      </c>
      <c r="S482" t="str">
        <f>IF(Table1[[#This Row],[Calculated_SLA]]=Table1[[#This Row],[SLA_Met]],"Match","Mismatch")</f>
        <v>Match</v>
      </c>
      <c r="T482">
        <f>IF(Table1[[#This Row],[Calculated_SLA]]="Yes",1,0)</f>
        <v>0</v>
      </c>
      <c r="U482" t="str">
        <f>IF(COUNTIFS(Reference_data!A:A,Table1[[#This Row],[Category]],Reference_data!B:B,Table1[[#This Row],[Sub_Category]])&gt;0,"Valid","Invalid")</f>
        <v>Valid</v>
      </c>
      <c r="V482" t="str">
        <f>_xlfn.XLOOKUP([1]!Table1[[#This Row],[Sub_Category]],[1]Reference_data!B:B,[1]Reference_data!A:A)</f>
        <v>Connectivity &amp; Software</v>
      </c>
      <c r="W482" t="str">
        <f>IF([1]!Table1[[#This Row],[Category]]=[1]!Table1[[#This Row],[Expected_Category ]],"Valid", "invalid")</f>
        <v>Valid</v>
      </c>
    </row>
    <row r="483" spans="1:23">
      <c r="A483" t="s">
        <v>1506</v>
      </c>
      <c r="B483" t="s">
        <v>32</v>
      </c>
      <c r="C483" s="31" t="s">
        <v>1507</v>
      </c>
      <c r="D483" s="32" t="s">
        <v>1508</v>
      </c>
      <c r="E483" t="s">
        <v>21</v>
      </c>
      <c r="F483" t="s">
        <v>69</v>
      </c>
      <c r="G483" t="s">
        <v>54</v>
      </c>
      <c r="H483" t="s">
        <v>70</v>
      </c>
      <c r="I483" t="s">
        <v>25</v>
      </c>
      <c r="J483">
        <v>7.1</v>
      </c>
      <c r="K483">
        <v>4</v>
      </c>
      <c r="L483" t="s">
        <v>27</v>
      </c>
      <c r="M483">
        <v>3</v>
      </c>
      <c r="N483" t="s">
        <v>26</v>
      </c>
      <c r="O483" t="s">
        <v>28</v>
      </c>
      <c r="P483" t="s">
        <v>1670</v>
      </c>
      <c r="Q483" t="s">
        <v>101</v>
      </c>
      <c r="R483" t="str">
        <f>IF(Table1[[#This Row],[Resolution_Time_Hrs]]&gt;Table1[[#This Row],[SLA_Target_Hrs]],"No", "Yes")</f>
        <v>No</v>
      </c>
      <c r="S483" t="str">
        <f>IF(Table1[[#This Row],[Calculated_SLA]]=Table1[[#This Row],[SLA_Met]],"Match","Mismatch")</f>
        <v>Match</v>
      </c>
      <c r="T483">
        <f>IF(Table1[[#This Row],[Calculated_SLA]]="Yes",1,0)</f>
        <v>0</v>
      </c>
      <c r="U483" t="str">
        <f>IF(COUNTIFS(Reference_data!A:A,Table1[[#This Row],[Category]],Reference_data!B:B,Table1[[#This Row],[Sub_Category]])&gt;0,"Valid","Invalid")</f>
        <v>Valid</v>
      </c>
      <c r="V483" t="str">
        <f>_xlfn.XLOOKUP([1]!Table1[[#This Row],[Sub_Category]],[1]Reference_data!B:B,[1]Reference_data!A:A)</f>
        <v>Connectivity &amp; Software</v>
      </c>
      <c r="W483" t="str">
        <f>IF([1]!Table1[[#This Row],[Category]]=[1]!Table1[[#This Row],[Expected_Category ]],"Valid", "invalid")</f>
        <v>Valid</v>
      </c>
    </row>
    <row r="484" spans="1:23">
      <c r="A484" t="s">
        <v>1509</v>
      </c>
      <c r="B484" t="s">
        <v>32</v>
      </c>
      <c r="C484" s="31" t="s">
        <v>1510</v>
      </c>
      <c r="D484" s="32" t="s">
        <v>1511</v>
      </c>
      <c r="E484" t="s">
        <v>78</v>
      </c>
      <c r="F484" t="s">
        <v>166</v>
      </c>
      <c r="G484" t="s">
        <v>54</v>
      </c>
      <c r="H484" t="s">
        <v>47</v>
      </c>
      <c r="I484" t="s">
        <v>80</v>
      </c>
      <c r="J484">
        <v>9.4</v>
      </c>
      <c r="K484">
        <v>4</v>
      </c>
      <c r="L484" t="s">
        <v>27</v>
      </c>
      <c r="M484">
        <v>3</v>
      </c>
      <c r="N484" t="s">
        <v>26</v>
      </c>
      <c r="O484" t="s">
        <v>28</v>
      </c>
      <c r="P484" t="s">
        <v>57</v>
      </c>
      <c r="Q484" t="s">
        <v>101</v>
      </c>
      <c r="R484" t="str">
        <f>IF(Table1[[#This Row],[Resolution_Time_Hrs]]&gt;Table1[[#This Row],[SLA_Target_Hrs]],"No", "Yes")</f>
        <v>No</v>
      </c>
      <c r="S484" t="str">
        <f>IF(Table1[[#This Row],[Calculated_SLA]]=Table1[[#This Row],[SLA_Met]],"Match","Mismatch")</f>
        <v>Match</v>
      </c>
      <c r="T484">
        <f>IF(Table1[[#This Row],[Calculated_SLA]]="Yes",1,0)</f>
        <v>0</v>
      </c>
      <c r="U484" t="str">
        <f>IF(COUNTIFS(Reference_data!A:A,Table1[[#This Row],[Category]],Reference_data!B:B,Table1[[#This Row],[Sub_Category]])&gt;0,"Valid","Invalid")</f>
        <v>Valid</v>
      </c>
      <c r="V484" t="str">
        <f>_xlfn.XLOOKUP([1]!Table1[[#This Row],[Sub_Category]],[1]Reference_data!B:B,[1]Reference_data!A:A)</f>
        <v>Hardware &amp; Mechanical</v>
      </c>
      <c r="W484" t="str">
        <f>IF([1]!Table1[[#This Row],[Category]]=[1]!Table1[[#This Row],[Expected_Category ]],"Valid", "invalid")</f>
        <v>Valid</v>
      </c>
    </row>
    <row r="485" spans="1:23">
      <c r="A485" t="s">
        <v>1512</v>
      </c>
      <c r="B485" t="s">
        <v>32</v>
      </c>
      <c r="C485" s="31" t="s">
        <v>1513</v>
      </c>
      <c r="D485" s="32" t="s">
        <v>1514</v>
      </c>
      <c r="E485" t="s">
        <v>78</v>
      </c>
      <c r="F485" t="s">
        <v>166</v>
      </c>
      <c r="G485" t="s">
        <v>46</v>
      </c>
      <c r="H485" t="s">
        <v>47</v>
      </c>
      <c r="I485" t="s">
        <v>80</v>
      </c>
      <c r="J485">
        <v>9.8000000000000007</v>
      </c>
      <c r="K485">
        <v>8</v>
      </c>
      <c r="L485" t="s">
        <v>27</v>
      </c>
      <c r="M485">
        <v>3</v>
      </c>
      <c r="N485" t="s">
        <v>26</v>
      </c>
      <c r="O485" t="s">
        <v>28</v>
      </c>
      <c r="P485" t="s">
        <v>57</v>
      </c>
      <c r="Q485" t="s">
        <v>39</v>
      </c>
      <c r="R485" t="str">
        <f>IF(Table1[[#This Row],[Resolution_Time_Hrs]]&gt;Table1[[#This Row],[SLA_Target_Hrs]],"No", "Yes")</f>
        <v>No</v>
      </c>
      <c r="S485" t="str">
        <f>IF(Table1[[#This Row],[Calculated_SLA]]=Table1[[#This Row],[SLA_Met]],"Match","Mismatch")</f>
        <v>Match</v>
      </c>
      <c r="T485">
        <f>IF(Table1[[#This Row],[Calculated_SLA]]="Yes",1,0)</f>
        <v>0</v>
      </c>
      <c r="U485" t="str">
        <f>IF(COUNTIFS(Reference_data!A:A,Table1[[#This Row],[Category]],Reference_data!B:B,Table1[[#This Row],[Sub_Category]])&gt;0,"Valid","Invalid")</f>
        <v>Valid</v>
      </c>
      <c r="V485" t="str">
        <f>_xlfn.XLOOKUP([1]!Table1[[#This Row],[Sub_Category]],[1]Reference_data!B:B,[1]Reference_data!A:A)</f>
        <v>Hardware &amp; Mechanical</v>
      </c>
      <c r="W485" t="str">
        <f>IF([1]!Table1[[#This Row],[Category]]=[1]!Table1[[#This Row],[Expected_Category ]],"Valid", "invalid")</f>
        <v>Valid</v>
      </c>
    </row>
    <row r="486" spans="1:23">
      <c r="A486" t="s">
        <v>1515</v>
      </c>
      <c r="B486" t="s">
        <v>135</v>
      </c>
      <c r="C486" s="31" t="s">
        <v>1516</v>
      </c>
      <c r="D486" s="32" t="s">
        <v>1517</v>
      </c>
      <c r="E486" t="s">
        <v>78</v>
      </c>
      <c r="F486" t="s">
        <v>166</v>
      </c>
      <c r="G486" t="s">
        <v>23</v>
      </c>
      <c r="H486" t="s">
        <v>86</v>
      </c>
      <c r="I486" t="s">
        <v>80</v>
      </c>
      <c r="J486">
        <v>15.4</v>
      </c>
      <c r="K486">
        <v>24</v>
      </c>
      <c r="L486" t="s">
        <v>26</v>
      </c>
      <c r="M486">
        <v>4</v>
      </c>
      <c r="N486" t="s">
        <v>27</v>
      </c>
      <c r="O486" t="s">
        <v>28</v>
      </c>
      <c r="P486" t="s">
        <v>29</v>
      </c>
      <c r="Q486" t="s">
        <v>58</v>
      </c>
      <c r="R486" t="str">
        <f>IF(Table1[[#This Row],[Resolution_Time_Hrs]]&gt;Table1[[#This Row],[SLA_Target_Hrs]],"No", "Yes")</f>
        <v>Yes</v>
      </c>
      <c r="S486" t="str">
        <f>IF(Table1[[#This Row],[Calculated_SLA]]=Table1[[#This Row],[SLA_Met]],"Match","Mismatch")</f>
        <v>Match</v>
      </c>
      <c r="T486">
        <f>IF(Table1[[#This Row],[Calculated_SLA]]="Yes",1,0)</f>
        <v>1</v>
      </c>
      <c r="U486" t="str">
        <f>IF(COUNTIFS(Reference_data!A:A,Table1[[#This Row],[Category]],Reference_data!B:B,Table1[[#This Row],[Sub_Category]])&gt;0,"Valid","Invalid")</f>
        <v>Valid</v>
      </c>
      <c r="V486" t="str">
        <f>_xlfn.XLOOKUP([1]!Table1[[#This Row],[Sub_Category]],[1]Reference_data!B:B,[1]Reference_data!A:A)</f>
        <v>Hardware &amp; Mechanical</v>
      </c>
      <c r="W486" t="str">
        <f>IF([1]!Table1[[#This Row],[Category]]=[1]!Table1[[#This Row],[Expected_Category ]],"Valid", "invalid")</f>
        <v>Valid</v>
      </c>
    </row>
    <row r="487" spans="1:23">
      <c r="A487" t="s">
        <v>1518</v>
      </c>
      <c r="B487" t="s">
        <v>121</v>
      </c>
      <c r="C487" s="31" t="s">
        <v>1519</v>
      </c>
      <c r="D487" s="32" t="s">
        <v>1520</v>
      </c>
      <c r="E487" t="s">
        <v>78</v>
      </c>
      <c r="F487" t="s">
        <v>166</v>
      </c>
      <c r="G487" t="s">
        <v>23</v>
      </c>
      <c r="H487" t="s">
        <v>86</v>
      </c>
      <c r="I487" t="s">
        <v>80</v>
      </c>
      <c r="J487">
        <v>10.6</v>
      </c>
      <c r="K487">
        <v>24</v>
      </c>
      <c r="L487" t="s">
        <v>26</v>
      </c>
      <c r="M487">
        <v>4</v>
      </c>
      <c r="N487" t="s">
        <v>27</v>
      </c>
      <c r="O487" t="s">
        <v>28</v>
      </c>
      <c r="P487" t="s">
        <v>29</v>
      </c>
      <c r="Q487" t="s">
        <v>101</v>
      </c>
      <c r="R487" t="str">
        <f>IF(Table1[[#This Row],[Resolution_Time_Hrs]]&gt;Table1[[#This Row],[SLA_Target_Hrs]],"No", "Yes")</f>
        <v>Yes</v>
      </c>
      <c r="S487" t="str">
        <f>IF(Table1[[#This Row],[Calculated_SLA]]=Table1[[#This Row],[SLA_Met]],"Match","Mismatch")</f>
        <v>Match</v>
      </c>
      <c r="T487">
        <f>IF(Table1[[#This Row],[Calculated_SLA]]="Yes",1,0)</f>
        <v>1</v>
      </c>
      <c r="U487" t="str">
        <f>IF(COUNTIFS(Reference_data!A:A,Table1[[#This Row],[Category]],Reference_data!B:B,Table1[[#This Row],[Sub_Category]])&gt;0,"Valid","Invalid")</f>
        <v>Valid</v>
      </c>
      <c r="V487" t="str">
        <f>_xlfn.XLOOKUP([1]!Table1[[#This Row],[Sub_Category]],[1]Reference_data!B:B,[1]Reference_data!A:A)</f>
        <v>Hardware &amp; Mechanical</v>
      </c>
      <c r="W487" t="str">
        <f>IF([1]!Table1[[#This Row],[Category]]=[1]!Table1[[#This Row],[Expected_Category ]],"Valid", "invalid")</f>
        <v>Valid</v>
      </c>
    </row>
    <row r="488" spans="1:23">
      <c r="A488" t="s">
        <v>1521</v>
      </c>
      <c r="B488" t="s">
        <v>18</v>
      </c>
      <c r="C488" s="31" t="s">
        <v>1522</v>
      </c>
      <c r="D488" s="32" t="s">
        <v>1523</v>
      </c>
      <c r="E488" t="s">
        <v>84</v>
      </c>
      <c r="F488" t="s">
        <v>85</v>
      </c>
      <c r="G488" t="s">
        <v>46</v>
      </c>
      <c r="H488" t="s">
        <v>64</v>
      </c>
      <c r="I488" t="s">
        <v>87</v>
      </c>
      <c r="J488">
        <v>3.2</v>
      </c>
      <c r="K488">
        <v>8</v>
      </c>
      <c r="L488" t="s">
        <v>26</v>
      </c>
      <c r="M488">
        <v>4</v>
      </c>
      <c r="N488" t="s">
        <v>27</v>
      </c>
      <c r="O488" t="s">
        <v>28</v>
      </c>
      <c r="P488" t="s">
        <v>29</v>
      </c>
      <c r="Q488" t="s">
        <v>101</v>
      </c>
      <c r="R488" t="str">
        <f>IF(Table1[[#This Row],[Resolution_Time_Hrs]]&gt;Table1[[#This Row],[SLA_Target_Hrs]],"No", "Yes")</f>
        <v>Yes</v>
      </c>
      <c r="S488" t="str">
        <f>IF(Table1[[#This Row],[Calculated_SLA]]=Table1[[#This Row],[SLA_Met]],"Match","Mismatch")</f>
        <v>Match</v>
      </c>
      <c r="T488">
        <f>IF(Table1[[#This Row],[Calculated_SLA]]="Yes",1,0)</f>
        <v>1</v>
      </c>
      <c r="U488" t="str">
        <f>IF(COUNTIFS(Reference_data!A:A,Table1[[#This Row],[Category]],Reference_data!B:B,Table1[[#This Row],[Sub_Category]])&gt;0,"Valid","Invalid")</f>
        <v>Valid</v>
      </c>
      <c r="V488" t="str">
        <f>_xlfn.XLOOKUP([1]!Table1[[#This Row],[Sub_Category]],[1]Reference_data!B:B,[1]Reference_data!A:A)</f>
        <v>Supplies &amp; Logistics</v>
      </c>
      <c r="W488" t="str">
        <f>IF([1]!Table1[[#This Row],[Category]]=[1]!Table1[[#This Row],[Expected_Category ]],"Valid", "invalid")</f>
        <v>Valid</v>
      </c>
    </row>
    <row r="489" spans="1:23">
      <c r="A489" t="s">
        <v>1524</v>
      </c>
      <c r="B489" t="s">
        <v>41</v>
      </c>
      <c r="C489" s="31" t="s">
        <v>1525</v>
      </c>
      <c r="D489" s="32" t="s">
        <v>1526</v>
      </c>
      <c r="E489" t="s">
        <v>78</v>
      </c>
      <c r="F489" t="s">
        <v>191</v>
      </c>
      <c r="G489" t="s">
        <v>46</v>
      </c>
      <c r="H489" t="s">
        <v>138</v>
      </c>
      <c r="I489" t="s">
        <v>38</v>
      </c>
      <c r="J489">
        <v>8.6999999999999993</v>
      </c>
      <c r="K489">
        <v>8</v>
      </c>
      <c r="L489" t="s">
        <v>27</v>
      </c>
      <c r="M489">
        <v>1</v>
      </c>
      <c r="N489" t="s">
        <v>27</v>
      </c>
      <c r="O489" t="s">
        <v>28</v>
      </c>
      <c r="P489" t="s">
        <v>1670</v>
      </c>
      <c r="Q489" t="s">
        <v>39</v>
      </c>
      <c r="R489" t="str">
        <f>IF(Table1[[#This Row],[Resolution_Time_Hrs]]&gt;Table1[[#This Row],[SLA_Target_Hrs]],"No", "Yes")</f>
        <v>No</v>
      </c>
      <c r="S489" t="str">
        <f>IF(Table1[[#This Row],[Calculated_SLA]]=Table1[[#This Row],[SLA_Met]],"Match","Mismatch")</f>
        <v>Match</v>
      </c>
      <c r="T489">
        <f>IF(Table1[[#This Row],[Calculated_SLA]]="Yes",1,0)</f>
        <v>0</v>
      </c>
      <c r="U489" t="str">
        <f>IF(COUNTIFS(Reference_data!A:A,Table1[[#This Row],[Category]],Reference_data!B:B,Table1[[#This Row],[Sub_Category]])&gt;0,"Valid","Invalid")</f>
        <v>Valid</v>
      </c>
      <c r="V489" t="str">
        <f>_xlfn.XLOOKUP([1]!Table1[[#This Row],[Sub_Category]],[1]Reference_data!B:B,[1]Reference_data!A:A)</f>
        <v>Hardware &amp; Mechanical</v>
      </c>
      <c r="W489" t="str">
        <f>IF([1]!Table1[[#This Row],[Category]]=[1]!Table1[[#This Row],[Expected_Category ]],"Valid", "invalid")</f>
        <v>Valid</v>
      </c>
    </row>
    <row r="490" spans="1:23">
      <c r="A490" t="s">
        <v>1527</v>
      </c>
      <c r="B490" t="s">
        <v>66</v>
      </c>
      <c r="C490" s="31" t="s">
        <v>1528</v>
      </c>
      <c r="D490" s="32" t="s">
        <v>1529</v>
      </c>
      <c r="E490" t="s">
        <v>21</v>
      </c>
      <c r="F490" t="s">
        <v>63</v>
      </c>
      <c r="G490" t="s">
        <v>46</v>
      </c>
      <c r="H490" t="s">
        <v>47</v>
      </c>
      <c r="I490" t="s">
        <v>25</v>
      </c>
      <c r="J490">
        <v>10.4</v>
      </c>
      <c r="K490">
        <v>8</v>
      </c>
      <c r="L490" t="s">
        <v>27</v>
      </c>
      <c r="M490">
        <v>3</v>
      </c>
      <c r="N490" t="s">
        <v>27</v>
      </c>
      <c r="O490" t="s">
        <v>28</v>
      </c>
      <c r="P490" t="s">
        <v>1670</v>
      </c>
      <c r="Q490" t="s">
        <v>101</v>
      </c>
      <c r="R490" t="str">
        <f>IF(Table1[[#This Row],[Resolution_Time_Hrs]]&gt;Table1[[#This Row],[SLA_Target_Hrs]],"No", "Yes")</f>
        <v>No</v>
      </c>
      <c r="S490" t="str">
        <f>IF(Table1[[#This Row],[Calculated_SLA]]=Table1[[#This Row],[SLA_Met]],"Match","Mismatch")</f>
        <v>Match</v>
      </c>
      <c r="T490">
        <f>IF(Table1[[#This Row],[Calculated_SLA]]="Yes",1,0)</f>
        <v>0</v>
      </c>
      <c r="U490" t="str">
        <f>IF(COUNTIFS(Reference_data!A:A,Table1[[#This Row],[Category]],Reference_data!B:B,Table1[[#This Row],[Sub_Category]])&gt;0,"Valid","Invalid")</f>
        <v>Valid</v>
      </c>
      <c r="V490" t="str">
        <f>_xlfn.XLOOKUP([1]!Table1[[#This Row],[Sub_Category]],[1]Reference_data!B:B,[1]Reference_data!A:A)</f>
        <v>Connectivity &amp; Software</v>
      </c>
      <c r="W490" t="str">
        <f>IF([1]!Table1[[#This Row],[Category]]=[1]!Table1[[#This Row],[Expected_Category ]],"Valid", "invalid")</f>
        <v>Valid</v>
      </c>
    </row>
    <row r="491" spans="1:23">
      <c r="A491" t="s">
        <v>1530</v>
      </c>
      <c r="B491" t="s">
        <v>121</v>
      </c>
      <c r="C491" s="31" t="s">
        <v>1531</v>
      </c>
      <c r="D491" s="32" t="s">
        <v>1532</v>
      </c>
      <c r="E491" t="s">
        <v>35</v>
      </c>
      <c r="F491" t="s">
        <v>36</v>
      </c>
      <c r="G491" t="s">
        <v>46</v>
      </c>
      <c r="H491" t="s">
        <v>138</v>
      </c>
      <c r="I491" t="s">
        <v>38</v>
      </c>
      <c r="J491">
        <v>9.5</v>
      </c>
      <c r="K491">
        <v>8</v>
      </c>
      <c r="L491" t="s">
        <v>27</v>
      </c>
      <c r="M491">
        <v>3</v>
      </c>
      <c r="N491" t="s">
        <v>27</v>
      </c>
      <c r="O491" t="s">
        <v>28</v>
      </c>
      <c r="P491" t="s">
        <v>57</v>
      </c>
      <c r="Q491" t="s">
        <v>30</v>
      </c>
      <c r="R491" t="str">
        <f>IF(Table1[[#This Row],[Resolution_Time_Hrs]]&gt;Table1[[#This Row],[SLA_Target_Hrs]],"No", "Yes")</f>
        <v>No</v>
      </c>
      <c r="S491" t="str">
        <f>IF(Table1[[#This Row],[Calculated_SLA]]=Table1[[#This Row],[SLA_Met]],"Match","Mismatch")</f>
        <v>Match</v>
      </c>
      <c r="T491">
        <f>IF(Table1[[#This Row],[Calculated_SLA]]="Yes",1,0)</f>
        <v>0</v>
      </c>
      <c r="U491" t="str">
        <f>IF(COUNTIFS(Reference_data!A:A,Table1[[#This Row],[Category]],Reference_data!B:B,Table1[[#This Row],[Sub_Category]])&gt;0,"Valid","Invalid")</f>
        <v>Valid</v>
      </c>
      <c r="V491" t="str">
        <f>_xlfn.XLOOKUP([1]!Table1[[#This Row],[Sub_Category]],[1]Reference_data!B:B,[1]Reference_data!A:A)</f>
        <v>Print Quality</v>
      </c>
      <c r="W491" t="str">
        <f>IF([1]!Table1[[#This Row],[Category]]=[1]!Table1[[#This Row],[Expected_Category ]],"Valid", "invalid")</f>
        <v>Valid</v>
      </c>
    </row>
    <row r="492" spans="1:23">
      <c r="A492" t="s">
        <v>1533</v>
      </c>
      <c r="B492" t="s">
        <v>32</v>
      </c>
      <c r="C492" s="31" t="s">
        <v>1534</v>
      </c>
      <c r="D492" s="32" t="s">
        <v>1535</v>
      </c>
      <c r="E492" t="s">
        <v>21</v>
      </c>
      <c r="F492" t="s">
        <v>63</v>
      </c>
      <c r="G492" t="s">
        <v>46</v>
      </c>
      <c r="H492" t="s">
        <v>24</v>
      </c>
      <c r="I492" t="s">
        <v>25</v>
      </c>
      <c r="J492">
        <v>13.7</v>
      </c>
      <c r="K492">
        <v>8</v>
      </c>
      <c r="L492" t="s">
        <v>27</v>
      </c>
      <c r="M492">
        <v>1</v>
      </c>
      <c r="N492" t="s">
        <v>26</v>
      </c>
      <c r="O492" t="s">
        <v>28</v>
      </c>
      <c r="P492" t="s">
        <v>57</v>
      </c>
      <c r="Q492" t="s">
        <v>101</v>
      </c>
      <c r="R492" t="str">
        <f>IF(Table1[[#This Row],[Resolution_Time_Hrs]]&gt;Table1[[#This Row],[SLA_Target_Hrs]],"No", "Yes")</f>
        <v>No</v>
      </c>
      <c r="S492" t="str">
        <f>IF(Table1[[#This Row],[Calculated_SLA]]=Table1[[#This Row],[SLA_Met]],"Match","Mismatch")</f>
        <v>Match</v>
      </c>
      <c r="T492">
        <f>IF(Table1[[#This Row],[Calculated_SLA]]="Yes",1,0)</f>
        <v>0</v>
      </c>
      <c r="U492" t="str">
        <f>IF(COUNTIFS(Reference_data!A:A,Table1[[#This Row],[Category]],Reference_data!B:B,Table1[[#This Row],[Sub_Category]])&gt;0,"Valid","Invalid")</f>
        <v>Valid</v>
      </c>
      <c r="V492" t="str">
        <f>_xlfn.XLOOKUP([1]!Table1[[#This Row],[Sub_Category]],[1]Reference_data!B:B,[1]Reference_data!A:A)</f>
        <v>Connectivity &amp; Software</v>
      </c>
      <c r="W492" t="str">
        <f>IF([1]!Table1[[#This Row],[Category]]=[1]!Table1[[#This Row],[Expected_Category ]],"Valid", "invalid")</f>
        <v>Valid</v>
      </c>
    </row>
    <row r="493" spans="1:23">
      <c r="A493" t="s">
        <v>1536</v>
      </c>
      <c r="B493" t="s">
        <v>32</v>
      </c>
      <c r="C493" s="31" t="s">
        <v>1537</v>
      </c>
      <c r="D493" s="32" t="s">
        <v>1538</v>
      </c>
      <c r="E493" t="s">
        <v>35</v>
      </c>
      <c r="F493" t="s">
        <v>127</v>
      </c>
      <c r="G493" t="s">
        <v>23</v>
      </c>
      <c r="H493" t="s">
        <v>138</v>
      </c>
      <c r="I493" t="s">
        <v>56</v>
      </c>
      <c r="J493">
        <v>5.7</v>
      </c>
      <c r="K493">
        <v>24</v>
      </c>
      <c r="L493" t="s">
        <v>26</v>
      </c>
      <c r="M493">
        <v>4</v>
      </c>
      <c r="N493" t="s">
        <v>27</v>
      </c>
      <c r="O493" t="s">
        <v>28</v>
      </c>
      <c r="P493" t="s">
        <v>29</v>
      </c>
      <c r="Q493" t="s">
        <v>39</v>
      </c>
      <c r="R493" t="str">
        <f>IF(Table1[[#This Row],[Resolution_Time_Hrs]]&gt;Table1[[#This Row],[SLA_Target_Hrs]],"No", "Yes")</f>
        <v>Yes</v>
      </c>
      <c r="S493" t="str">
        <f>IF(Table1[[#This Row],[Calculated_SLA]]=Table1[[#This Row],[SLA_Met]],"Match","Mismatch")</f>
        <v>Match</v>
      </c>
      <c r="T493">
        <f>IF(Table1[[#This Row],[Calculated_SLA]]="Yes",1,0)</f>
        <v>1</v>
      </c>
      <c r="U493" t="str">
        <f>IF(COUNTIFS(Reference_data!A:A,Table1[[#This Row],[Category]],Reference_data!B:B,Table1[[#This Row],[Sub_Category]])&gt;0,"Valid","Invalid")</f>
        <v>Valid</v>
      </c>
      <c r="V493" t="str">
        <f>_xlfn.XLOOKUP([1]!Table1[[#This Row],[Sub_Category]],[1]Reference_data!B:B,[1]Reference_data!A:A)</f>
        <v>Print Quality</v>
      </c>
      <c r="W493" t="str">
        <f>IF([1]!Table1[[#This Row],[Category]]=[1]!Table1[[#This Row],[Expected_Category ]],"Valid", "invalid")</f>
        <v>Valid</v>
      </c>
    </row>
    <row r="494" spans="1:23">
      <c r="A494" t="s">
        <v>1539</v>
      </c>
      <c r="B494" t="s">
        <v>18</v>
      </c>
      <c r="C494" s="31" t="s">
        <v>1540</v>
      </c>
      <c r="D494" s="32" t="s">
        <v>1541</v>
      </c>
      <c r="E494" t="s">
        <v>21</v>
      </c>
      <c r="F494" t="s">
        <v>22</v>
      </c>
      <c r="G494" t="s">
        <v>46</v>
      </c>
      <c r="H494" t="s">
        <v>70</v>
      </c>
      <c r="I494" t="s">
        <v>25</v>
      </c>
      <c r="J494">
        <v>15.7</v>
      </c>
      <c r="K494">
        <v>8</v>
      </c>
      <c r="L494" t="s">
        <v>27</v>
      </c>
      <c r="M494">
        <v>1</v>
      </c>
      <c r="N494" t="s">
        <v>27</v>
      </c>
      <c r="O494" t="s">
        <v>28</v>
      </c>
      <c r="P494" t="s">
        <v>1670</v>
      </c>
      <c r="Q494" t="s">
        <v>58</v>
      </c>
      <c r="R494" t="str">
        <f>IF(Table1[[#This Row],[Resolution_Time_Hrs]]&gt;Table1[[#This Row],[SLA_Target_Hrs]],"No", "Yes")</f>
        <v>No</v>
      </c>
      <c r="S494" t="str">
        <f>IF(Table1[[#This Row],[Calculated_SLA]]=Table1[[#This Row],[SLA_Met]],"Match","Mismatch")</f>
        <v>Match</v>
      </c>
      <c r="T494">
        <f>IF(Table1[[#This Row],[Calculated_SLA]]="Yes",1,0)</f>
        <v>0</v>
      </c>
      <c r="U494" t="str">
        <f>IF(COUNTIFS(Reference_data!A:A,Table1[[#This Row],[Category]],Reference_data!B:B,Table1[[#This Row],[Sub_Category]])&gt;0,"Valid","Invalid")</f>
        <v>Valid</v>
      </c>
      <c r="V494" t="str">
        <f>_xlfn.XLOOKUP([1]!Table1[[#This Row],[Sub_Category]],[1]Reference_data!B:B,[1]Reference_data!A:A)</f>
        <v>Connectivity &amp; Software</v>
      </c>
      <c r="W494" t="str">
        <f>IF([1]!Table1[[#This Row],[Category]]=[1]!Table1[[#This Row],[Expected_Category ]],"Valid", "invalid")</f>
        <v>Valid</v>
      </c>
    </row>
    <row r="495" spans="1:23">
      <c r="A495" t="s">
        <v>1542</v>
      </c>
      <c r="B495" t="s">
        <v>32</v>
      </c>
      <c r="C495" s="31" t="s">
        <v>1543</v>
      </c>
      <c r="D495" s="32" t="s">
        <v>1544</v>
      </c>
      <c r="E495" t="s">
        <v>35</v>
      </c>
      <c r="F495" t="s">
        <v>53</v>
      </c>
      <c r="G495" t="s">
        <v>46</v>
      </c>
      <c r="H495" t="s">
        <v>37</v>
      </c>
      <c r="I495" t="s">
        <v>56</v>
      </c>
      <c r="J495">
        <v>7.8</v>
      </c>
      <c r="K495">
        <v>8</v>
      </c>
      <c r="L495" t="s">
        <v>26</v>
      </c>
      <c r="M495">
        <v>4</v>
      </c>
      <c r="N495" t="s">
        <v>27</v>
      </c>
      <c r="O495" t="s">
        <v>28</v>
      </c>
      <c r="P495" t="s">
        <v>29</v>
      </c>
      <c r="Q495" t="s">
        <v>39</v>
      </c>
      <c r="R495" t="str">
        <f>IF(Table1[[#This Row],[Resolution_Time_Hrs]]&gt;Table1[[#This Row],[SLA_Target_Hrs]],"No", "Yes")</f>
        <v>Yes</v>
      </c>
      <c r="S495" t="str">
        <f>IF(Table1[[#This Row],[Calculated_SLA]]=Table1[[#This Row],[SLA_Met]],"Match","Mismatch")</f>
        <v>Match</v>
      </c>
      <c r="T495">
        <f>IF(Table1[[#This Row],[Calculated_SLA]]="Yes",1,0)</f>
        <v>1</v>
      </c>
      <c r="U495" t="str">
        <f>IF(COUNTIFS(Reference_data!A:A,Table1[[#This Row],[Category]],Reference_data!B:B,Table1[[#This Row],[Sub_Category]])&gt;0,"Valid","Invalid")</f>
        <v>Valid</v>
      </c>
      <c r="V495" t="str">
        <f>_xlfn.XLOOKUP([1]!Table1[[#This Row],[Sub_Category]],[1]Reference_data!B:B,[1]Reference_data!A:A)</f>
        <v>Print Quality</v>
      </c>
      <c r="W495" t="str">
        <f>IF([1]!Table1[[#This Row],[Category]]=[1]!Table1[[#This Row],[Expected_Category ]],"Valid", "invalid")</f>
        <v>Valid</v>
      </c>
    </row>
    <row r="496" spans="1:23">
      <c r="A496" t="s">
        <v>1545</v>
      </c>
      <c r="B496" t="s">
        <v>60</v>
      </c>
      <c r="C496" s="31" t="s">
        <v>1546</v>
      </c>
      <c r="D496" s="32" t="s">
        <v>1547</v>
      </c>
      <c r="E496" t="s">
        <v>35</v>
      </c>
      <c r="F496" t="s">
        <v>127</v>
      </c>
      <c r="G496" t="s">
        <v>54</v>
      </c>
      <c r="H496" t="s">
        <v>64</v>
      </c>
      <c r="I496" t="s">
        <v>56</v>
      </c>
      <c r="J496">
        <v>8.3000000000000007</v>
      </c>
      <c r="K496">
        <v>4</v>
      </c>
      <c r="L496" t="s">
        <v>27</v>
      </c>
      <c r="M496">
        <v>2</v>
      </c>
      <c r="N496" t="s">
        <v>26</v>
      </c>
      <c r="O496" t="s">
        <v>28</v>
      </c>
      <c r="P496" t="s">
        <v>1670</v>
      </c>
      <c r="Q496" t="s">
        <v>39</v>
      </c>
      <c r="R496" t="str">
        <f>IF(Table1[[#This Row],[Resolution_Time_Hrs]]&gt;Table1[[#This Row],[SLA_Target_Hrs]],"No", "Yes")</f>
        <v>No</v>
      </c>
      <c r="S496" t="str">
        <f>IF(Table1[[#This Row],[Calculated_SLA]]=Table1[[#This Row],[SLA_Met]],"Match","Mismatch")</f>
        <v>Match</v>
      </c>
      <c r="T496">
        <f>IF(Table1[[#This Row],[Calculated_SLA]]="Yes",1,0)</f>
        <v>0</v>
      </c>
      <c r="U496" t="str">
        <f>IF(COUNTIFS(Reference_data!A:A,Table1[[#This Row],[Category]],Reference_data!B:B,Table1[[#This Row],[Sub_Category]])&gt;0,"Valid","Invalid")</f>
        <v>Valid</v>
      </c>
      <c r="V496" t="str">
        <f>_xlfn.XLOOKUP([1]!Table1[[#This Row],[Sub_Category]],[1]Reference_data!B:B,[1]Reference_data!A:A)</f>
        <v>Print Quality</v>
      </c>
      <c r="W496" t="str">
        <f>IF([1]!Table1[[#This Row],[Category]]=[1]!Table1[[#This Row],[Expected_Category ]],"Valid", "invalid")</f>
        <v>Valid</v>
      </c>
    </row>
    <row r="497" spans="1:23">
      <c r="A497" t="s">
        <v>1548</v>
      </c>
      <c r="B497" t="s">
        <v>106</v>
      </c>
      <c r="C497" s="31" t="s">
        <v>1549</v>
      </c>
      <c r="D497" s="32" t="s">
        <v>1550</v>
      </c>
      <c r="E497" t="s">
        <v>21</v>
      </c>
      <c r="F497" t="s">
        <v>69</v>
      </c>
      <c r="G497" t="s">
        <v>54</v>
      </c>
      <c r="H497" t="s">
        <v>55</v>
      </c>
      <c r="I497" t="s">
        <v>25</v>
      </c>
      <c r="J497">
        <v>6.7</v>
      </c>
      <c r="K497">
        <v>4</v>
      </c>
      <c r="L497" t="s">
        <v>27</v>
      </c>
      <c r="M497">
        <v>3</v>
      </c>
      <c r="N497" t="s">
        <v>26</v>
      </c>
      <c r="O497" t="s">
        <v>28</v>
      </c>
      <c r="P497" t="s">
        <v>1670</v>
      </c>
      <c r="Q497" t="s">
        <v>39</v>
      </c>
      <c r="R497" t="str">
        <f>IF(Table1[[#This Row],[Resolution_Time_Hrs]]&gt;Table1[[#This Row],[SLA_Target_Hrs]],"No", "Yes")</f>
        <v>No</v>
      </c>
      <c r="S497" t="str">
        <f>IF(Table1[[#This Row],[Calculated_SLA]]=Table1[[#This Row],[SLA_Met]],"Match","Mismatch")</f>
        <v>Match</v>
      </c>
      <c r="T497">
        <f>IF(Table1[[#This Row],[Calculated_SLA]]="Yes",1,0)</f>
        <v>0</v>
      </c>
      <c r="U497" t="str">
        <f>IF(COUNTIFS(Reference_data!A:A,Table1[[#This Row],[Category]],Reference_data!B:B,Table1[[#This Row],[Sub_Category]])&gt;0,"Valid","Invalid")</f>
        <v>Valid</v>
      </c>
      <c r="V497" t="str">
        <f>_xlfn.XLOOKUP([1]!Table1[[#This Row],[Sub_Category]],[1]Reference_data!B:B,[1]Reference_data!A:A)</f>
        <v>Connectivity &amp; Software</v>
      </c>
      <c r="W497" t="str">
        <f>IF([1]!Table1[[#This Row],[Category]]=[1]!Table1[[#This Row],[Expected_Category ]],"Valid", "invalid")</f>
        <v>Valid</v>
      </c>
    </row>
    <row r="498" spans="1:23">
      <c r="A498" t="s">
        <v>1551</v>
      </c>
      <c r="B498" t="s">
        <v>50</v>
      </c>
      <c r="C498" s="31" t="s">
        <v>1552</v>
      </c>
      <c r="D498" s="32" t="s">
        <v>1553</v>
      </c>
      <c r="E498" t="s">
        <v>78</v>
      </c>
      <c r="F498" t="s">
        <v>191</v>
      </c>
      <c r="G498" t="s">
        <v>54</v>
      </c>
      <c r="H498" t="s">
        <v>64</v>
      </c>
      <c r="I498" t="s">
        <v>38</v>
      </c>
      <c r="J498">
        <v>8.1</v>
      </c>
      <c r="K498">
        <v>4</v>
      </c>
      <c r="L498" t="s">
        <v>27</v>
      </c>
      <c r="M498">
        <v>2</v>
      </c>
      <c r="N498" t="s">
        <v>26</v>
      </c>
      <c r="O498" t="s">
        <v>28</v>
      </c>
      <c r="P498" t="s">
        <v>57</v>
      </c>
      <c r="Q498" t="s">
        <v>39</v>
      </c>
      <c r="R498" t="str">
        <f>IF(Table1[[#This Row],[Resolution_Time_Hrs]]&gt;Table1[[#This Row],[SLA_Target_Hrs]],"No", "Yes")</f>
        <v>No</v>
      </c>
      <c r="S498" t="str">
        <f>IF(Table1[[#This Row],[Calculated_SLA]]=Table1[[#This Row],[SLA_Met]],"Match","Mismatch")</f>
        <v>Match</v>
      </c>
      <c r="T498">
        <f>IF(Table1[[#This Row],[Calculated_SLA]]="Yes",1,0)</f>
        <v>0</v>
      </c>
      <c r="U498" t="str">
        <f>IF(COUNTIFS(Reference_data!A:A,Table1[[#This Row],[Category]],Reference_data!B:B,Table1[[#This Row],[Sub_Category]])&gt;0,"Valid","Invalid")</f>
        <v>Valid</v>
      </c>
      <c r="V498" t="str">
        <f>_xlfn.XLOOKUP([1]!Table1[[#This Row],[Sub_Category]],[1]Reference_data!B:B,[1]Reference_data!A:A)</f>
        <v>Hardware &amp; Mechanical</v>
      </c>
      <c r="W498" t="str">
        <f>IF([1]!Table1[[#This Row],[Category]]=[1]!Table1[[#This Row],[Expected_Category ]],"Valid", "invalid")</f>
        <v>Valid</v>
      </c>
    </row>
    <row r="499" spans="1:23">
      <c r="A499" t="s">
        <v>1554</v>
      </c>
      <c r="B499" t="s">
        <v>66</v>
      </c>
      <c r="C499" s="31" t="s">
        <v>1555</v>
      </c>
      <c r="D499" s="32" t="s">
        <v>1556</v>
      </c>
      <c r="E499" t="s">
        <v>35</v>
      </c>
      <c r="F499" t="s">
        <v>53</v>
      </c>
      <c r="G499" t="s">
        <v>46</v>
      </c>
      <c r="H499" t="s">
        <v>234</v>
      </c>
      <c r="I499" t="s">
        <v>56</v>
      </c>
      <c r="J499">
        <v>8.4</v>
      </c>
      <c r="K499">
        <v>8</v>
      </c>
      <c r="L499" t="s">
        <v>27</v>
      </c>
      <c r="M499">
        <v>3</v>
      </c>
      <c r="N499" t="s">
        <v>27</v>
      </c>
      <c r="O499" t="s">
        <v>28</v>
      </c>
      <c r="P499" t="s">
        <v>1670</v>
      </c>
      <c r="Q499" t="s">
        <v>39</v>
      </c>
      <c r="R499" t="str">
        <f>IF(Table1[[#This Row],[Resolution_Time_Hrs]]&gt;Table1[[#This Row],[SLA_Target_Hrs]],"No", "Yes")</f>
        <v>No</v>
      </c>
      <c r="S499" t="str">
        <f>IF(Table1[[#This Row],[Calculated_SLA]]=Table1[[#This Row],[SLA_Met]],"Match","Mismatch")</f>
        <v>Match</v>
      </c>
      <c r="T499">
        <f>IF(Table1[[#This Row],[Calculated_SLA]]="Yes",1,0)</f>
        <v>0</v>
      </c>
      <c r="U499" t="str">
        <f>IF(COUNTIFS(Reference_data!A:A,Table1[[#This Row],[Category]],Reference_data!B:B,Table1[[#This Row],[Sub_Category]])&gt;0,"Valid","Invalid")</f>
        <v>Valid</v>
      </c>
      <c r="V499" t="str">
        <f>_xlfn.XLOOKUP([1]!Table1[[#This Row],[Sub_Category]],[1]Reference_data!B:B,[1]Reference_data!A:A)</f>
        <v>Print Quality</v>
      </c>
      <c r="W499" t="str">
        <f>IF([1]!Table1[[#This Row],[Category]]=[1]!Table1[[#This Row],[Expected_Category ]],"Valid", "invalid")</f>
        <v>Valid</v>
      </c>
    </row>
    <row r="500" spans="1:23">
      <c r="A500" t="s">
        <v>1557</v>
      </c>
      <c r="B500" t="s">
        <v>50</v>
      </c>
      <c r="C500" s="31" t="s">
        <v>1558</v>
      </c>
      <c r="D500" s="32" t="s">
        <v>1559</v>
      </c>
      <c r="E500" t="s">
        <v>78</v>
      </c>
      <c r="F500" t="s">
        <v>79</v>
      </c>
      <c r="G500" t="s">
        <v>54</v>
      </c>
      <c r="H500" t="s">
        <v>86</v>
      </c>
      <c r="I500" t="s">
        <v>80</v>
      </c>
      <c r="J500">
        <v>9.5</v>
      </c>
      <c r="K500">
        <v>4</v>
      </c>
      <c r="L500" t="s">
        <v>27</v>
      </c>
      <c r="M500">
        <v>3</v>
      </c>
      <c r="N500" t="s">
        <v>27</v>
      </c>
      <c r="O500" t="s">
        <v>28</v>
      </c>
      <c r="P500" t="s">
        <v>57</v>
      </c>
      <c r="Q500" t="s">
        <v>39</v>
      </c>
      <c r="R500" t="str">
        <f>IF(Table1[[#This Row],[Resolution_Time_Hrs]]&gt;Table1[[#This Row],[SLA_Target_Hrs]],"No", "Yes")</f>
        <v>No</v>
      </c>
      <c r="S500" t="str">
        <f>IF(Table1[[#This Row],[Calculated_SLA]]=Table1[[#This Row],[SLA_Met]],"Match","Mismatch")</f>
        <v>Match</v>
      </c>
      <c r="T500">
        <f>IF(Table1[[#This Row],[Calculated_SLA]]="Yes",1,0)</f>
        <v>0</v>
      </c>
      <c r="U500" t="str">
        <f>IF(COUNTIFS(Reference_data!A:A,Table1[[#This Row],[Category]],Reference_data!B:B,Table1[[#This Row],[Sub_Category]])&gt;0,"Valid","Invalid")</f>
        <v>Valid</v>
      </c>
      <c r="V500" t="str">
        <f>_xlfn.XLOOKUP([1]!Table1[[#This Row],[Sub_Category]],[1]Reference_data!B:B,[1]Reference_data!A:A)</f>
        <v>Hardware &amp; Mechanical</v>
      </c>
      <c r="W500" t="str">
        <f>IF([1]!Table1[[#This Row],[Category]]=[1]!Table1[[#This Row],[Expected_Category ]],"Valid", "invalid")</f>
        <v>Valid</v>
      </c>
    </row>
    <row r="501" spans="1:23">
      <c r="A501" t="s">
        <v>1560</v>
      </c>
      <c r="B501" t="s">
        <v>32</v>
      </c>
      <c r="C501" s="31" t="s">
        <v>1561</v>
      </c>
      <c r="D501" s="32" t="s">
        <v>1562</v>
      </c>
      <c r="E501" t="s">
        <v>35</v>
      </c>
      <c r="F501" t="s">
        <v>127</v>
      </c>
      <c r="G501" t="s">
        <v>23</v>
      </c>
      <c r="H501" t="s">
        <v>91</v>
      </c>
      <c r="I501" t="s">
        <v>56</v>
      </c>
      <c r="J501">
        <v>7.4</v>
      </c>
      <c r="K501">
        <v>24</v>
      </c>
      <c r="L501" t="s">
        <v>26</v>
      </c>
      <c r="M501">
        <v>4</v>
      </c>
      <c r="N501" t="s">
        <v>27</v>
      </c>
      <c r="O501" t="s">
        <v>28</v>
      </c>
      <c r="P501" t="s">
        <v>29</v>
      </c>
      <c r="Q501" t="s">
        <v>39</v>
      </c>
      <c r="R501" t="str">
        <f>IF(Table1[[#This Row],[Resolution_Time_Hrs]]&gt;Table1[[#This Row],[SLA_Target_Hrs]],"No", "Yes")</f>
        <v>Yes</v>
      </c>
      <c r="S501" t="str">
        <f>IF(Table1[[#This Row],[Calculated_SLA]]=Table1[[#This Row],[SLA_Met]],"Match","Mismatch")</f>
        <v>Match</v>
      </c>
      <c r="T501">
        <f>IF(Table1[[#This Row],[Calculated_SLA]]="Yes",1,0)</f>
        <v>1</v>
      </c>
      <c r="U501" t="str">
        <f>IF(COUNTIFS(Reference_data!A:A,Table1[[#This Row],[Category]],Reference_data!B:B,Table1[[#This Row],[Sub_Category]])&gt;0,"Valid","Invalid")</f>
        <v>Valid</v>
      </c>
      <c r="V501" t="str">
        <f>_xlfn.XLOOKUP([1]!Table1[[#This Row],[Sub_Category]],[1]Reference_data!B:B,[1]Reference_data!A:A)</f>
        <v>Print Quality</v>
      </c>
      <c r="W501" t="str">
        <f>IF([1]!Table1[[#This Row],[Category]]=[1]!Table1[[#This Row],[Expected_Category ]],"Valid", "invalid")</f>
        <v>Valid</v>
      </c>
    </row>
  </sheetData>
  <phoneticPr fontId="3" type="noConversion"/>
  <conditionalFormatting sqref="A2:A501">
    <cfRule type="duplicateValues" dxfId="1" priority="1"/>
  </conditionalFormatting>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B1534-2878-4FB9-BCAA-F65C221C81B6}">
  <dimension ref="A1:L8"/>
  <sheetViews>
    <sheetView workbookViewId="0">
      <selection activeCell="J17" sqref="J17"/>
    </sheetView>
  </sheetViews>
  <sheetFormatPr defaultRowHeight="15"/>
  <cols>
    <col min="1" max="1" width="12" bestFit="1" customWidth="1"/>
    <col min="2" max="2" width="9.5703125" customWidth="1"/>
    <col min="3" max="3" width="9.85546875" bestFit="1" customWidth="1"/>
    <col min="4" max="4" width="16.42578125" bestFit="1" customWidth="1"/>
    <col min="5" max="5" width="11.5703125" bestFit="1" customWidth="1"/>
    <col min="9" max="9" width="18.42578125" customWidth="1"/>
    <col min="10" max="10" width="19.85546875" customWidth="1"/>
    <col min="11" max="11" width="30.85546875" customWidth="1"/>
    <col min="12" max="12" width="23.140625" bestFit="1" customWidth="1"/>
  </cols>
  <sheetData>
    <row r="1" spans="1:12">
      <c r="A1" s="33" t="s">
        <v>1675</v>
      </c>
      <c r="B1" s="33"/>
      <c r="C1" s="33"/>
      <c r="D1" s="33"/>
      <c r="E1" s="33"/>
      <c r="K1" s="33" t="s">
        <v>1676</v>
      </c>
      <c r="L1" s="33"/>
    </row>
    <row r="2" spans="1:12">
      <c r="A2" s="11" t="s">
        <v>1565</v>
      </c>
      <c r="B2" s="11" t="s">
        <v>1566</v>
      </c>
      <c r="C2" s="11" t="s">
        <v>1567</v>
      </c>
      <c r="D2" s="11" t="s">
        <v>1568</v>
      </c>
      <c r="E2" s="11" t="s">
        <v>1569</v>
      </c>
      <c r="K2" s="11" t="s">
        <v>1578</v>
      </c>
      <c r="L2" s="11" t="s">
        <v>1579</v>
      </c>
    </row>
    <row r="3" spans="1:12" ht="60">
      <c r="A3" s="12" t="s">
        <v>1570</v>
      </c>
      <c r="B3" s="12" t="s">
        <v>0</v>
      </c>
      <c r="C3" s="12" t="s">
        <v>1571</v>
      </c>
      <c r="D3" s="12" t="s">
        <v>1572</v>
      </c>
      <c r="E3" s="12" t="s">
        <v>1573</v>
      </c>
      <c r="K3" s="12" t="s">
        <v>1580</v>
      </c>
      <c r="L3" s="16">
        <v>0</v>
      </c>
    </row>
    <row r="4" spans="1:12" ht="45">
      <c r="A4" s="12" t="s">
        <v>1574</v>
      </c>
      <c r="B4" s="12" t="s">
        <v>12</v>
      </c>
      <c r="C4" s="12" t="s">
        <v>1575</v>
      </c>
      <c r="D4" s="12" t="s">
        <v>1671</v>
      </c>
      <c r="E4" s="12" t="s">
        <v>1672</v>
      </c>
      <c r="K4" s="12" t="s">
        <v>1581</v>
      </c>
      <c r="L4" s="16">
        <v>0</v>
      </c>
    </row>
    <row r="5" spans="1:12" ht="45">
      <c r="A5" s="12" t="s">
        <v>1576</v>
      </c>
      <c r="B5" s="12" t="s">
        <v>11</v>
      </c>
      <c r="C5" s="12" t="s">
        <v>1577</v>
      </c>
      <c r="D5" s="12" t="s">
        <v>1673</v>
      </c>
      <c r="E5" s="12" t="s">
        <v>1674</v>
      </c>
      <c r="K5" s="12" t="s">
        <v>1583</v>
      </c>
      <c r="L5" s="16">
        <v>0</v>
      </c>
    </row>
    <row r="6" spans="1:12">
      <c r="A6" s="12"/>
      <c r="B6" s="12"/>
      <c r="C6" s="12"/>
      <c r="D6" s="12"/>
      <c r="E6" s="12"/>
      <c r="K6" s="12" t="s">
        <v>1584</v>
      </c>
      <c r="L6" s="16">
        <v>0</v>
      </c>
    </row>
    <row r="7" spans="1:12" ht="30">
      <c r="K7" s="12" t="s">
        <v>1582</v>
      </c>
      <c r="L7" s="29" t="s">
        <v>1677</v>
      </c>
    </row>
    <row r="8" spans="1:12">
      <c r="K8" s="12" t="s">
        <v>1678</v>
      </c>
      <c r="L8" s="29" t="s">
        <v>1679</v>
      </c>
    </row>
  </sheetData>
  <mergeCells count="2">
    <mergeCell ref="A1:E1"/>
    <mergeCell ref="K1:L1"/>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06423-DC7B-42EE-BCCF-946FCC0E2998}">
  <dimension ref="A2:N77"/>
  <sheetViews>
    <sheetView topLeftCell="A20" zoomScale="90" zoomScaleNormal="90" workbookViewId="0">
      <selection activeCell="L35" sqref="L35"/>
    </sheetView>
  </sheetViews>
  <sheetFormatPr defaultRowHeight="15"/>
  <cols>
    <col min="1" max="1" width="10.7109375" bestFit="1" customWidth="1"/>
    <col min="2" max="2" width="25.140625" bestFit="1" customWidth="1"/>
    <col min="3" max="3" width="14.5703125" customWidth="1"/>
    <col min="4" max="4" width="28.42578125" customWidth="1"/>
    <col min="5" max="5" width="26" bestFit="1" customWidth="1"/>
    <col min="6" max="6" width="16.42578125" bestFit="1" customWidth="1"/>
    <col min="7" max="7" width="3.85546875" bestFit="1" customWidth="1"/>
    <col min="8" max="9" width="3.85546875" customWidth="1"/>
    <col min="10" max="10" width="10.7109375" bestFit="1" customWidth="1"/>
    <col min="11" max="11" width="21.5703125" bestFit="1" customWidth="1"/>
    <col min="12" max="12" width="28.42578125" bestFit="1" customWidth="1"/>
    <col min="13" max="13" width="2" bestFit="1" customWidth="1"/>
    <col min="14" max="14" width="10.7109375" bestFit="1" customWidth="1"/>
    <col min="15" max="15" width="8" bestFit="1" customWidth="1"/>
    <col min="16" max="16" width="10.7109375" bestFit="1" customWidth="1"/>
  </cols>
  <sheetData>
    <row r="2" spans="1:14">
      <c r="A2" s="20" t="s">
        <v>1597</v>
      </c>
      <c r="E2" s="20" t="s">
        <v>1596</v>
      </c>
      <c r="K2" s="20" t="s">
        <v>1598</v>
      </c>
    </row>
    <row r="3" spans="1:14">
      <c r="A3" s="17" t="s">
        <v>4</v>
      </c>
      <c r="B3" t="s">
        <v>1595</v>
      </c>
      <c r="E3" s="17" t="s">
        <v>16</v>
      </c>
      <c r="F3" t="s">
        <v>1595</v>
      </c>
      <c r="K3" s="17" t="s">
        <v>16</v>
      </c>
      <c r="L3" t="s">
        <v>1669</v>
      </c>
    </row>
    <row r="4" spans="1:14">
      <c r="A4" s="18" t="s">
        <v>21</v>
      </c>
      <c r="B4">
        <v>178</v>
      </c>
      <c r="E4" s="18" t="s">
        <v>39</v>
      </c>
      <c r="F4">
        <v>141</v>
      </c>
      <c r="K4" s="18" t="s">
        <v>101</v>
      </c>
      <c r="L4" s="19">
        <v>0.53030303030303028</v>
      </c>
    </row>
    <row r="5" spans="1:14">
      <c r="A5" s="18" t="s">
        <v>78</v>
      </c>
      <c r="B5">
        <v>127</v>
      </c>
      <c r="E5" s="18" t="s">
        <v>101</v>
      </c>
      <c r="F5">
        <v>132</v>
      </c>
      <c r="K5" s="18" t="s">
        <v>30</v>
      </c>
      <c r="L5" s="19">
        <v>0.52293577981651373</v>
      </c>
    </row>
    <row r="6" spans="1:14">
      <c r="A6" s="18" t="s">
        <v>35</v>
      </c>
      <c r="B6">
        <v>107</v>
      </c>
      <c r="E6" s="18" t="s">
        <v>58</v>
      </c>
      <c r="F6">
        <v>118</v>
      </c>
      <c r="K6" s="18" t="s">
        <v>58</v>
      </c>
      <c r="L6" s="19">
        <v>0.44915254237288138</v>
      </c>
    </row>
    <row r="7" spans="1:14">
      <c r="A7" s="18" t="s">
        <v>84</v>
      </c>
      <c r="B7">
        <v>57</v>
      </c>
      <c r="E7" s="18" t="s">
        <v>30</v>
      </c>
      <c r="F7">
        <v>109</v>
      </c>
      <c r="K7" s="18" t="s">
        <v>39</v>
      </c>
      <c r="L7" s="19">
        <v>0.41134751773049644</v>
      </c>
    </row>
    <row r="8" spans="1:14">
      <c r="A8" s="18" t="s">
        <v>44</v>
      </c>
      <c r="B8">
        <v>31</v>
      </c>
      <c r="E8" s="18" t="s">
        <v>1594</v>
      </c>
      <c r="F8">
        <v>500</v>
      </c>
      <c r="K8" s="18" t="s">
        <v>1594</v>
      </c>
      <c r="L8" s="19">
        <v>0.47599999999999998</v>
      </c>
    </row>
    <row r="9" spans="1:14">
      <c r="A9" s="18" t="s">
        <v>1594</v>
      </c>
      <c r="B9">
        <v>500</v>
      </c>
    </row>
    <row r="10" spans="1:14">
      <c r="A10" s="18"/>
    </row>
    <row r="11" spans="1:14">
      <c r="A11" s="23" t="s">
        <v>1610</v>
      </c>
      <c r="E11" s="23" t="s">
        <v>1610</v>
      </c>
      <c r="K11" s="23" t="s">
        <v>1610</v>
      </c>
      <c r="L11" s="19"/>
      <c r="M11" s="19"/>
      <c r="N11" s="19"/>
    </row>
    <row r="12" spans="1:14" ht="41.45" customHeight="1">
      <c r="A12" s="34" t="s">
        <v>1640</v>
      </c>
      <c r="B12" s="34"/>
      <c r="C12" s="34"/>
      <c r="E12" s="34" t="s">
        <v>1618</v>
      </c>
      <c r="F12" s="34"/>
      <c r="K12" s="34" t="s">
        <v>1639</v>
      </c>
      <c r="L12" s="34"/>
      <c r="M12" s="34"/>
      <c r="N12" s="34"/>
    </row>
    <row r="13" spans="1:14">
      <c r="A13" s="18"/>
      <c r="K13" s="18"/>
      <c r="L13" s="19"/>
      <c r="M13" s="19"/>
      <c r="N13" s="19"/>
    </row>
    <row r="14" spans="1:14">
      <c r="A14" s="23" t="s">
        <v>1611</v>
      </c>
      <c r="E14" s="23" t="s">
        <v>1611</v>
      </c>
      <c r="K14" s="23" t="s">
        <v>1611</v>
      </c>
      <c r="L14" s="19"/>
      <c r="M14" s="19"/>
      <c r="N14" s="19"/>
    </row>
    <row r="15" spans="1:14" ht="58.5" customHeight="1">
      <c r="A15" s="34" t="s">
        <v>1612</v>
      </c>
      <c r="B15" s="34"/>
      <c r="C15" s="34"/>
      <c r="E15" s="34" t="s">
        <v>1619</v>
      </c>
      <c r="F15" s="34"/>
      <c r="K15" s="34" t="s">
        <v>1638</v>
      </c>
      <c r="L15" s="34"/>
      <c r="M15" s="34"/>
      <c r="N15" s="34"/>
    </row>
    <row r="16" spans="1:14">
      <c r="A16" s="18"/>
      <c r="K16" s="18"/>
      <c r="L16" s="19"/>
      <c r="M16" s="19"/>
      <c r="N16" s="19"/>
    </row>
    <row r="17" spans="1:14">
      <c r="A17" s="23" t="s">
        <v>1613</v>
      </c>
      <c r="E17" s="23" t="s">
        <v>1613</v>
      </c>
      <c r="K17" s="23" t="s">
        <v>1613</v>
      </c>
      <c r="L17" s="19"/>
      <c r="M17" s="19"/>
      <c r="N17" s="19"/>
    </row>
    <row r="18" spans="1:14" ht="64.5" customHeight="1">
      <c r="A18" s="34" t="s">
        <v>1614</v>
      </c>
      <c r="B18" s="34"/>
      <c r="C18" s="34"/>
      <c r="E18" s="34" t="s">
        <v>1620</v>
      </c>
      <c r="F18" s="34"/>
      <c r="K18" s="34" t="s">
        <v>1656</v>
      </c>
      <c r="L18" s="34"/>
      <c r="M18" s="34"/>
      <c r="N18" s="34"/>
    </row>
    <row r="19" spans="1:14">
      <c r="A19" s="18"/>
      <c r="K19" s="18"/>
      <c r="L19" s="19"/>
      <c r="M19" s="19"/>
      <c r="N19" s="19"/>
    </row>
    <row r="20" spans="1:14">
      <c r="A20" s="23" t="s">
        <v>1615</v>
      </c>
      <c r="E20" s="23" t="s">
        <v>1615</v>
      </c>
      <c r="K20" s="23" t="s">
        <v>1615</v>
      </c>
      <c r="L20" s="19"/>
      <c r="M20" s="19"/>
      <c r="N20" s="19"/>
    </row>
    <row r="21" spans="1:14" ht="72" customHeight="1">
      <c r="A21" s="34" t="s">
        <v>1616</v>
      </c>
      <c r="B21" s="34"/>
      <c r="C21" s="34"/>
      <c r="E21" s="34" t="s">
        <v>1637</v>
      </c>
      <c r="F21" s="34"/>
      <c r="K21" s="34" t="s">
        <v>1655</v>
      </c>
      <c r="L21" s="34"/>
      <c r="M21" s="34"/>
      <c r="N21" s="34"/>
    </row>
    <row r="22" spans="1:14">
      <c r="A22" s="18"/>
      <c r="K22" s="18"/>
      <c r="L22" s="19"/>
      <c r="M22" s="19"/>
      <c r="N22" s="19"/>
    </row>
    <row r="24" spans="1:14">
      <c r="K24" s="18"/>
    </row>
    <row r="26" spans="1:14">
      <c r="A26" s="21" t="s">
        <v>1599</v>
      </c>
      <c r="E26" s="20" t="s">
        <v>1600</v>
      </c>
      <c r="K26" s="21" t="s">
        <v>1602</v>
      </c>
    </row>
    <row r="27" spans="1:14">
      <c r="A27" s="17" t="s">
        <v>1604</v>
      </c>
      <c r="B27" t="s">
        <v>1595</v>
      </c>
      <c r="E27" s="17" t="s">
        <v>1605</v>
      </c>
      <c r="F27" t="s">
        <v>1601</v>
      </c>
      <c r="K27" s="17" t="s">
        <v>4</v>
      </c>
      <c r="L27" t="s">
        <v>1603</v>
      </c>
    </row>
    <row r="28" spans="1:14">
      <c r="A28" s="18" t="s">
        <v>55</v>
      </c>
      <c r="B28">
        <v>60</v>
      </c>
      <c r="E28" s="18" t="s">
        <v>25</v>
      </c>
      <c r="F28">
        <v>178</v>
      </c>
      <c r="K28" s="18" t="s">
        <v>78</v>
      </c>
      <c r="L28" s="22">
        <v>14.905511811023619</v>
      </c>
    </row>
    <row r="29" spans="1:14">
      <c r="A29" s="18" t="s">
        <v>70</v>
      </c>
      <c r="B29">
        <v>59</v>
      </c>
      <c r="E29" s="18" t="s">
        <v>80</v>
      </c>
      <c r="F29">
        <v>86</v>
      </c>
      <c r="K29" s="18" t="s">
        <v>21</v>
      </c>
      <c r="L29" s="22">
        <v>10.744943820224723</v>
      </c>
    </row>
    <row r="30" spans="1:14">
      <c r="A30" s="18" t="s">
        <v>91</v>
      </c>
      <c r="B30">
        <v>56</v>
      </c>
      <c r="E30" s="18" t="s">
        <v>38</v>
      </c>
      <c r="F30">
        <v>74</v>
      </c>
      <c r="K30" s="18" t="s">
        <v>35</v>
      </c>
      <c r="L30" s="22">
        <v>8.5271028037383161</v>
      </c>
    </row>
    <row r="31" spans="1:14">
      <c r="A31" s="18" t="s">
        <v>86</v>
      </c>
      <c r="B31">
        <v>53</v>
      </c>
      <c r="E31" s="18" t="s">
        <v>56</v>
      </c>
      <c r="F31">
        <v>74</v>
      </c>
      <c r="K31" s="18" t="s">
        <v>84</v>
      </c>
      <c r="L31" s="22">
        <v>6.6736842105263188</v>
      </c>
    </row>
    <row r="32" spans="1:14">
      <c r="A32" s="18" t="s">
        <v>37</v>
      </c>
      <c r="B32">
        <v>51</v>
      </c>
      <c r="E32" s="18" t="s">
        <v>87</v>
      </c>
      <c r="F32">
        <v>57</v>
      </c>
      <c r="K32" s="18" t="s">
        <v>44</v>
      </c>
      <c r="L32" s="22">
        <v>3.3999999999999995</v>
      </c>
    </row>
    <row r="33" spans="1:12">
      <c r="A33" s="18" t="s">
        <v>24</v>
      </c>
      <c r="B33">
        <v>48</v>
      </c>
      <c r="E33" s="18" t="s">
        <v>48</v>
      </c>
      <c r="F33">
        <v>31</v>
      </c>
      <c r="K33" s="18" t="s">
        <v>1594</v>
      </c>
      <c r="L33" s="22">
        <v>10.407599999999999</v>
      </c>
    </row>
    <row r="34" spans="1:12">
      <c r="A34" s="18" t="s">
        <v>47</v>
      </c>
      <c r="B34">
        <v>45</v>
      </c>
      <c r="E34" s="18" t="s">
        <v>1594</v>
      </c>
      <c r="F34">
        <v>500</v>
      </c>
    </row>
    <row r="35" spans="1:12">
      <c r="A35" s="18" t="s">
        <v>64</v>
      </c>
      <c r="B35">
        <v>44</v>
      </c>
    </row>
    <row r="36" spans="1:12">
      <c r="A36" s="18" t="s">
        <v>138</v>
      </c>
      <c r="B36">
        <v>43</v>
      </c>
    </row>
    <row r="37" spans="1:12">
      <c r="A37" s="18" t="s">
        <v>234</v>
      </c>
      <c r="B37">
        <v>41</v>
      </c>
    </row>
    <row r="38" spans="1:12">
      <c r="A38" s="18" t="s">
        <v>1594</v>
      </c>
      <c r="B38">
        <v>500</v>
      </c>
    </row>
    <row r="40" spans="1:12">
      <c r="A40" s="23" t="s">
        <v>1617</v>
      </c>
      <c r="E40" s="23" t="s">
        <v>1617</v>
      </c>
      <c r="K40" s="23" t="s">
        <v>1617</v>
      </c>
    </row>
    <row r="41" spans="1:12" ht="42.6" customHeight="1">
      <c r="A41" s="34" t="s">
        <v>1636</v>
      </c>
      <c r="B41" s="34"/>
      <c r="C41" s="34"/>
      <c r="E41" s="34" t="s">
        <v>1634</v>
      </c>
      <c r="F41" s="34"/>
      <c r="K41" s="34" t="s">
        <v>1633</v>
      </c>
      <c r="L41" s="34"/>
    </row>
    <row r="43" spans="1:12">
      <c r="A43" s="23" t="s">
        <v>1611</v>
      </c>
      <c r="E43" s="23" t="s">
        <v>1611</v>
      </c>
      <c r="K43" s="23" t="s">
        <v>1611</v>
      </c>
    </row>
    <row r="44" spans="1:12" ht="72.95" customHeight="1">
      <c r="A44" s="34" t="s">
        <v>1622</v>
      </c>
      <c r="B44" s="34"/>
      <c r="C44" s="34"/>
      <c r="E44" s="34" t="s">
        <v>1635</v>
      </c>
      <c r="F44" s="34"/>
      <c r="K44" s="34" t="s">
        <v>1632</v>
      </c>
      <c r="L44" s="34"/>
    </row>
    <row r="46" spans="1:12">
      <c r="A46" s="24" t="s">
        <v>1613</v>
      </c>
      <c r="E46" s="24" t="s">
        <v>1613</v>
      </c>
      <c r="K46" s="24" t="s">
        <v>1613</v>
      </c>
    </row>
    <row r="47" spans="1:12" ht="77.099999999999994" customHeight="1">
      <c r="A47" s="34" t="s">
        <v>1623</v>
      </c>
      <c r="B47" s="34"/>
      <c r="C47" s="34"/>
      <c r="E47" s="34" t="s">
        <v>1625</v>
      </c>
      <c r="F47" s="34"/>
      <c r="K47" s="34" t="s">
        <v>1631</v>
      </c>
      <c r="L47" s="34"/>
    </row>
    <row r="49" spans="1:12">
      <c r="A49" s="24" t="s">
        <v>1615</v>
      </c>
      <c r="E49" s="24" t="s">
        <v>1615</v>
      </c>
      <c r="K49" s="24" t="s">
        <v>1615</v>
      </c>
    </row>
    <row r="50" spans="1:12" ht="123.95" customHeight="1">
      <c r="A50" s="34" t="s">
        <v>1624</v>
      </c>
      <c r="B50" s="34"/>
      <c r="C50" s="34"/>
      <c r="E50" s="34" t="s">
        <v>1621</v>
      </c>
      <c r="F50" s="34"/>
      <c r="K50" s="34" t="s">
        <v>1630</v>
      </c>
      <c r="L50" s="34"/>
    </row>
    <row r="53" spans="1:12">
      <c r="A53" s="20" t="s">
        <v>1606</v>
      </c>
      <c r="E53" s="20" t="s">
        <v>1609</v>
      </c>
    </row>
    <row r="54" spans="1:12">
      <c r="A54" s="17" t="s">
        <v>1666</v>
      </c>
      <c r="B54" t="s">
        <v>1607</v>
      </c>
      <c r="E54" s="17" t="s">
        <v>1667</v>
      </c>
      <c r="F54" t="s">
        <v>1595</v>
      </c>
    </row>
    <row r="55" spans="1:12">
      <c r="A55" s="18" t="s">
        <v>64</v>
      </c>
      <c r="B55" s="22">
        <v>3.6744186046511627</v>
      </c>
      <c r="E55" s="18" t="s">
        <v>32</v>
      </c>
      <c r="F55">
        <v>98</v>
      </c>
    </row>
    <row r="56" spans="1:12">
      <c r="A56" s="18" t="s">
        <v>47</v>
      </c>
      <c r="B56" s="22">
        <v>3.2926829268292681</v>
      </c>
      <c r="E56" s="18" t="s">
        <v>75</v>
      </c>
      <c r="F56">
        <v>68</v>
      </c>
    </row>
    <row r="57" spans="1:12">
      <c r="A57" s="18" t="s">
        <v>234</v>
      </c>
      <c r="B57" s="22">
        <v>3.25</v>
      </c>
      <c r="E57" s="18" t="s">
        <v>50</v>
      </c>
      <c r="F57">
        <v>63</v>
      </c>
    </row>
    <row r="58" spans="1:12">
      <c r="A58" s="18" t="s">
        <v>70</v>
      </c>
      <c r="B58" s="22">
        <v>3.2241379310344827</v>
      </c>
      <c r="E58" s="18" t="s">
        <v>60</v>
      </c>
      <c r="F58">
        <v>50</v>
      </c>
    </row>
    <row r="59" spans="1:12">
      <c r="A59" s="18" t="s">
        <v>37</v>
      </c>
      <c r="B59" s="22">
        <v>3.1632653061224492</v>
      </c>
      <c r="E59" s="18" t="s">
        <v>121</v>
      </c>
      <c r="F59">
        <v>46</v>
      </c>
    </row>
    <row r="60" spans="1:12">
      <c r="A60" s="18" t="s">
        <v>138</v>
      </c>
      <c r="B60" s="22">
        <v>3.1219512195121952</v>
      </c>
      <c r="E60" s="18" t="s">
        <v>135</v>
      </c>
      <c r="F60">
        <v>45</v>
      </c>
    </row>
    <row r="61" spans="1:12">
      <c r="A61" s="18" t="s">
        <v>91</v>
      </c>
      <c r="B61" s="22">
        <v>3.1111111111111112</v>
      </c>
      <c r="E61" s="18" t="s">
        <v>41</v>
      </c>
      <c r="F61">
        <v>39</v>
      </c>
    </row>
    <row r="62" spans="1:12">
      <c r="A62" s="18" t="s">
        <v>86</v>
      </c>
      <c r="B62" s="22">
        <v>3.0192307692307692</v>
      </c>
      <c r="E62" s="18" t="s">
        <v>18</v>
      </c>
      <c r="F62">
        <v>38</v>
      </c>
    </row>
    <row r="63" spans="1:12">
      <c r="A63" s="18" t="s">
        <v>24</v>
      </c>
      <c r="B63" s="22">
        <v>2.9583333333333335</v>
      </c>
      <c r="E63" s="18" t="s">
        <v>106</v>
      </c>
      <c r="F63">
        <v>27</v>
      </c>
    </row>
    <row r="64" spans="1:12">
      <c r="A64" s="18" t="s">
        <v>55</v>
      </c>
      <c r="B64" s="22">
        <v>2.7796610169491527</v>
      </c>
      <c r="E64" s="18" t="s">
        <v>66</v>
      </c>
      <c r="F64">
        <v>26</v>
      </c>
    </row>
    <row r="65" spans="1:6">
      <c r="A65" s="18" t="s">
        <v>1594</v>
      </c>
      <c r="B65" s="22">
        <v>3.1422680412371133</v>
      </c>
      <c r="E65" s="18" t="s">
        <v>1594</v>
      </c>
      <c r="F65">
        <v>500</v>
      </c>
    </row>
    <row r="67" spans="1:6">
      <c r="A67" s="23" t="s">
        <v>1610</v>
      </c>
      <c r="E67" s="23" t="s">
        <v>1610</v>
      </c>
    </row>
    <row r="68" spans="1:6" ht="32.450000000000003" customHeight="1">
      <c r="A68" s="34" t="s">
        <v>1608</v>
      </c>
      <c r="B68" s="34"/>
      <c r="C68" s="34"/>
      <c r="E68" s="34" t="s">
        <v>1629</v>
      </c>
      <c r="F68" s="34"/>
    </row>
    <row r="70" spans="1:6">
      <c r="A70" s="24" t="s">
        <v>1611</v>
      </c>
      <c r="E70" s="24" t="s">
        <v>1611</v>
      </c>
    </row>
    <row r="71" spans="1:6" ht="86.45" customHeight="1">
      <c r="A71" s="34" t="s">
        <v>1628</v>
      </c>
      <c r="B71" s="34"/>
      <c r="C71" s="34"/>
      <c r="E71" s="34" t="s">
        <v>1641</v>
      </c>
      <c r="F71" s="34"/>
    </row>
    <row r="73" spans="1:6">
      <c r="A73" s="24" t="s">
        <v>1613</v>
      </c>
      <c r="E73" s="24" t="s">
        <v>1613</v>
      </c>
    </row>
    <row r="74" spans="1:6" ht="66" customHeight="1">
      <c r="A74" s="34" t="s">
        <v>1626</v>
      </c>
      <c r="B74" s="34"/>
      <c r="C74" s="34"/>
      <c r="E74" s="34" t="s">
        <v>1643</v>
      </c>
      <c r="F74" s="34"/>
    </row>
    <row r="76" spans="1:6">
      <c r="A76" s="24" t="s">
        <v>1615</v>
      </c>
      <c r="E76" s="24" t="s">
        <v>1615</v>
      </c>
    </row>
    <row r="77" spans="1:6" ht="90.6" customHeight="1">
      <c r="A77" s="34" t="s">
        <v>1627</v>
      </c>
      <c r="B77" s="34"/>
      <c r="C77" s="34"/>
      <c r="E77" s="34" t="s">
        <v>1642</v>
      </c>
      <c r="F77" s="34"/>
    </row>
  </sheetData>
  <mergeCells count="32">
    <mergeCell ref="A77:C77"/>
    <mergeCell ref="K15:N15"/>
    <mergeCell ref="K12:N12"/>
    <mergeCell ref="K18:N18"/>
    <mergeCell ref="K21:N21"/>
    <mergeCell ref="A41:C41"/>
    <mergeCell ref="A44:C44"/>
    <mergeCell ref="E12:F12"/>
    <mergeCell ref="A12:C12"/>
    <mergeCell ref="A15:C15"/>
    <mergeCell ref="A18:C18"/>
    <mergeCell ref="A21:C21"/>
    <mergeCell ref="E15:F15"/>
    <mergeCell ref="E21:F21"/>
    <mergeCell ref="E18:F18"/>
    <mergeCell ref="A47:C47"/>
    <mergeCell ref="A50:C50"/>
    <mergeCell ref="A68:C68"/>
    <mergeCell ref="A71:C71"/>
    <mergeCell ref="A74:C74"/>
    <mergeCell ref="E68:F68"/>
    <mergeCell ref="E77:F77"/>
    <mergeCell ref="E74:F74"/>
    <mergeCell ref="E71:F71"/>
    <mergeCell ref="E44:F44"/>
    <mergeCell ref="E47:F47"/>
    <mergeCell ref="K47:L47"/>
    <mergeCell ref="K44:L44"/>
    <mergeCell ref="E50:F50"/>
    <mergeCell ref="K41:L41"/>
    <mergeCell ref="K50:L50"/>
    <mergeCell ref="E41:F4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4D529-9A38-4B64-A037-478042F23695}">
  <dimension ref="A1:B10"/>
  <sheetViews>
    <sheetView workbookViewId="0">
      <selection activeCell="D19" sqref="D19"/>
    </sheetView>
  </sheetViews>
  <sheetFormatPr defaultRowHeight="15"/>
  <cols>
    <col min="1" max="1" width="29.85546875" customWidth="1"/>
    <col min="2" max="2" width="29.85546875" style="18" bestFit="1" customWidth="1"/>
  </cols>
  <sheetData>
    <row r="1" spans="1:2">
      <c r="A1" s="11" t="s">
        <v>1587</v>
      </c>
      <c r="B1" s="25" t="s">
        <v>1588</v>
      </c>
    </row>
    <row r="2" spans="1:2">
      <c r="A2" s="12" t="s">
        <v>1589</v>
      </c>
      <c r="B2" s="26">
        <v>500</v>
      </c>
    </row>
    <row r="3" spans="1:2" ht="30">
      <c r="A3" s="12" t="s">
        <v>1590</v>
      </c>
      <c r="B3" s="27">
        <v>0.47599999999999998</v>
      </c>
    </row>
    <row r="4" spans="1:2">
      <c r="A4" s="12" t="s">
        <v>1591</v>
      </c>
      <c r="B4" s="26" t="s">
        <v>1649</v>
      </c>
    </row>
    <row r="5" spans="1:2">
      <c r="A5" s="12" t="s">
        <v>1592</v>
      </c>
      <c r="B5" s="26">
        <v>3.14</v>
      </c>
    </row>
    <row r="6" spans="1:2">
      <c r="A6" s="12" t="s">
        <v>1644</v>
      </c>
      <c r="B6" s="18" t="s">
        <v>1650</v>
      </c>
    </row>
    <row r="7" spans="1:2">
      <c r="A7" s="12" t="s">
        <v>1645</v>
      </c>
      <c r="B7" s="18" t="s">
        <v>1651</v>
      </c>
    </row>
    <row r="8" spans="1:2">
      <c r="A8" s="12" t="s">
        <v>1646</v>
      </c>
      <c r="B8" s="18" t="s">
        <v>1652</v>
      </c>
    </row>
    <row r="9" spans="1:2">
      <c r="A9" s="12" t="s">
        <v>1647</v>
      </c>
      <c r="B9" s="18" t="s">
        <v>1653</v>
      </c>
    </row>
    <row r="10" spans="1:2">
      <c r="A10" s="12" t="s">
        <v>1648</v>
      </c>
      <c r="B10" s="18" t="s">
        <v>1654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F12AA-18B4-4D17-9B9A-59A407F048F9}">
  <dimension ref="A1:P20"/>
  <sheetViews>
    <sheetView showGridLines="0" tabSelected="1" zoomScale="55" zoomScaleNormal="55" workbookViewId="0">
      <selection activeCell="A4" sqref="A4:D6"/>
    </sheetView>
  </sheetViews>
  <sheetFormatPr defaultColWidth="8.7109375" defaultRowHeight="15"/>
  <cols>
    <col min="1" max="8" width="8.7109375" style="28"/>
    <col min="9" max="9" width="8.7109375" style="28" customWidth="1"/>
    <col min="10" max="16384" width="8.7109375" style="28"/>
  </cols>
  <sheetData>
    <row r="1" spans="1:16" ht="25.5">
      <c r="A1" s="38" t="s">
        <v>1657</v>
      </c>
      <c r="B1" s="38"/>
      <c r="C1" s="38"/>
      <c r="D1" s="38"/>
      <c r="E1" s="38"/>
      <c r="F1" s="38"/>
      <c r="G1" s="38"/>
      <c r="H1" s="38"/>
      <c r="I1" s="38"/>
      <c r="J1" s="38"/>
      <c r="K1" s="38"/>
      <c r="L1" s="38"/>
      <c r="M1" s="39" t="s">
        <v>1659</v>
      </c>
      <c r="N1" s="39"/>
      <c r="O1" s="39"/>
      <c r="P1" s="39"/>
    </row>
    <row r="2" spans="1:16" ht="25.5">
      <c r="A2" s="38" t="s">
        <v>1658</v>
      </c>
      <c r="B2" s="38"/>
      <c r="C2" s="38"/>
      <c r="D2" s="38"/>
      <c r="E2" s="38"/>
      <c r="F2" s="38"/>
      <c r="G2" s="38"/>
      <c r="H2" s="38"/>
      <c r="I2" s="38"/>
      <c r="J2" s="38"/>
      <c r="K2" s="38"/>
      <c r="L2" s="38"/>
      <c r="M2" s="39" t="s">
        <v>1660</v>
      </c>
      <c r="N2" s="39"/>
      <c r="O2" s="39"/>
      <c r="P2" s="39"/>
    </row>
    <row r="4" spans="1:16">
      <c r="A4" s="35" t="s">
        <v>1661</v>
      </c>
      <c r="B4" s="35"/>
      <c r="C4" s="35"/>
      <c r="D4" s="35"/>
      <c r="E4" s="40" t="s">
        <v>1662</v>
      </c>
      <c r="F4" s="40"/>
      <c r="G4" s="40"/>
      <c r="H4" s="40"/>
      <c r="I4" s="43" t="s">
        <v>1663</v>
      </c>
      <c r="J4" s="43"/>
      <c r="K4" s="43"/>
      <c r="L4" s="43"/>
      <c r="M4" s="46" t="s">
        <v>1664</v>
      </c>
      <c r="N4" s="46"/>
      <c r="O4" s="46"/>
      <c r="P4" s="46"/>
    </row>
    <row r="5" spans="1:16">
      <c r="A5" s="36"/>
      <c r="B5" s="36"/>
      <c r="C5" s="36"/>
      <c r="D5" s="36"/>
      <c r="E5" s="41"/>
      <c r="F5" s="41"/>
      <c r="G5" s="41"/>
      <c r="H5" s="41"/>
      <c r="I5" s="44"/>
      <c r="J5" s="44"/>
      <c r="K5" s="44"/>
      <c r="L5" s="44"/>
      <c r="M5" s="47"/>
      <c r="N5" s="47"/>
      <c r="O5" s="47"/>
      <c r="P5" s="47"/>
    </row>
    <row r="6" spans="1:16">
      <c r="A6" s="36"/>
      <c r="B6" s="36"/>
      <c r="C6" s="36"/>
      <c r="D6" s="36"/>
      <c r="E6" s="41"/>
      <c r="F6" s="41"/>
      <c r="G6" s="41"/>
      <c r="H6" s="41"/>
      <c r="I6" s="44"/>
      <c r="J6" s="44"/>
      <c r="K6" s="44"/>
      <c r="L6" s="44"/>
      <c r="M6" s="47"/>
      <c r="N6" s="47"/>
      <c r="O6" s="47"/>
      <c r="P6" s="47"/>
    </row>
    <row r="7" spans="1:16" ht="33">
      <c r="A7" s="37">
        <v>500</v>
      </c>
      <c r="B7" s="37"/>
      <c r="C7" s="37"/>
      <c r="D7" s="37"/>
      <c r="E7" s="42">
        <v>0.47599999999999998</v>
      </c>
      <c r="F7" s="42"/>
      <c r="G7" s="42"/>
      <c r="H7" s="42"/>
      <c r="I7" s="45" t="s">
        <v>1665</v>
      </c>
      <c r="J7" s="45"/>
      <c r="K7" s="45"/>
      <c r="L7" s="45"/>
      <c r="M7" s="48">
        <v>3.14</v>
      </c>
      <c r="N7" s="48"/>
      <c r="O7" s="48"/>
      <c r="P7" s="48"/>
    </row>
    <row r="20" s="28" customFormat="1"/>
  </sheetData>
  <mergeCells count="12">
    <mergeCell ref="A4:D6"/>
    <mergeCell ref="A7:D7"/>
    <mergeCell ref="A1:L1"/>
    <mergeCell ref="A2:L2"/>
    <mergeCell ref="M1:P1"/>
    <mergeCell ref="M2:P2"/>
    <mergeCell ref="E4:H6"/>
    <mergeCell ref="E7:H7"/>
    <mergeCell ref="I4:L6"/>
    <mergeCell ref="I7:L7"/>
    <mergeCell ref="M4:P6"/>
    <mergeCell ref="M7:P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SQL_Import</vt:lpstr>
      <vt:lpstr>Reference_data</vt:lpstr>
      <vt:lpstr>Raw Data</vt:lpstr>
      <vt:lpstr>Data Cleaned</vt:lpstr>
      <vt:lpstr>Data Validation</vt:lpstr>
      <vt:lpstr>Pivot</vt:lpstr>
      <vt:lpstr>Executive Summary</vt:lpstr>
      <vt:lpstr>Executive 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Prathvi Bhat</cp:lastModifiedBy>
  <dcterms:created xsi:type="dcterms:W3CDTF">2026-08-04T02:32:17Z</dcterms:created>
  <dcterms:modified xsi:type="dcterms:W3CDTF">2026-08-14T03:00:08Z</dcterms:modified>
</cp:coreProperties>
</file>